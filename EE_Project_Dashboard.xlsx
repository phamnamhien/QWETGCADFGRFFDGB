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oadmap" sheetId="1" state="visible" r:id="rId1"/>
    <sheet name="Projects" sheetId="2" state="visible" r:id="rId2"/>
    <sheet name="Tasks" sheetId="3" state="visible" r:id="rId3"/>
    <sheet name="RASI" sheetId="4" state="visible" r:id="rId4"/>
    <sheet name="HR" sheetId="5" state="visible" r:id="rId5"/>
  </sheets>
  <definedNames>
    <definedName name="_xlnm._FilterDatabase" localSheetId="1" hidden="1">'Projects'!$A$1:$J$100</definedName>
    <definedName name="_xlnm._FilterDatabase" localSheetId="2" hidden="1">'Tasks'!$A$1:$K$501</definedName>
    <definedName name="_xlnm._FilterDatabase" localSheetId="4" hidden="1">'HR'!$A$1:$H$100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7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theme="1"/>
      <sz val="11"/>
    </font>
    <font>
      <name val="Calibri"/>
      <b val="1"/>
      <color rgb="FF000000"/>
      <sz val="11"/>
    </font>
    <font>
      <name val="Calibri"/>
      <color rgb="FF000000"/>
      <sz val="11"/>
    </font>
    <font>
      <name val="Calibri"/>
      <b val="1"/>
      <color rgb="FFFFFFFF"/>
      <sz val="11"/>
    </font>
    <font>
      <name val="Calibri"/>
      <sz val="11"/>
    </font>
  </fonts>
  <fills count="5">
    <fill>
      <patternFill/>
    </fill>
    <fill>
      <patternFill patternType="lightGray"/>
    </fill>
    <fill>
      <patternFill patternType="solid">
        <fgColor rgb="FF00B0F0"/>
        <bgColor rgb="FF00B0F0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</fills>
  <borders count="4">
    <border/>
    <border>
      <left/>
      <right/>
      <top/>
      <bottom/>
    </border>
    <border>
      <left style="thin">
        <color rgb="FF0078D4"/>
      </left>
      <right style="thin">
        <color rgb="FF0078D4"/>
      </right>
      <top style="thin">
        <color rgb="FF0078D4"/>
      </top>
      <bottom style="medium">
        <color rgb="FF005A9E"/>
      </bottom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1" applyAlignment="1" pivotButton="0" quotePrefix="0" xfId="0">
      <alignment horizontal="center" vertical="bottom"/>
    </xf>
    <xf numFmtId="0" fontId="1" fillId="0" borderId="0" applyAlignment="1" pivotButton="0" quotePrefix="0" xfId="0">
      <alignment horizontal="center" vertical="bottom"/>
    </xf>
    <xf numFmtId="9" fontId="1" fillId="0" borderId="0" applyAlignment="1" pivotButton="0" quotePrefix="0" xfId="0">
      <alignment vertical="bottom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4" fillId="4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 wrapText="1"/>
    </xf>
    <xf numFmtId="0" fontId="1" fillId="0" borderId="0" applyAlignment="1" pivotButton="0" quotePrefix="0" xfId="0">
      <alignment vertical="bottom" wrapText="1"/>
    </xf>
    <xf numFmtId="0" fontId="3" fillId="2" borderId="1" applyAlignment="1" pivotButton="0" quotePrefix="0" xfId="0">
      <alignment horizontal="center" vertical="bottom"/>
    </xf>
    <xf numFmtId="0" fontId="3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 wrapText="1"/>
    </xf>
    <xf numFmtId="0" fontId="0" fillId="0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 wrapText="1"/>
    </xf>
    <xf numFmtId="164" fontId="6" fillId="0" borderId="3" applyAlignment="1" pivotButton="0" quotePrefix="0" xfId="0">
      <alignment horizontal="center" vertical="center"/>
    </xf>
    <xf numFmtId="9" fontId="6" fillId="0" borderId="3" applyAlignment="1" pivotButton="0" quotePrefix="0" xfId="0">
      <alignment horizontal="center" vertical="center"/>
    </xf>
  </cellXfs>
  <cellStyles count="1">
    <cellStyle name="Normal" xfId="0" builtinId="0"/>
  </cellStyles>
  <dxfs count="14">
    <dxf>
      <font>
        <b val="1"/>
      </font>
      <fill>
        <patternFill patternType="solid">
          <fgColor rgb="FFFF6B6B"/>
          <bgColor rgb="FFFF6B6B"/>
        </patternFill>
      </fill>
      <border/>
    </dxf>
    <dxf>
      <font>
        <b val="1"/>
      </font>
      <fill>
        <patternFill patternType="solid">
          <fgColor rgb="FFFFA94D"/>
          <bgColor rgb="FFFFA94D"/>
        </patternFill>
      </fill>
      <border/>
    </dxf>
    <dxf>
      <font>
        <b val="1"/>
      </font>
      <fill>
        <patternFill patternType="solid">
          <fgColor rgb="FF69DB7C"/>
          <bgColor rgb="FF69DB7C"/>
        </patternFill>
      </fill>
      <border/>
    </dxf>
    <dxf>
      <font>
        <b val="1"/>
      </font>
      <fill>
        <patternFill patternType="solid">
          <fgColor rgb="FF74C0FC"/>
          <bgColor rgb="FF74C0FC"/>
        </patternFill>
      </fill>
      <border/>
    </dxf>
    <dxf>
      <font>
        <b val="1"/>
      </font>
      <fill>
        <patternFill patternType="solid">
          <fgColor rgb="FFB197FC"/>
          <bgColor rgb="FFB197FC"/>
        </patternFill>
      </fill>
      <border/>
    </dxf>
    <dxf>
      <font>
        <name val="Calibri"/>
        <b val="1"/>
        <color rgb="FF1864AB"/>
        <sz val="11"/>
      </font>
      <fill>
        <patternFill patternType="solid">
          <fgColor rgb="FFE3F2FD"/>
          <bgColor rgb="FFE3F2FD"/>
        </patternFill>
      </fill>
    </dxf>
    <dxf>
      <font>
        <name val="Calibri"/>
        <b val="1"/>
        <color rgb="FF7C5E00"/>
        <sz val="11"/>
      </font>
      <fill>
        <patternFill patternType="solid">
          <fgColor rgb="FFFFF9DB"/>
          <bgColor rgb="FFFFF9DB"/>
        </patternFill>
      </fill>
    </dxf>
    <dxf>
      <font>
        <name val="Calibri"/>
        <b val="1"/>
        <color rgb="FF0B6623"/>
        <sz val="11"/>
      </font>
      <fill>
        <patternFill patternType="solid">
          <fgColor rgb="FFD3F9D8"/>
          <bgColor rgb="FFD3F9D8"/>
        </patternFill>
      </fill>
    </dxf>
    <dxf>
      <font>
        <name val="Calibri"/>
        <b val="1"/>
        <color rgb="FF9B1D1D"/>
        <sz val="11"/>
      </font>
      <fill>
        <patternFill patternType="solid">
          <fgColor rgb="FFFFD6D6"/>
          <bgColor rgb="FFFFD6D6"/>
        </patternFill>
      </fill>
    </dxf>
    <dxf>
      <font>
        <name val="Calibri"/>
        <b val="1"/>
        <color rgb="FF9B1D1D"/>
        <sz val="11"/>
      </font>
      <fill>
        <patternFill patternType="solid">
          <fgColor rgb="FFFF6B6B"/>
          <bgColor rgb="FFFF6B6B"/>
        </patternFill>
      </fill>
    </dxf>
    <dxf>
      <font>
        <name val="Calibri"/>
        <b val="1"/>
        <color rgb="FF7C5E00"/>
        <sz val="11"/>
      </font>
      <fill>
        <patternFill patternType="solid">
          <fgColor rgb="FFFFD43B"/>
          <bgColor rgb="FFFFD43B"/>
        </patternFill>
      </fill>
    </dxf>
    <dxf>
      <font>
        <name val="Calibri"/>
        <b val="1"/>
        <color rgb="FF0B6623"/>
        <sz val="11"/>
      </font>
      <fill>
        <patternFill patternType="solid">
          <fgColor rgb="FF69DB7C"/>
          <bgColor rgb="FF69DB7C"/>
        </patternFill>
      </fill>
    </dxf>
    <dxf>
      <font>
        <name val="Calibri"/>
        <b val="1"/>
        <color rgb="FF1864AB"/>
        <sz val="11"/>
      </font>
      <fill>
        <patternFill patternType="solid">
          <fgColor rgb="FF74C0FC"/>
          <bgColor rgb="FF74C0FC"/>
        </patternFill>
      </fill>
    </dxf>
    <dxf>
      <font>
        <name val="Calibri"/>
        <b val="1"/>
        <color rgb="FF495057"/>
        <sz val="11"/>
      </font>
      <fill>
        <patternFill patternType="solid">
          <fgColor rgb="FFDEE2E6"/>
          <bgColor rgb="FFDEE2E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000070C0"/>
    <outlinePr summaryBelow="1" summaryRight="1"/>
    <pageSetUpPr/>
  </sheetPr>
  <dimension ref="A1:Z10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ColWidth="14.43" defaultRowHeight="15" customHeight="1"/>
  <cols>
    <col width="12" customWidth="1" style="18" min="1" max="1"/>
    <col width="45" customWidth="1" style="18" min="2" max="2"/>
    <col width="10" customWidth="1" style="18" min="3" max="6"/>
    <col width="10" customWidth="1" style="18" min="4" max="4"/>
    <col width="10" customWidth="1" style="18" min="5" max="5"/>
    <col width="10" customWidth="1" style="18" min="6" max="6"/>
    <col width="10" customWidth="1" style="18" min="7" max="7"/>
    <col width="10" customWidth="1" style="18" min="8" max="8"/>
    <col width="10" customWidth="1" style="18" min="9" max="9"/>
    <col width="10" customWidth="1" style="18" min="10" max="10"/>
    <col width="10" customWidth="1" style="18" min="11" max="11"/>
    <col width="10" customWidth="1" style="18" min="12" max="12"/>
    <col width="10" customWidth="1" style="18" min="13" max="13"/>
    <col width="10" customWidth="1" style="18" min="14" max="14"/>
    <col width="10" customWidth="1" style="18" min="15" max="15"/>
    <col width="10" customWidth="1" style="18" min="16" max="16"/>
    <col width="10" customWidth="1" style="18" min="17" max="17"/>
    <col width="10" customWidth="1" style="18" min="18" max="18"/>
    <col width="10" customWidth="1" style="18" min="19" max="19"/>
    <col width="10" customWidth="1" style="18" min="20" max="20"/>
    <col width="10" customWidth="1" style="18" min="21" max="21"/>
    <col width="10" customWidth="1" style="18" min="22" max="22"/>
    <col width="10" customWidth="1" style="18" min="23" max="23"/>
    <col width="10" customWidth="1" style="18" min="24" max="24"/>
    <col width="10" customWidth="1" style="18" min="25" max="25"/>
    <col width="10" customWidth="1" style="18" min="26" max="26"/>
  </cols>
  <sheetData>
    <row r="1" ht="15" customHeight="1" s="18">
      <c r="A1" s="19" t="inlineStr">
        <is>
          <t>Project ID</t>
        </is>
      </c>
      <c r="B1" s="19" t="inlineStr">
        <is>
          <t>Project Name</t>
        </is>
      </c>
      <c r="C1" s="19" t="inlineStr">
        <is>
          <t>T1/2025</t>
        </is>
      </c>
      <c r="D1" s="19" t="inlineStr">
        <is>
          <t>T2/2025</t>
        </is>
      </c>
      <c r="E1" s="19" t="inlineStr">
        <is>
          <t>T3/2025</t>
        </is>
      </c>
      <c r="F1" s="19" t="inlineStr">
        <is>
          <t>T4/2025</t>
        </is>
      </c>
      <c r="G1" s="19" t="inlineStr">
        <is>
          <t>T5/2025</t>
        </is>
      </c>
      <c r="H1" s="19" t="inlineStr">
        <is>
          <t>T6/2025</t>
        </is>
      </c>
      <c r="I1" s="19" t="inlineStr">
        <is>
          <t>T7/2025</t>
        </is>
      </c>
      <c r="J1" s="19" t="inlineStr">
        <is>
          <t>T8/2025</t>
        </is>
      </c>
      <c r="K1" s="19" t="inlineStr">
        <is>
          <t>T9/2025</t>
        </is>
      </c>
      <c r="L1" s="19" t="inlineStr">
        <is>
          <t>T10/2025</t>
        </is>
      </c>
      <c r="M1" s="19" t="inlineStr">
        <is>
          <t>T11/2025</t>
        </is>
      </c>
      <c r="N1" s="19" t="inlineStr">
        <is>
          <t>T12/2025</t>
        </is>
      </c>
      <c r="O1" s="19" t="inlineStr">
        <is>
          <t>T1/2026</t>
        </is>
      </c>
      <c r="P1" s="19" t="inlineStr">
        <is>
          <t>T2/2026</t>
        </is>
      </c>
      <c r="Q1" s="19" t="inlineStr">
        <is>
          <t>T3/2026</t>
        </is>
      </c>
      <c r="R1" s="19" t="inlineStr">
        <is>
          <t>T4/2026</t>
        </is>
      </c>
      <c r="S1" s="19" t="inlineStr">
        <is>
          <t>T5/2026</t>
        </is>
      </c>
      <c r="T1" s="19" t="inlineStr">
        <is>
          <t>T6/2026</t>
        </is>
      </c>
      <c r="U1" s="19" t="inlineStr">
        <is>
          <t>T7/2026</t>
        </is>
      </c>
      <c r="V1" s="19" t="inlineStr">
        <is>
          <t>T8/2026</t>
        </is>
      </c>
      <c r="W1" s="19" t="inlineStr">
        <is>
          <t>T9/2026</t>
        </is>
      </c>
      <c r="X1" s="19" t="inlineStr">
        <is>
          <t>T10/2026</t>
        </is>
      </c>
      <c r="Y1" s="19" t="inlineStr">
        <is>
          <t>T11/2026</t>
        </is>
      </c>
      <c r="Z1" s="19" t="inlineStr">
        <is>
          <t>T12/2026</t>
        </is>
      </c>
    </row>
    <row r="2" ht="15" customHeight="1" s="18">
      <c r="A2" s="20">
        <f>IF(Projects!B2="","",Projects!B2)</f>
        <v/>
      </c>
      <c r="B2" s="21">
        <f>IF(Projects!C2="","",Projects!C2)</f>
        <v/>
      </c>
      <c r="C2" s="20" t="n"/>
      <c r="D2" s="20" t="n"/>
      <c r="E2" s="20" t="n"/>
      <c r="F2" s="20" t="n"/>
      <c r="G2" s="20" t="n"/>
      <c r="H2" s="20" t="n"/>
      <c r="I2" s="20" t="n"/>
      <c r="J2" s="20" t="n"/>
      <c r="K2" s="20" t="n"/>
      <c r="L2" s="20" t="n"/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 ht="15" customHeight="1" s="18">
      <c r="A3" s="20">
        <f>IF(Projects!B3="","",Projects!B3)</f>
        <v/>
      </c>
      <c r="B3" s="21">
        <f>IF(Projects!C3="","",Projects!C3)</f>
        <v/>
      </c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</row>
    <row r="4" ht="15" customHeight="1" s="18">
      <c r="A4" s="20">
        <f>IF(Projects!B4="","",Projects!B4)</f>
        <v/>
      </c>
      <c r="B4" s="21">
        <f>IF(Projects!C4="","",Projects!C4)</f>
        <v/>
      </c>
      <c r="C4" s="20" t="n"/>
      <c r="D4" s="20" t="n"/>
      <c r="E4" s="20" t="n"/>
      <c r="F4" s="20" t="n"/>
      <c r="G4" s="20" t="n"/>
      <c r="H4" s="20" t="n"/>
      <c r="I4" s="20" t="n"/>
      <c r="J4" s="20" t="n"/>
      <c r="K4" s="20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</row>
    <row r="5" ht="15" customHeight="1" s="18">
      <c r="A5" s="20">
        <f>IF(Projects!B5="","",Projects!B5)</f>
        <v/>
      </c>
      <c r="B5" s="21">
        <f>IF(Projects!C5="","",Projects!C5)</f>
        <v/>
      </c>
      <c r="C5" s="20" t="n"/>
      <c r="D5" s="20" t="n"/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</row>
    <row r="6" ht="15" customHeight="1" s="18">
      <c r="A6" s="20">
        <f>IF(Projects!B6="","",Projects!B6)</f>
        <v/>
      </c>
      <c r="B6" s="21">
        <f>IF(Projects!C6="","",Projects!C6)</f>
        <v/>
      </c>
      <c r="C6" s="20" t="n"/>
      <c r="D6" s="20" t="n"/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</row>
    <row r="7" ht="15" customHeight="1" s="18">
      <c r="A7" s="20">
        <f>IF(Projects!B7="","",Projects!B7)</f>
        <v/>
      </c>
      <c r="B7" s="21">
        <f>IF(Projects!C7="","",Projects!C7)</f>
        <v/>
      </c>
      <c r="C7" s="20" t="n"/>
      <c r="D7" s="20" t="n"/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</row>
    <row r="8" ht="15" customHeight="1" s="18">
      <c r="A8" s="20">
        <f>IF(Projects!B8="","",Projects!B8)</f>
        <v/>
      </c>
      <c r="B8" s="21">
        <f>IF(Projects!C8="","",Projects!C8)</f>
        <v/>
      </c>
      <c r="C8" s="20" t="n"/>
      <c r="D8" s="20" t="n"/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</row>
    <row r="9" ht="15" customHeight="1" s="18">
      <c r="A9" s="20">
        <f>IF(Projects!B9="","",Projects!B9)</f>
        <v/>
      </c>
      <c r="B9" s="21">
        <f>IF(Projects!C9="","",Projects!C9)</f>
        <v/>
      </c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</row>
    <row r="10" ht="15" customHeight="1" s="18">
      <c r="A10" s="20">
        <f>IF(Projects!B10="","",Projects!B10)</f>
        <v/>
      </c>
      <c r="B10" s="21">
        <f>IF(Projects!C10="","",Projects!C10)</f>
        <v/>
      </c>
      <c r="C10" s="20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</row>
    <row r="11" ht="15" customHeight="1" s="18">
      <c r="A11" s="20">
        <f>IF(Projects!B11="","",Projects!B11)</f>
        <v/>
      </c>
      <c r="B11" s="21">
        <f>IF(Projects!C11="","",Projects!C11)</f>
        <v/>
      </c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</row>
    <row r="12" ht="15" customHeight="1" s="18">
      <c r="A12" s="20">
        <f>IF(Projects!B12="","",Projects!B12)</f>
        <v/>
      </c>
      <c r="B12" s="21">
        <f>IF(Projects!C12="","",Projects!C12)</f>
        <v/>
      </c>
      <c r="C12" s="20" t="n"/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</row>
    <row r="13" ht="15" customHeight="1" s="18">
      <c r="A13" s="20">
        <f>IF(Projects!B13="","",Projects!B13)</f>
        <v/>
      </c>
      <c r="B13" s="21">
        <f>IF(Projects!C13="","",Projects!C13)</f>
        <v/>
      </c>
      <c r="C13" s="20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</row>
    <row r="14" ht="15" customHeight="1" s="18">
      <c r="A14" s="20">
        <f>IF(Projects!B14="","",Projects!B14)</f>
        <v/>
      </c>
      <c r="B14" s="21">
        <f>IF(Projects!C14="","",Projects!C14)</f>
        <v/>
      </c>
      <c r="C14" s="20" t="n"/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</row>
    <row r="15" ht="15" customHeight="1" s="18">
      <c r="A15" s="20">
        <f>IF(Projects!B15="","",Projects!B15)</f>
        <v/>
      </c>
      <c r="B15" s="21">
        <f>IF(Projects!C15="","",Projects!C15)</f>
        <v/>
      </c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</row>
    <row r="16" ht="15" customHeight="1" s="18">
      <c r="A16" s="20">
        <f>IF(Projects!B16="","",Projects!B16)</f>
        <v/>
      </c>
      <c r="B16" s="21">
        <f>IF(Projects!C16="","",Projects!C16)</f>
        <v/>
      </c>
      <c r="C16" s="20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</row>
    <row r="17" ht="15" customHeight="1" s="18">
      <c r="A17" s="20">
        <f>IF(Projects!B17="","",Projects!B17)</f>
        <v/>
      </c>
      <c r="B17" s="21">
        <f>IF(Projects!C17="","",Projects!C17)</f>
        <v/>
      </c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</row>
    <row r="18" ht="15" customHeight="1" s="18">
      <c r="A18" s="20">
        <f>IF(Projects!B18="","",Projects!B18)</f>
        <v/>
      </c>
      <c r="B18" s="21">
        <f>IF(Projects!C18="","",Projects!C18)</f>
        <v/>
      </c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</row>
    <row r="19" ht="15" customHeight="1" s="18">
      <c r="A19" s="20">
        <f>IF(Projects!B19="","",Projects!B19)</f>
        <v/>
      </c>
      <c r="B19" s="21">
        <f>IF(Projects!C19="","",Projects!C19)</f>
        <v/>
      </c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</row>
    <row r="20" ht="15" customHeight="1" s="18">
      <c r="A20" s="20">
        <f>IF(Projects!B20="","",Projects!B20)</f>
        <v/>
      </c>
      <c r="B20" s="21">
        <f>IF(Projects!C20="","",Projects!C20)</f>
        <v/>
      </c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</row>
    <row r="21" ht="15.75" customHeight="1" s="18">
      <c r="A21" s="20">
        <f>IF(Projects!B21="","",Projects!B21)</f>
        <v/>
      </c>
      <c r="B21" s="21">
        <f>IF(Projects!C21="","",Projects!C21)</f>
        <v/>
      </c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</row>
    <row r="22" ht="15.75" customHeight="1" s="18">
      <c r="A22" s="20">
        <f>IF(Projects!B22="","",Projects!B22)</f>
        <v/>
      </c>
      <c r="B22" s="21">
        <f>IF(Projects!C22="","",Projects!C22)</f>
        <v/>
      </c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</row>
    <row r="23" ht="15.75" customHeight="1" s="18">
      <c r="A23" s="20">
        <f>IF(Projects!B23="","",Projects!B23)</f>
        <v/>
      </c>
      <c r="B23" s="21">
        <f>IF(Projects!C23="","",Projects!C23)</f>
        <v/>
      </c>
      <c r="C23" s="20" t="n"/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</row>
    <row r="24" ht="15.75" customHeight="1" s="18">
      <c r="A24" s="20">
        <f>IF(Projects!B24="","",Projects!B24)</f>
        <v/>
      </c>
      <c r="B24" s="21">
        <f>IF(Projects!C24="","",Projects!C24)</f>
        <v/>
      </c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</row>
    <row r="25" ht="15.75" customHeight="1" s="18">
      <c r="A25" s="20">
        <f>IF(Projects!B25="","",Projects!B25)</f>
        <v/>
      </c>
      <c r="B25" s="21">
        <f>IF(Projects!C25="","",Projects!C25)</f>
        <v/>
      </c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</row>
    <row r="26" ht="15.75" customHeight="1" s="18">
      <c r="A26" s="20">
        <f>IF(Projects!B26="","",Projects!B26)</f>
        <v/>
      </c>
      <c r="B26" s="21">
        <f>IF(Projects!C26="","",Projects!C26)</f>
        <v/>
      </c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</row>
    <row r="27" ht="15.75" customHeight="1" s="18">
      <c r="A27" s="20">
        <f>IF(Projects!B27="","",Projects!B27)</f>
        <v/>
      </c>
      <c r="B27" s="21">
        <f>IF(Projects!C27="","",Projects!C27)</f>
        <v/>
      </c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</row>
    <row r="28" ht="15.75" customHeight="1" s="18">
      <c r="A28" s="20">
        <f>IF(Projects!B28="","",Projects!B28)</f>
        <v/>
      </c>
      <c r="B28" s="21">
        <f>IF(Projects!C28="","",Projects!C28)</f>
        <v/>
      </c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</row>
    <row r="29" ht="15.75" customHeight="1" s="18">
      <c r="A29" s="20">
        <f>IF(Projects!B29="","",Projects!B29)</f>
        <v/>
      </c>
      <c r="B29" s="21">
        <f>IF(Projects!C29="","",Projects!C29)</f>
        <v/>
      </c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</row>
    <row r="30" ht="15.75" customHeight="1" s="18">
      <c r="A30" s="20">
        <f>IF(Projects!B30="","",Projects!B30)</f>
        <v/>
      </c>
      <c r="B30" s="21">
        <f>IF(Projects!C30="","",Projects!C30)</f>
        <v/>
      </c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</row>
    <row r="31" ht="15.75" customHeight="1" s="18">
      <c r="A31" s="20">
        <f>IF(Projects!B31="","",Projects!B31)</f>
        <v/>
      </c>
      <c r="B31" s="21">
        <f>IF(Projects!C31="","",Projects!C31)</f>
        <v/>
      </c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</row>
    <row r="32" ht="15.75" customHeight="1" s="18">
      <c r="A32" s="20">
        <f>IF(Projects!B32="","",Projects!B32)</f>
        <v/>
      </c>
      <c r="B32" s="21">
        <f>IF(Projects!C32="","",Projects!C32)</f>
        <v/>
      </c>
      <c r="C32" s="20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</row>
    <row r="33" ht="15.75" customHeight="1" s="18">
      <c r="A33" s="20">
        <f>IF(Projects!B33="","",Projects!B33)</f>
        <v/>
      </c>
      <c r="B33" s="21">
        <f>IF(Projects!C33="","",Projects!C33)</f>
        <v/>
      </c>
      <c r="C33" s="20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</row>
    <row r="34" ht="15.75" customHeight="1" s="18">
      <c r="A34" s="20">
        <f>IF(Projects!B34="","",Projects!B34)</f>
        <v/>
      </c>
      <c r="B34" s="21">
        <f>IF(Projects!C34="","",Projects!C34)</f>
        <v/>
      </c>
      <c r="C34" s="20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</row>
    <row r="35" ht="15.75" customHeight="1" s="18">
      <c r="A35" s="20">
        <f>IF(Projects!B35="","",Projects!B35)</f>
        <v/>
      </c>
      <c r="B35" s="21">
        <f>IF(Projects!C35="","",Projects!C35)</f>
        <v/>
      </c>
      <c r="C35" s="20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</row>
    <row r="36" ht="15.75" customHeight="1" s="18">
      <c r="A36" s="20">
        <f>IF(Projects!B36="","",Projects!B36)</f>
        <v/>
      </c>
      <c r="B36" s="21">
        <f>IF(Projects!C36="","",Projects!C36)</f>
        <v/>
      </c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</row>
    <row r="37" ht="15.75" customHeight="1" s="18">
      <c r="A37" s="20">
        <f>IF(Projects!B37="","",Projects!B37)</f>
        <v/>
      </c>
      <c r="B37" s="21">
        <f>IF(Projects!C37="","",Projects!C37)</f>
        <v/>
      </c>
      <c r="C37" s="20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</row>
    <row r="38" ht="15.75" customHeight="1" s="18">
      <c r="A38" s="20">
        <f>IF(Projects!B38="","",Projects!B38)</f>
        <v/>
      </c>
      <c r="B38" s="21">
        <f>IF(Projects!C38="","",Projects!C38)</f>
        <v/>
      </c>
      <c r="C38" s="20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</row>
    <row r="39" ht="15.75" customHeight="1" s="18">
      <c r="A39" s="20">
        <f>IF(Projects!B39="","",Projects!B39)</f>
        <v/>
      </c>
      <c r="B39" s="21">
        <f>IF(Projects!C39="","",Projects!C39)</f>
        <v/>
      </c>
      <c r="C39" s="20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</row>
    <row r="40" ht="15.75" customHeight="1" s="18">
      <c r="A40" s="20">
        <f>IF(Projects!B40="","",Projects!B40)</f>
        <v/>
      </c>
      <c r="B40" s="21">
        <f>IF(Projects!C40="","",Projects!C40)</f>
        <v/>
      </c>
      <c r="C40" s="20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</row>
    <row r="41" ht="15.75" customHeight="1" s="18">
      <c r="A41" s="20">
        <f>IF(Projects!B41="","",Projects!B41)</f>
        <v/>
      </c>
      <c r="B41" s="21">
        <f>IF(Projects!C41="","",Projects!C41)</f>
        <v/>
      </c>
      <c r="C41" s="20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</row>
    <row r="42" ht="15.75" customHeight="1" s="18">
      <c r="A42" s="20">
        <f>IF(Projects!B42="","",Projects!B42)</f>
        <v/>
      </c>
      <c r="B42" s="21">
        <f>IF(Projects!C42="","",Projects!C42)</f>
        <v/>
      </c>
      <c r="C42" s="20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</row>
    <row r="43" ht="15.75" customHeight="1" s="18">
      <c r="A43" s="20">
        <f>IF(Projects!B43="","",Projects!B43)</f>
        <v/>
      </c>
      <c r="B43" s="21">
        <f>IF(Projects!C43="","",Projects!C43)</f>
        <v/>
      </c>
      <c r="C43" s="20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</row>
    <row r="44" ht="15.75" customHeight="1" s="18">
      <c r="A44" s="20">
        <f>IF(Projects!B44="","",Projects!B44)</f>
        <v/>
      </c>
      <c r="B44" s="21">
        <f>IF(Projects!C44="","",Projects!C44)</f>
        <v/>
      </c>
      <c r="C44" s="20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</row>
    <row r="45" ht="15.75" customHeight="1" s="18">
      <c r="A45" s="20">
        <f>IF(Projects!B45="","",Projects!B45)</f>
        <v/>
      </c>
      <c r="B45" s="21">
        <f>IF(Projects!C45="","",Projects!C45)</f>
        <v/>
      </c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</row>
    <row r="46" ht="15.75" customHeight="1" s="18">
      <c r="A46" s="20">
        <f>IF(Projects!B46="","",Projects!B46)</f>
        <v/>
      </c>
      <c r="B46" s="21">
        <f>IF(Projects!C46="","",Projects!C46)</f>
        <v/>
      </c>
      <c r="C46" s="20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</row>
    <row r="47" ht="15.75" customHeight="1" s="18">
      <c r="A47" s="20">
        <f>IF(Projects!B47="","",Projects!B47)</f>
        <v/>
      </c>
      <c r="B47" s="21">
        <f>IF(Projects!C47="","",Projects!C47)</f>
        <v/>
      </c>
      <c r="C47" s="20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</row>
    <row r="48" ht="15.75" customHeight="1" s="18">
      <c r="A48" s="20">
        <f>IF(Projects!B48="","",Projects!B48)</f>
        <v/>
      </c>
      <c r="B48" s="21">
        <f>IF(Projects!C48="","",Projects!C48)</f>
        <v/>
      </c>
      <c r="C48" s="20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</row>
    <row r="49" ht="15.75" customHeight="1" s="18">
      <c r="A49" s="20">
        <f>IF(Projects!B49="","",Projects!B49)</f>
        <v/>
      </c>
      <c r="B49" s="21">
        <f>IF(Projects!C49="","",Projects!C49)</f>
        <v/>
      </c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</row>
    <row r="50" ht="15.75" customHeight="1" s="18">
      <c r="A50" s="20">
        <f>IF(Projects!B50="","",Projects!B50)</f>
        <v/>
      </c>
      <c r="B50" s="21">
        <f>IF(Projects!C50="","",Projects!C50)</f>
        <v/>
      </c>
      <c r="C50" s="20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</row>
    <row r="51" ht="15.75" customHeight="1" s="18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</row>
    <row r="52" ht="15.75" customHeight="1" s="18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</row>
    <row r="53" ht="15.75" customHeight="1" s="18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</row>
    <row r="54" ht="15.75" customHeight="1" s="18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</row>
    <row r="55" ht="15.75" customHeight="1" s="18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</row>
    <row r="56" ht="15.75" customHeight="1" s="18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</row>
    <row r="57" ht="15.75" customHeight="1" s="18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</row>
    <row r="58" ht="15.75" customHeight="1" s="1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</row>
    <row r="59" ht="15.75" customHeight="1" s="18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</row>
    <row r="60" ht="15.75" customHeight="1" s="18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</row>
    <row r="61" ht="15.75" customHeight="1" s="18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</row>
    <row r="62" ht="15.75" customHeight="1" s="18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</row>
    <row r="63" ht="15.75" customHeight="1" s="18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</row>
    <row r="64" ht="15.75" customHeight="1" s="18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</row>
    <row r="65" ht="15.75" customHeight="1" s="18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</row>
    <row r="66" ht="15.75" customHeight="1" s="18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</row>
    <row r="67" ht="15.75" customHeight="1" s="18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</row>
    <row r="68" ht="15.75" customHeight="1" s="18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</row>
    <row r="69" ht="15.75" customHeight="1" s="18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</row>
    <row r="70" ht="15.75" customHeight="1" s="18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</row>
    <row r="71" ht="15.75" customHeight="1" s="18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</row>
    <row r="72" ht="15.75" customHeight="1" s="18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</row>
    <row r="73" ht="15.75" customHeight="1" s="18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</row>
    <row r="74" ht="15.75" customHeight="1" s="18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</row>
    <row r="75" ht="15.75" customHeight="1" s="18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</row>
    <row r="76" ht="15.75" customHeight="1" s="18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</row>
    <row r="77" ht="15.75" customHeight="1" s="18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</row>
    <row r="78" ht="15.75" customHeight="1" s="18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</row>
    <row r="79" ht="15.75" customHeight="1" s="18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</row>
    <row r="80" ht="15.75" customHeight="1" s="18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</row>
    <row r="81" ht="15.75" customHeight="1" s="18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</row>
    <row r="82" ht="15.75" customHeight="1" s="18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</row>
    <row r="83" ht="15.75" customHeight="1" s="18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</row>
    <row r="84" ht="15.75" customHeight="1" s="18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</row>
    <row r="85" ht="15.75" customHeight="1" s="18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</row>
    <row r="86" ht="15.75" customHeight="1" s="18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</row>
    <row r="87" ht="15.75" customHeight="1" s="18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</row>
    <row r="88" ht="15.75" customHeight="1" s="18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</row>
    <row r="89" ht="15.75" customHeight="1" s="18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</row>
    <row r="90" ht="15.75" customHeight="1" s="18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</row>
    <row r="91" ht="15.75" customHeight="1" s="18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</row>
    <row r="92" ht="15.75" customHeight="1" s="18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</row>
    <row r="93" ht="15.75" customHeight="1" s="18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</row>
    <row r="94" ht="15.75" customHeight="1" s="18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</row>
    <row r="95" ht="15.75" customHeight="1" s="18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</row>
    <row r="96" ht="15.75" customHeight="1" s="18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</row>
    <row r="97" ht="15.75" customHeight="1" s="18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</row>
    <row r="98" ht="15.75" customHeight="1" s="18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</row>
    <row r="99" ht="15.75" customHeight="1" s="18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</row>
    <row r="100" ht="15.75" customHeight="1" s="18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</row>
    <row r="101" ht="15.75" customHeight="1" s="18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</row>
    <row r="102" ht="15.75" customHeight="1" s="18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</row>
    <row r="103" ht="15.75" customHeight="1" s="18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</row>
    <row r="104" ht="15.75" customHeight="1" s="18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</row>
    <row r="105" ht="15.75" customHeight="1" s="18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</row>
    <row r="106" ht="15.75" customHeight="1" s="18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</row>
    <row r="107" ht="15.75" customHeight="1" s="18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</row>
    <row r="108" ht="15.75" customHeight="1" s="1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</row>
    <row r="109" ht="15.75" customHeight="1" s="18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</row>
    <row r="110" ht="15.75" customHeight="1" s="18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</row>
    <row r="111" ht="15.75" customHeight="1" s="18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</row>
    <row r="112" ht="15.75" customHeight="1" s="18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</row>
    <row r="113" ht="15.75" customHeight="1" s="18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</row>
    <row r="114" ht="15.75" customHeight="1" s="18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</row>
    <row r="115" ht="15.75" customHeight="1" s="18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</row>
    <row r="116" ht="15.75" customHeight="1" s="18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</row>
    <row r="117" ht="15.75" customHeight="1" s="18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</row>
    <row r="118" ht="15.75" customHeight="1" s="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</row>
    <row r="119" ht="15.75" customHeight="1" s="18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</row>
    <row r="120" ht="15.75" customHeight="1" s="18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</row>
    <row r="121" ht="15.75" customHeight="1" s="18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</row>
    <row r="122" ht="15.75" customHeight="1" s="18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</row>
    <row r="123" ht="15.75" customHeight="1" s="18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</row>
    <row r="124" ht="15.75" customHeight="1" s="18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</row>
    <row r="125" ht="15.75" customHeight="1" s="18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</row>
    <row r="126" ht="15.75" customHeight="1" s="18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</row>
    <row r="127" ht="15.75" customHeight="1" s="18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</row>
    <row r="128" ht="15.75" customHeight="1" s="1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</row>
    <row r="129" ht="15.75" customHeight="1" s="18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</row>
    <row r="130" ht="15.75" customHeight="1" s="18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</row>
    <row r="131" ht="15.75" customHeight="1" s="18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</row>
    <row r="132" ht="15.75" customHeight="1" s="18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</row>
    <row r="133" ht="15.75" customHeight="1" s="18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</row>
    <row r="134" ht="15.75" customHeight="1" s="18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</row>
    <row r="135" ht="15.75" customHeight="1" s="18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</row>
    <row r="136" ht="15.75" customHeight="1" s="18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</row>
    <row r="137" ht="15.75" customHeight="1" s="18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</row>
    <row r="138" ht="15.75" customHeight="1" s="1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</row>
    <row r="139" ht="15.75" customHeight="1" s="18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</row>
    <row r="140" ht="15.75" customHeight="1" s="18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</row>
    <row r="141" ht="15.75" customHeight="1" s="18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</row>
    <row r="142" ht="15.75" customHeight="1" s="18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</row>
    <row r="143" ht="15.75" customHeight="1" s="18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</row>
    <row r="144" ht="15.75" customHeight="1" s="18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</row>
    <row r="145" ht="15.75" customHeight="1" s="18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</row>
    <row r="146" ht="15.75" customHeight="1" s="18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</row>
    <row r="147" ht="15.75" customHeight="1" s="18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</row>
    <row r="148" ht="15.75" customHeight="1" s="1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</row>
    <row r="149" ht="15.75" customHeight="1" s="18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</row>
    <row r="150" ht="15.75" customHeight="1" s="18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</row>
    <row r="151" ht="15.75" customHeight="1" s="18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</row>
    <row r="152" ht="15.75" customHeight="1" s="18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</row>
    <row r="153" ht="15.75" customHeight="1" s="18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</row>
    <row r="154" ht="15.75" customHeight="1" s="18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</row>
    <row r="155" ht="15.75" customHeight="1" s="18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</row>
    <row r="156" ht="15.75" customHeight="1" s="18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</row>
    <row r="157" ht="15.75" customHeight="1" s="18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</row>
    <row r="158" ht="15.75" customHeight="1" s="1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</row>
    <row r="159" ht="15.75" customHeight="1" s="18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</row>
    <row r="160" ht="15.75" customHeight="1" s="18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</row>
    <row r="161" ht="15.75" customHeight="1" s="18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</row>
    <row r="162" ht="15.75" customHeight="1" s="18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</row>
    <row r="163" ht="15.75" customHeight="1" s="18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</row>
    <row r="164" ht="15.75" customHeight="1" s="18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</row>
    <row r="165" ht="15.75" customHeight="1" s="18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</row>
    <row r="166" ht="15.75" customHeight="1" s="18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</row>
    <row r="167" ht="15.75" customHeight="1" s="18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</row>
    <row r="168" ht="15.75" customHeight="1" s="1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</row>
    <row r="169" ht="15.75" customHeight="1" s="18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</row>
    <row r="170" ht="15.75" customHeight="1" s="18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</row>
    <row r="171" ht="15.75" customHeight="1" s="18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</row>
    <row r="172" ht="15.75" customHeight="1" s="18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</row>
    <row r="173" ht="15.75" customHeight="1" s="18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</row>
    <row r="174" ht="15.75" customHeight="1" s="18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</row>
    <row r="175" ht="15.75" customHeight="1" s="18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</row>
    <row r="176" ht="15.75" customHeight="1" s="18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</row>
    <row r="177" ht="15.75" customHeight="1" s="18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</row>
    <row r="178" ht="15.75" customHeight="1" s="1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</row>
    <row r="179" ht="15.75" customHeight="1" s="18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</row>
    <row r="180" ht="15.75" customHeight="1" s="18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</row>
    <row r="181" ht="15.75" customHeight="1" s="18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</row>
    <row r="182" ht="15.75" customHeight="1" s="18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</row>
    <row r="183" ht="15.75" customHeight="1" s="18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</row>
    <row r="184" ht="15.75" customHeight="1" s="18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</row>
    <row r="185" ht="15.75" customHeight="1" s="18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</row>
    <row r="186" ht="15.75" customHeight="1" s="18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</row>
    <row r="187" ht="15.75" customHeight="1" s="18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</row>
    <row r="188" ht="15.75" customHeight="1" s="1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</row>
    <row r="189" ht="15.75" customHeight="1" s="18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</row>
    <row r="190" ht="15.75" customHeight="1" s="18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</row>
    <row r="191" ht="15.75" customHeight="1" s="18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</row>
    <row r="192" ht="15.75" customHeight="1" s="18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</row>
    <row r="193" ht="15.75" customHeight="1" s="18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</row>
    <row r="194" ht="15.75" customHeight="1" s="18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</row>
    <row r="195" ht="15.75" customHeight="1" s="18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</row>
    <row r="196" ht="15.75" customHeight="1" s="18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</row>
    <row r="197" ht="15.75" customHeight="1" s="18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</row>
    <row r="198" ht="15.75" customHeight="1" s="1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</row>
    <row r="199" ht="15.75" customHeight="1" s="18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</row>
    <row r="200" ht="15.75" customHeight="1" s="18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</row>
    <row r="201" ht="15.75" customHeight="1" s="18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</row>
    <row r="202" ht="15.75" customHeight="1" s="18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</row>
    <row r="203" ht="15.75" customHeight="1" s="18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</row>
    <row r="204" ht="15.75" customHeight="1" s="18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</row>
    <row r="205" ht="15.75" customHeight="1" s="18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</row>
    <row r="206" ht="15.75" customHeight="1" s="18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</row>
    <row r="207" ht="15.75" customHeight="1" s="18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</row>
    <row r="208" ht="15.75" customHeight="1" s="1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</row>
    <row r="209" ht="15.75" customHeight="1" s="18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</row>
    <row r="210" ht="15.75" customHeight="1" s="18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</row>
    <row r="211" ht="15.75" customHeight="1" s="18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</row>
    <row r="212" ht="15.75" customHeight="1" s="18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</row>
    <row r="213" ht="15.75" customHeight="1" s="18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</row>
    <row r="214" ht="15.75" customHeight="1" s="18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</row>
    <row r="215" ht="15.75" customHeight="1" s="18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</row>
    <row r="216" ht="15.75" customHeight="1" s="18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</row>
    <row r="217" ht="15.75" customHeight="1" s="18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</row>
    <row r="218" ht="15.75" customHeight="1" s="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</row>
    <row r="219" ht="15.75" customHeight="1" s="18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</row>
    <row r="220" ht="15.75" customHeight="1" s="18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</row>
    <row r="221" ht="15.75" customHeight="1" s="18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</row>
    <row r="222" ht="15.75" customHeight="1" s="18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</row>
    <row r="223" ht="15.75" customHeight="1" s="18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</row>
    <row r="224" ht="15.75" customHeight="1" s="18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</row>
    <row r="225" ht="15.75" customHeight="1" s="18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</row>
    <row r="226" ht="15.75" customHeight="1" s="18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</row>
    <row r="227" ht="15.75" customHeight="1" s="18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</row>
    <row r="228" ht="15.75" customHeight="1" s="1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</row>
    <row r="229" ht="15.75" customHeight="1" s="18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</row>
    <row r="230" ht="15.75" customHeight="1" s="18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</row>
    <row r="231" ht="15.75" customHeight="1" s="18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</row>
    <row r="232" ht="15.75" customHeight="1" s="18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</row>
    <row r="233" ht="15.75" customHeight="1" s="18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</row>
    <row r="234" ht="15.75" customHeight="1" s="18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</row>
    <row r="235" ht="15.75" customHeight="1" s="18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</row>
    <row r="236" ht="15.75" customHeight="1" s="18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</row>
    <row r="237" ht="15.75" customHeight="1" s="18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</row>
    <row r="238" ht="15.75" customHeight="1" s="1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</row>
    <row r="239" ht="15.75" customHeight="1" s="18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</row>
    <row r="240" ht="15.75" customHeight="1" s="18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</row>
    <row r="241" ht="15.75" customHeight="1" s="18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</row>
    <row r="242" ht="15.75" customHeight="1" s="18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</row>
    <row r="243" ht="15.75" customHeight="1" s="18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</row>
    <row r="244" ht="15.75" customHeight="1" s="18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</row>
    <row r="245" ht="15.75" customHeight="1" s="18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</row>
    <row r="246" ht="15.75" customHeight="1" s="18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</row>
    <row r="247" ht="15.75" customHeight="1" s="18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</row>
    <row r="248" ht="15.75" customHeight="1" s="1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</row>
    <row r="249" ht="15.75" customHeight="1" s="18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</row>
    <row r="250" ht="15.75" customHeight="1" s="18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</row>
    <row r="251" ht="15.75" customHeight="1" s="18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</row>
    <row r="252" ht="15.75" customHeight="1" s="18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</row>
    <row r="253" ht="15.75" customHeight="1" s="18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</row>
    <row r="254" ht="15.75" customHeight="1" s="18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</row>
    <row r="255" ht="15.75" customHeight="1" s="18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</row>
    <row r="256" ht="15.75" customHeight="1" s="18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</row>
    <row r="257" ht="15.75" customHeight="1" s="18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</row>
    <row r="258" ht="15.75" customHeight="1" s="1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</row>
    <row r="259" ht="15.75" customHeight="1" s="18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</row>
    <row r="260" ht="15.75" customHeight="1" s="18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</row>
    <row r="261" ht="15.75" customHeight="1" s="18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</row>
    <row r="262" ht="15.75" customHeight="1" s="18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</row>
    <row r="263" ht="15.75" customHeight="1" s="18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</row>
    <row r="264" ht="15.75" customHeight="1" s="18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</row>
    <row r="265" ht="15.75" customHeight="1" s="18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</row>
    <row r="266" ht="15.75" customHeight="1" s="18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</row>
    <row r="267" ht="15.75" customHeight="1" s="18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</row>
    <row r="268" ht="15.75" customHeight="1" s="1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</row>
    <row r="269" ht="15.75" customHeight="1" s="18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</row>
    <row r="270" ht="15.75" customHeight="1" s="18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</row>
    <row r="271" ht="15.75" customHeight="1" s="18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</row>
    <row r="272" ht="15.75" customHeight="1" s="18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</row>
    <row r="273" ht="15.75" customHeight="1" s="18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</row>
    <row r="274" ht="15.75" customHeight="1" s="18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</row>
    <row r="275" ht="15.75" customHeight="1" s="18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</row>
    <row r="276" ht="15.75" customHeight="1" s="18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</row>
    <row r="277" ht="15.75" customHeight="1" s="18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</row>
    <row r="278" ht="15.75" customHeight="1" s="1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</row>
    <row r="279" ht="15.75" customHeight="1" s="18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</row>
    <row r="280" ht="15.75" customHeight="1" s="18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</row>
    <row r="281" ht="15.75" customHeight="1" s="18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</row>
    <row r="282" ht="15.75" customHeight="1" s="18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</row>
    <row r="283" ht="15.75" customHeight="1" s="18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</row>
    <row r="284" ht="15.75" customHeight="1" s="18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</row>
    <row r="285" ht="15.75" customHeight="1" s="18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</row>
    <row r="286" ht="15.75" customHeight="1" s="18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</row>
    <row r="287" ht="15.75" customHeight="1" s="18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</row>
    <row r="288" ht="15.75" customHeight="1" s="1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</row>
    <row r="289" ht="15.75" customHeight="1" s="18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</row>
    <row r="290" ht="15.75" customHeight="1" s="18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</row>
    <row r="291" ht="15.75" customHeight="1" s="18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</row>
    <row r="292" ht="15.75" customHeight="1" s="18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</row>
    <row r="293" ht="15.75" customHeight="1" s="18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</row>
    <row r="294" ht="15.75" customHeight="1" s="18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</row>
    <row r="295" ht="15.75" customHeight="1" s="18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</row>
    <row r="296" ht="15.75" customHeight="1" s="18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</row>
    <row r="297" ht="15.75" customHeight="1" s="18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</row>
    <row r="298" ht="15.75" customHeight="1" s="1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</row>
    <row r="299" ht="15.75" customHeight="1" s="18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</row>
    <row r="300" ht="15.75" customHeight="1" s="18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</row>
    <row r="301" ht="15.75" customHeight="1" s="18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</row>
    <row r="302" ht="15.75" customHeight="1" s="18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</row>
    <row r="303" ht="15.75" customHeight="1" s="18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</row>
    <row r="304" ht="15.75" customHeight="1" s="18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</row>
    <row r="305" ht="15.75" customHeight="1" s="18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</row>
    <row r="306" ht="15.75" customHeight="1" s="18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</row>
    <row r="307" ht="15.75" customHeight="1" s="18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</row>
    <row r="308" ht="15.75" customHeight="1" s="1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</row>
    <row r="309" ht="15.75" customHeight="1" s="18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</row>
    <row r="310" ht="15.75" customHeight="1" s="18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</row>
    <row r="311" ht="15.75" customHeight="1" s="18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</row>
    <row r="312" ht="15.75" customHeight="1" s="18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</row>
    <row r="313" ht="15.75" customHeight="1" s="18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</row>
    <row r="314" ht="15.75" customHeight="1" s="18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</row>
    <row r="315" ht="15.75" customHeight="1" s="18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</row>
    <row r="316" ht="15.75" customHeight="1" s="18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</row>
    <row r="317" ht="15.75" customHeight="1" s="18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</row>
    <row r="318" ht="15.75" customHeight="1" s="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</row>
    <row r="319" ht="15.75" customHeight="1" s="18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</row>
    <row r="320" ht="15.75" customHeight="1" s="18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</row>
    <row r="321" ht="15.75" customHeight="1" s="18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</row>
    <row r="322" ht="15.75" customHeight="1" s="18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</row>
    <row r="323" ht="15.75" customHeight="1" s="18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</row>
    <row r="324" ht="15.75" customHeight="1" s="18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</row>
    <row r="325" ht="15.75" customHeight="1" s="18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</row>
    <row r="326" ht="15.75" customHeight="1" s="18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</row>
    <row r="327" ht="15.75" customHeight="1" s="18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</row>
    <row r="328" ht="15.75" customHeight="1" s="1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</row>
    <row r="329" ht="15.75" customHeight="1" s="18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</row>
    <row r="330" ht="15.75" customHeight="1" s="18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</row>
    <row r="331" ht="15.75" customHeight="1" s="18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</row>
    <row r="332" ht="15.75" customHeight="1" s="18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</row>
    <row r="333" ht="15.75" customHeight="1" s="18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</row>
    <row r="334" ht="15.75" customHeight="1" s="18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</row>
    <row r="335" ht="15.75" customHeight="1" s="18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</row>
    <row r="336" ht="15.75" customHeight="1" s="18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</row>
    <row r="337" ht="15.75" customHeight="1" s="18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</row>
    <row r="338" ht="15.75" customHeight="1" s="1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</row>
    <row r="339" ht="15.75" customHeight="1" s="18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</row>
    <row r="340" ht="15.75" customHeight="1" s="18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</row>
    <row r="341" ht="15.75" customHeight="1" s="18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</row>
    <row r="342" ht="15.75" customHeight="1" s="18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</row>
    <row r="343" ht="15.75" customHeight="1" s="18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</row>
    <row r="344" ht="15.75" customHeight="1" s="18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</row>
    <row r="345" ht="15.75" customHeight="1" s="18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</row>
    <row r="346" ht="15.75" customHeight="1" s="18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</row>
    <row r="347" ht="15.75" customHeight="1" s="18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</row>
    <row r="348" ht="15.75" customHeight="1" s="1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</row>
    <row r="349" ht="15.75" customHeight="1" s="18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</row>
    <row r="350" ht="15.75" customHeight="1" s="18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</row>
    <row r="351" ht="15.75" customHeight="1" s="18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</row>
    <row r="352" ht="15.75" customHeight="1" s="18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</row>
    <row r="353" ht="15.75" customHeight="1" s="18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</row>
    <row r="354" ht="15.75" customHeight="1" s="18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</row>
    <row r="355" ht="15.75" customHeight="1" s="18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</row>
    <row r="356" ht="15.75" customHeight="1" s="18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</row>
    <row r="357" ht="15.75" customHeight="1" s="18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</row>
    <row r="358" ht="15.75" customHeight="1" s="1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</row>
    <row r="359" ht="15.75" customHeight="1" s="18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</row>
    <row r="360" ht="15.75" customHeight="1" s="18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</row>
    <row r="361" ht="15.75" customHeight="1" s="18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</row>
    <row r="362" ht="15.75" customHeight="1" s="18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</row>
    <row r="363" ht="15.75" customHeight="1" s="18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</row>
    <row r="364" ht="15.75" customHeight="1" s="18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</row>
    <row r="365" ht="15.75" customHeight="1" s="18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</row>
    <row r="366" ht="15.75" customHeight="1" s="18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</row>
    <row r="367" ht="15.75" customHeight="1" s="18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</row>
    <row r="368" ht="15.75" customHeight="1" s="1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</row>
    <row r="369" ht="15.75" customHeight="1" s="18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</row>
    <row r="370" ht="15.75" customHeight="1" s="18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</row>
    <row r="371" ht="15.75" customHeight="1" s="18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</row>
    <row r="372" ht="15.75" customHeight="1" s="18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</row>
    <row r="373" ht="15.75" customHeight="1" s="18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</row>
    <row r="374" ht="15.75" customHeight="1" s="18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</row>
    <row r="375" ht="15.75" customHeight="1" s="18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</row>
    <row r="376" ht="15.75" customHeight="1" s="18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</row>
    <row r="377" ht="15.75" customHeight="1" s="18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</row>
    <row r="378" ht="15.75" customHeight="1" s="1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</row>
    <row r="379" ht="15.75" customHeight="1" s="18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</row>
    <row r="380" ht="15.75" customHeight="1" s="18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</row>
    <row r="381" ht="15.75" customHeight="1" s="18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</row>
    <row r="382" ht="15.75" customHeight="1" s="18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</row>
    <row r="383" ht="15.75" customHeight="1" s="18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</row>
    <row r="384" ht="15.75" customHeight="1" s="18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</row>
    <row r="385" ht="15.75" customHeight="1" s="18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</row>
    <row r="386" ht="15.75" customHeight="1" s="18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</row>
    <row r="387" ht="15.75" customHeight="1" s="18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</row>
    <row r="388" ht="15.75" customHeight="1" s="1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</row>
    <row r="389" ht="15.75" customHeight="1" s="18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</row>
    <row r="390" ht="15.75" customHeight="1" s="18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</row>
    <row r="391" ht="15.75" customHeight="1" s="18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</row>
    <row r="392" ht="15.75" customHeight="1" s="18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</row>
    <row r="393" ht="15.75" customHeight="1" s="18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</row>
    <row r="394" ht="15.75" customHeight="1" s="18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</row>
    <row r="395" ht="15.75" customHeight="1" s="18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</row>
    <row r="396" ht="15.75" customHeight="1" s="18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</row>
    <row r="397" ht="15.75" customHeight="1" s="18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</row>
    <row r="398" ht="15.75" customHeight="1" s="1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</row>
    <row r="399" ht="15.75" customHeight="1" s="18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</row>
    <row r="400" ht="15.75" customHeight="1" s="18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</row>
    <row r="401" ht="15.75" customHeight="1" s="18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</row>
    <row r="402" ht="15.75" customHeight="1" s="18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</row>
    <row r="403" ht="15.75" customHeight="1" s="18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</row>
    <row r="404" ht="15.75" customHeight="1" s="18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</row>
    <row r="405" ht="15.75" customHeight="1" s="18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</row>
    <row r="406" ht="15.75" customHeight="1" s="18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</row>
    <row r="407" ht="15.75" customHeight="1" s="18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</row>
    <row r="408" ht="15.75" customHeight="1" s="1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</row>
    <row r="409" ht="15.75" customHeight="1" s="18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</row>
    <row r="410" ht="15.75" customHeight="1" s="18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</row>
    <row r="411" ht="15.75" customHeight="1" s="18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</row>
    <row r="412" ht="15.75" customHeight="1" s="18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</row>
    <row r="413" ht="15.75" customHeight="1" s="18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</row>
    <row r="414" ht="15.75" customHeight="1" s="18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</row>
    <row r="415" ht="15.75" customHeight="1" s="18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</row>
    <row r="416" ht="15.75" customHeight="1" s="18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</row>
    <row r="417" ht="15.75" customHeight="1" s="18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</row>
    <row r="418" ht="15.75" customHeight="1" s="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</row>
    <row r="419" ht="15.75" customHeight="1" s="18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</row>
    <row r="420" ht="15.75" customHeight="1" s="18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</row>
    <row r="421" ht="15.75" customHeight="1" s="18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</row>
    <row r="422" ht="15.75" customHeight="1" s="18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</row>
    <row r="423" ht="15.75" customHeight="1" s="18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</row>
    <row r="424" ht="15.75" customHeight="1" s="18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</row>
    <row r="425" ht="15.75" customHeight="1" s="18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</row>
    <row r="426" ht="15.75" customHeight="1" s="18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</row>
    <row r="427" ht="15.75" customHeight="1" s="18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</row>
    <row r="428" ht="15.75" customHeight="1" s="1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</row>
    <row r="429" ht="15.75" customHeight="1" s="18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</row>
    <row r="430" ht="15.75" customHeight="1" s="18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</row>
    <row r="431" ht="15.75" customHeight="1" s="18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</row>
    <row r="432" ht="15.75" customHeight="1" s="18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</row>
    <row r="433" ht="15.75" customHeight="1" s="18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</row>
    <row r="434" ht="15.75" customHeight="1" s="18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</row>
    <row r="435" ht="15.75" customHeight="1" s="18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</row>
    <row r="436" ht="15.75" customHeight="1" s="18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</row>
    <row r="437" ht="15.75" customHeight="1" s="18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</row>
    <row r="438" ht="15.75" customHeight="1" s="1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</row>
    <row r="439" ht="15.75" customHeight="1" s="18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</row>
    <row r="440" ht="15.75" customHeight="1" s="18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</row>
    <row r="441" ht="15.75" customHeight="1" s="18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</row>
    <row r="442" ht="15.75" customHeight="1" s="18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</row>
    <row r="443" ht="15.75" customHeight="1" s="18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</row>
    <row r="444" ht="15.75" customHeight="1" s="18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</row>
    <row r="445" ht="15.75" customHeight="1" s="18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</row>
    <row r="446" ht="15.75" customHeight="1" s="18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</row>
    <row r="447" ht="15.75" customHeight="1" s="18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</row>
    <row r="448" ht="15.75" customHeight="1" s="1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</row>
    <row r="449" ht="15.75" customHeight="1" s="18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</row>
    <row r="450" ht="15.75" customHeight="1" s="18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</row>
    <row r="451" ht="15.75" customHeight="1" s="18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</row>
    <row r="452" ht="15.75" customHeight="1" s="18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</row>
    <row r="453" ht="15.75" customHeight="1" s="18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</row>
    <row r="454" ht="15.75" customHeight="1" s="18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</row>
    <row r="455" ht="15.75" customHeight="1" s="18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</row>
    <row r="456" ht="15.75" customHeight="1" s="18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</row>
    <row r="457" ht="15.75" customHeight="1" s="18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</row>
    <row r="458" ht="15.75" customHeight="1" s="1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</row>
    <row r="459" ht="15.75" customHeight="1" s="18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</row>
    <row r="460" ht="15.75" customHeight="1" s="18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</row>
    <row r="461" ht="15.75" customHeight="1" s="18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</row>
    <row r="462" ht="15.75" customHeight="1" s="18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</row>
    <row r="463" ht="15.75" customHeight="1" s="18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</row>
    <row r="464" ht="15.75" customHeight="1" s="18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</row>
    <row r="465" ht="15.75" customHeight="1" s="18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</row>
    <row r="466" ht="15.75" customHeight="1" s="18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</row>
    <row r="467" ht="15.75" customHeight="1" s="18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</row>
    <row r="468" ht="15.75" customHeight="1" s="1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</row>
    <row r="469" ht="15.75" customHeight="1" s="18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</row>
    <row r="470" ht="15.75" customHeight="1" s="18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</row>
    <row r="471" ht="15.75" customHeight="1" s="18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</row>
    <row r="472" ht="15.75" customHeight="1" s="18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</row>
    <row r="473" ht="15.75" customHeight="1" s="18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</row>
    <row r="474" ht="15.75" customHeight="1" s="18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</row>
    <row r="475" ht="15.75" customHeight="1" s="18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</row>
    <row r="476" ht="15.75" customHeight="1" s="18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</row>
    <row r="477" ht="15.75" customHeight="1" s="18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</row>
    <row r="478" ht="15.75" customHeight="1" s="1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</row>
    <row r="479" ht="15.75" customHeight="1" s="18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</row>
    <row r="480" ht="15.75" customHeight="1" s="18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</row>
    <row r="481" ht="15.75" customHeight="1" s="18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</row>
    <row r="482" ht="15.75" customHeight="1" s="18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</row>
    <row r="483" ht="15.75" customHeight="1" s="18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</row>
    <row r="484" ht="15.75" customHeight="1" s="18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</row>
    <row r="485" ht="15.75" customHeight="1" s="18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</row>
    <row r="486" ht="15.75" customHeight="1" s="18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</row>
    <row r="487" ht="15.75" customHeight="1" s="18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</row>
    <row r="488" ht="15.75" customHeight="1" s="1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</row>
    <row r="489" ht="15.75" customHeight="1" s="18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</row>
    <row r="490" ht="15.75" customHeight="1" s="18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</row>
    <row r="491" ht="15.75" customHeight="1" s="18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</row>
    <row r="492" ht="15.75" customHeight="1" s="18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</row>
    <row r="493" ht="15.75" customHeight="1" s="18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</row>
    <row r="494" ht="15.75" customHeight="1" s="18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</row>
    <row r="495" ht="15.75" customHeight="1" s="18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</row>
    <row r="496" ht="15.75" customHeight="1" s="18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</row>
    <row r="497" ht="15.75" customHeight="1" s="18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</row>
    <row r="498" ht="15.75" customHeight="1" s="1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</row>
    <row r="499" ht="15.75" customHeight="1" s="18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</row>
    <row r="500" ht="15.75" customHeight="1" s="18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</row>
    <row r="501" ht="15.75" customHeight="1" s="18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</row>
    <row r="502" ht="15.75" customHeight="1" s="18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</row>
    <row r="503" ht="15.75" customHeight="1" s="18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</row>
    <row r="504" ht="15.75" customHeight="1" s="18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</row>
    <row r="505" ht="15.75" customHeight="1" s="18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</row>
    <row r="506" ht="15.75" customHeight="1" s="18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</row>
    <row r="507" ht="15.75" customHeight="1" s="18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</row>
    <row r="508" ht="15.75" customHeight="1" s="1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</row>
    <row r="509" ht="15.75" customHeight="1" s="18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</row>
    <row r="510" ht="15.75" customHeight="1" s="18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</row>
    <row r="511" ht="15.75" customHeight="1" s="18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</row>
    <row r="512" ht="15.75" customHeight="1" s="18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</row>
    <row r="513" ht="15.75" customHeight="1" s="18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</row>
    <row r="514" ht="15.75" customHeight="1" s="18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</row>
    <row r="515" ht="15.75" customHeight="1" s="18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</row>
    <row r="516" ht="15.75" customHeight="1" s="18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</row>
    <row r="517" ht="15.75" customHeight="1" s="18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</row>
    <row r="518" ht="15.75" customHeight="1" s="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</row>
    <row r="519" ht="15.75" customHeight="1" s="18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</row>
    <row r="520" ht="15.75" customHeight="1" s="18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</row>
    <row r="521" ht="15.75" customHeight="1" s="18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</row>
    <row r="522" ht="15.75" customHeight="1" s="18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</row>
    <row r="523" ht="15.75" customHeight="1" s="18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</row>
    <row r="524" ht="15.75" customHeight="1" s="18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</row>
    <row r="525" ht="15.75" customHeight="1" s="18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</row>
    <row r="526" ht="15.75" customHeight="1" s="18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</row>
    <row r="527" ht="15.75" customHeight="1" s="18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</row>
    <row r="528" ht="15.75" customHeight="1" s="1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</row>
    <row r="529" ht="15.75" customHeight="1" s="18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</row>
    <row r="530" ht="15.75" customHeight="1" s="18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</row>
    <row r="531" ht="15.75" customHeight="1" s="18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</row>
    <row r="532" ht="15.75" customHeight="1" s="18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</row>
    <row r="533" ht="15.75" customHeight="1" s="18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</row>
    <row r="534" ht="15.75" customHeight="1" s="18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</row>
    <row r="535" ht="15.75" customHeight="1" s="18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</row>
    <row r="536" ht="15.75" customHeight="1" s="18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</row>
    <row r="537" ht="15.75" customHeight="1" s="18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</row>
    <row r="538" ht="15.75" customHeight="1" s="1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</row>
    <row r="539" ht="15.75" customHeight="1" s="18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</row>
    <row r="540" ht="15.75" customHeight="1" s="18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</row>
    <row r="541" ht="15.75" customHeight="1" s="18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</row>
    <row r="542" ht="15.75" customHeight="1" s="18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</row>
    <row r="543" ht="15.75" customHeight="1" s="18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</row>
    <row r="544" ht="15.75" customHeight="1" s="18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</row>
    <row r="545" ht="15.75" customHeight="1" s="18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</row>
    <row r="546" ht="15.75" customHeight="1" s="18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</row>
    <row r="547" ht="15.75" customHeight="1" s="18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</row>
    <row r="548" ht="15.75" customHeight="1" s="1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</row>
    <row r="549" ht="15.75" customHeight="1" s="18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</row>
    <row r="550" ht="15.75" customHeight="1" s="18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</row>
    <row r="551" ht="15.75" customHeight="1" s="18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</row>
    <row r="552" ht="15.75" customHeight="1" s="18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</row>
    <row r="553" ht="15.75" customHeight="1" s="18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</row>
    <row r="554" ht="15.75" customHeight="1" s="18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</row>
    <row r="555" ht="15.75" customHeight="1" s="18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</row>
    <row r="556" ht="15.75" customHeight="1" s="18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</row>
    <row r="557" ht="15.75" customHeight="1" s="18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</row>
    <row r="558" ht="15.75" customHeight="1" s="1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</row>
    <row r="559" ht="15.75" customHeight="1" s="18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</row>
    <row r="560" ht="15.75" customHeight="1" s="18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</row>
    <row r="561" ht="15.75" customHeight="1" s="18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</row>
    <row r="562" ht="15.75" customHeight="1" s="18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</row>
    <row r="563" ht="15.75" customHeight="1" s="18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</row>
    <row r="564" ht="15.75" customHeight="1" s="18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</row>
    <row r="565" ht="15.75" customHeight="1" s="18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</row>
    <row r="566" ht="15.75" customHeight="1" s="18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</row>
    <row r="567" ht="15.75" customHeight="1" s="18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</row>
    <row r="568" ht="15.75" customHeight="1" s="1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</row>
    <row r="569" ht="15.75" customHeight="1" s="18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</row>
    <row r="570" ht="15.75" customHeight="1" s="18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</row>
    <row r="571" ht="15.75" customHeight="1" s="18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</row>
    <row r="572" ht="15.75" customHeight="1" s="18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</row>
    <row r="573" ht="15.75" customHeight="1" s="18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</row>
    <row r="574" ht="15.75" customHeight="1" s="18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</row>
    <row r="575" ht="15.75" customHeight="1" s="18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</row>
    <row r="576" ht="15.75" customHeight="1" s="18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</row>
    <row r="577" ht="15.75" customHeight="1" s="18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</row>
    <row r="578" ht="15.75" customHeight="1" s="1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</row>
    <row r="579" ht="15.75" customHeight="1" s="18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</row>
    <row r="580" ht="15.75" customHeight="1" s="18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</row>
    <row r="581" ht="15.75" customHeight="1" s="18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</row>
    <row r="582" ht="15.75" customHeight="1" s="18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</row>
    <row r="583" ht="15.75" customHeight="1" s="18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</row>
    <row r="584" ht="15.75" customHeight="1" s="18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</row>
    <row r="585" ht="15.75" customHeight="1" s="18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</row>
    <row r="586" ht="15.75" customHeight="1" s="18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</row>
    <row r="587" ht="15.75" customHeight="1" s="18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</row>
    <row r="588" ht="15.75" customHeight="1" s="1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</row>
    <row r="589" ht="15.75" customHeight="1" s="18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</row>
    <row r="590" ht="15.75" customHeight="1" s="18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</row>
    <row r="591" ht="15.75" customHeight="1" s="18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</row>
    <row r="592" ht="15.75" customHeight="1" s="18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</row>
    <row r="593" ht="15.75" customHeight="1" s="18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</row>
    <row r="594" ht="15.75" customHeight="1" s="18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</row>
    <row r="595" ht="15.75" customHeight="1" s="18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</row>
    <row r="596" ht="15.75" customHeight="1" s="18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</row>
    <row r="597" ht="15.75" customHeight="1" s="18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</row>
    <row r="598" ht="15.75" customHeight="1" s="1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</row>
    <row r="599" ht="15.75" customHeight="1" s="18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</row>
    <row r="600" ht="15.75" customHeight="1" s="18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</row>
    <row r="601" ht="15.75" customHeight="1" s="18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</row>
    <row r="602" ht="15.75" customHeight="1" s="18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</row>
    <row r="603" ht="15.75" customHeight="1" s="18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</row>
    <row r="604" ht="15.75" customHeight="1" s="18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</row>
    <row r="605" ht="15.75" customHeight="1" s="18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</row>
    <row r="606" ht="15.75" customHeight="1" s="18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</row>
    <row r="607" ht="15.75" customHeight="1" s="18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</row>
    <row r="608" ht="15.75" customHeight="1" s="1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</row>
    <row r="609" ht="15.75" customHeight="1" s="18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</row>
    <row r="610" ht="15.75" customHeight="1" s="18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</row>
    <row r="611" ht="15.75" customHeight="1" s="18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</row>
    <row r="612" ht="15.75" customHeight="1" s="18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</row>
    <row r="613" ht="15.75" customHeight="1" s="18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</row>
    <row r="614" ht="15.75" customHeight="1" s="18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</row>
    <row r="615" ht="15.75" customHeight="1" s="18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</row>
    <row r="616" ht="15.75" customHeight="1" s="18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</row>
    <row r="617" ht="15.75" customHeight="1" s="18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</row>
    <row r="618" ht="15.75" customHeight="1" s="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</row>
    <row r="619" ht="15.75" customHeight="1" s="18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</row>
    <row r="620" ht="15.75" customHeight="1" s="18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</row>
    <row r="621" ht="15.75" customHeight="1" s="18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</row>
    <row r="622" ht="15.75" customHeight="1" s="18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</row>
    <row r="623" ht="15.75" customHeight="1" s="18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</row>
    <row r="624" ht="15.75" customHeight="1" s="18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</row>
    <row r="625" ht="15.75" customHeight="1" s="18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</row>
    <row r="626" ht="15.75" customHeight="1" s="18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</row>
    <row r="627" ht="15.75" customHeight="1" s="18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</row>
    <row r="628" ht="15.75" customHeight="1" s="1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</row>
    <row r="629" ht="15.75" customHeight="1" s="18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</row>
    <row r="630" ht="15.75" customHeight="1" s="18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</row>
    <row r="631" ht="15.75" customHeight="1" s="18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</row>
    <row r="632" ht="15.75" customHeight="1" s="18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</row>
    <row r="633" ht="15.75" customHeight="1" s="18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</row>
    <row r="634" ht="15.75" customHeight="1" s="18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</row>
    <row r="635" ht="15.75" customHeight="1" s="18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</row>
    <row r="636" ht="15.75" customHeight="1" s="18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</row>
    <row r="637" ht="15.75" customHeight="1" s="18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</row>
    <row r="638" ht="15.75" customHeight="1" s="1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</row>
    <row r="639" ht="15.75" customHeight="1" s="18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</row>
    <row r="640" ht="15.75" customHeight="1" s="18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</row>
    <row r="641" ht="15.75" customHeight="1" s="18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</row>
    <row r="642" ht="15.75" customHeight="1" s="18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</row>
    <row r="643" ht="15.75" customHeight="1" s="18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</row>
    <row r="644" ht="15.75" customHeight="1" s="18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</row>
    <row r="645" ht="15.75" customHeight="1" s="18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</row>
    <row r="646" ht="15.75" customHeight="1" s="18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</row>
    <row r="647" ht="15.75" customHeight="1" s="18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</row>
    <row r="648" ht="15.75" customHeight="1" s="1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</row>
    <row r="649" ht="15.75" customHeight="1" s="18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</row>
    <row r="650" ht="15.75" customHeight="1" s="18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</row>
    <row r="651" ht="15.75" customHeight="1" s="18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</row>
    <row r="652" ht="15.75" customHeight="1" s="18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</row>
    <row r="653" ht="15.75" customHeight="1" s="18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</row>
    <row r="654" ht="15.75" customHeight="1" s="18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</row>
    <row r="655" ht="15.75" customHeight="1" s="18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</row>
    <row r="656" ht="15.75" customHeight="1" s="18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</row>
    <row r="657" ht="15.75" customHeight="1" s="18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</row>
    <row r="658" ht="15.75" customHeight="1" s="1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</row>
    <row r="659" ht="15.75" customHeight="1" s="18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</row>
    <row r="660" ht="15.75" customHeight="1" s="18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</row>
    <row r="661" ht="15.75" customHeight="1" s="18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</row>
    <row r="662" ht="15.75" customHeight="1" s="18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</row>
    <row r="663" ht="15.75" customHeight="1" s="18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</row>
    <row r="664" ht="15.75" customHeight="1" s="18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</row>
    <row r="665" ht="15.75" customHeight="1" s="18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</row>
    <row r="666" ht="15.75" customHeight="1" s="18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</row>
    <row r="667" ht="15.75" customHeight="1" s="18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</row>
    <row r="668" ht="15.75" customHeight="1" s="1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</row>
    <row r="669" ht="15.75" customHeight="1" s="18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</row>
    <row r="670" ht="15.75" customHeight="1" s="18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</row>
    <row r="671" ht="15.75" customHeight="1" s="18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</row>
    <row r="672" ht="15.75" customHeight="1" s="18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</row>
    <row r="673" ht="15.75" customHeight="1" s="18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</row>
    <row r="674" ht="15.75" customHeight="1" s="18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</row>
    <row r="675" ht="15.75" customHeight="1" s="18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</row>
    <row r="676" ht="15.75" customHeight="1" s="18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</row>
    <row r="677" ht="15.75" customHeight="1" s="18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</row>
    <row r="678" ht="15.75" customHeight="1" s="1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</row>
    <row r="679" ht="15.75" customHeight="1" s="18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</row>
    <row r="680" ht="15.75" customHeight="1" s="18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</row>
    <row r="681" ht="15.75" customHeight="1" s="18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</row>
    <row r="682" ht="15.75" customHeight="1" s="18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</row>
    <row r="683" ht="15.75" customHeight="1" s="18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</row>
    <row r="684" ht="15.75" customHeight="1" s="18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</row>
    <row r="685" ht="15.75" customHeight="1" s="18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</row>
    <row r="686" ht="15.75" customHeight="1" s="18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</row>
    <row r="687" ht="15.75" customHeight="1" s="18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</row>
    <row r="688" ht="15.75" customHeight="1" s="1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</row>
    <row r="689" ht="15.75" customHeight="1" s="18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</row>
    <row r="690" ht="15.75" customHeight="1" s="18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</row>
    <row r="691" ht="15.75" customHeight="1" s="18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</row>
    <row r="692" ht="15.75" customHeight="1" s="18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</row>
    <row r="693" ht="15.75" customHeight="1" s="18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</row>
    <row r="694" ht="15.75" customHeight="1" s="18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</row>
    <row r="695" ht="15.75" customHeight="1" s="18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</row>
    <row r="696" ht="15.75" customHeight="1" s="18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</row>
    <row r="697" ht="15.75" customHeight="1" s="18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</row>
    <row r="698" ht="15.75" customHeight="1" s="1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</row>
    <row r="699" ht="15.75" customHeight="1" s="18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</row>
    <row r="700" ht="15.75" customHeight="1" s="18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</row>
    <row r="701" ht="15.75" customHeight="1" s="18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</row>
    <row r="702" ht="15.75" customHeight="1" s="18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</row>
    <row r="703" ht="15.75" customHeight="1" s="18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</row>
    <row r="704" ht="15.75" customHeight="1" s="18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</row>
    <row r="705" ht="15.75" customHeight="1" s="18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</row>
    <row r="706" ht="15.75" customHeight="1" s="18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</row>
    <row r="707" ht="15.75" customHeight="1" s="18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</row>
    <row r="708" ht="15.75" customHeight="1" s="1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</row>
    <row r="709" ht="15.75" customHeight="1" s="18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</row>
    <row r="710" ht="15.75" customHeight="1" s="18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</row>
    <row r="711" ht="15.75" customHeight="1" s="18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</row>
    <row r="712" ht="15.75" customHeight="1" s="18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</row>
    <row r="713" ht="15.75" customHeight="1" s="18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</row>
    <row r="714" ht="15.75" customHeight="1" s="18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</row>
    <row r="715" ht="15.75" customHeight="1" s="18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</row>
    <row r="716" ht="15.75" customHeight="1" s="18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</row>
    <row r="717" ht="15.75" customHeight="1" s="18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</row>
    <row r="718" ht="15.75" customHeight="1" s="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</row>
    <row r="719" ht="15.75" customHeight="1" s="18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</row>
    <row r="720" ht="15.75" customHeight="1" s="18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</row>
    <row r="721" ht="15.75" customHeight="1" s="18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</row>
    <row r="722" ht="15.75" customHeight="1" s="18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</row>
    <row r="723" ht="15.75" customHeight="1" s="18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</row>
    <row r="724" ht="15.75" customHeight="1" s="18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</row>
    <row r="725" ht="15.75" customHeight="1" s="18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</row>
    <row r="726" ht="15.75" customHeight="1" s="18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</row>
    <row r="727" ht="15.75" customHeight="1" s="18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</row>
    <row r="728" ht="15.75" customHeight="1" s="1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</row>
    <row r="729" ht="15.75" customHeight="1" s="18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</row>
    <row r="730" ht="15.75" customHeight="1" s="18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</row>
    <row r="731" ht="15.75" customHeight="1" s="18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</row>
    <row r="732" ht="15.75" customHeight="1" s="18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</row>
    <row r="733" ht="15.75" customHeight="1" s="18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</row>
    <row r="734" ht="15.75" customHeight="1" s="18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</row>
    <row r="735" ht="15.75" customHeight="1" s="18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</row>
    <row r="736" ht="15.75" customHeight="1" s="18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</row>
    <row r="737" ht="15.75" customHeight="1" s="18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</row>
    <row r="738" ht="15.75" customHeight="1" s="1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</row>
    <row r="739" ht="15.75" customHeight="1" s="18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</row>
    <row r="740" ht="15.75" customHeight="1" s="18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</row>
    <row r="741" ht="15.75" customHeight="1" s="18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</row>
    <row r="742" ht="15.75" customHeight="1" s="18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</row>
    <row r="743" ht="15.75" customHeight="1" s="18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</row>
    <row r="744" ht="15.75" customHeight="1" s="18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</row>
    <row r="745" ht="15.75" customHeight="1" s="18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</row>
    <row r="746" ht="15.75" customHeight="1" s="18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</row>
    <row r="747" ht="15.75" customHeight="1" s="18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</row>
    <row r="748" ht="15.75" customHeight="1" s="1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</row>
    <row r="749" ht="15.75" customHeight="1" s="18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</row>
    <row r="750" ht="15.75" customHeight="1" s="18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</row>
    <row r="751" ht="15.75" customHeight="1" s="18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</row>
    <row r="752" ht="15.75" customHeight="1" s="18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</row>
    <row r="753" ht="15.75" customHeight="1" s="18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</row>
    <row r="754" ht="15.75" customHeight="1" s="18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</row>
    <row r="755" ht="15.75" customHeight="1" s="18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</row>
    <row r="756" ht="15.75" customHeight="1" s="18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</row>
    <row r="757" ht="15.75" customHeight="1" s="18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</row>
    <row r="758" ht="15.75" customHeight="1" s="1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</row>
    <row r="759" ht="15.75" customHeight="1" s="18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</row>
    <row r="760" ht="15.75" customHeight="1" s="18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</row>
    <row r="761" ht="15.75" customHeight="1" s="18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</row>
    <row r="762" ht="15.75" customHeight="1" s="18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</row>
    <row r="763" ht="15.75" customHeight="1" s="18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</row>
    <row r="764" ht="15.75" customHeight="1" s="18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</row>
    <row r="765" ht="15.75" customHeight="1" s="18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</row>
    <row r="766" ht="15.75" customHeight="1" s="18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</row>
    <row r="767" ht="15.75" customHeight="1" s="18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</row>
    <row r="768" ht="15.75" customHeight="1" s="1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</row>
    <row r="769" ht="15.75" customHeight="1" s="18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</row>
    <row r="770" ht="15.75" customHeight="1" s="18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</row>
    <row r="771" ht="15.75" customHeight="1" s="18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</row>
    <row r="772" ht="15.75" customHeight="1" s="18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</row>
    <row r="773" ht="15.75" customHeight="1" s="18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</row>
    <row r="774" ht="15.75" customHeight="1" s="18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</row>
    <row r="775" ht="15.75" customHeight="1" s="18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</row>
    <row r="776" ht="15.75" customHeight="1" s="18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</row>
    <row r="777" ht="15.75" customHeight="1" s="18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</row>
    <row r="778" ht="15.75" customHeight="1" s="1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</row>
    <row r="779" ht="15.75" customHeight="1" s="18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</row>
    <row r="780" ht="15.75" customHeight="1" s="18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</row>
    <row r="781" ht="15.75" customHeight="1" s="18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</row>
    <row r="782" ht="15.75" customHeight="1" s="18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</row>
    <row r="783" ht="15.75" customHeight="1" s="18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</row>
    <row r="784" ht="15.75" customHeight="1" s="18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</row>
    <row r="785" ht="15.75" customHeight="1" s="18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</row>
    <row r="786" ht="15.75" customHeight="1" s="18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</row>
    <row r="787" ht="15.75" customHeight="1" s="18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</row>
    <row r="788" ht="15.75" customHeight="1" s="1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</row>
    <row r="789" ht="15.75" customHeight="1" s="18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</row>
    <row r="790" ht="15.75" customHeight="1" s="18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</row>
    <row r="791" ht="15.75" customHeight="1" s="18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</row>
    <row r="792" ht="15.75" customHeight="1" s="18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</row>
    <row r="793" ht="15.75" customHeight="1" s="18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</row>
    <row r="794" ht="15.75" customHeight="1" s="18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</row>
    <row r="795" ht="15.75" customHeight="1" s="18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</row>
    <row r="796" ht="15.75" customHeight="1" s="18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</row>
    <row r="797" ht="15.75" customHeight="1" s="18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</row>
    <row r="798" ht="15.75" customHeight="1" s="1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</row>
    <row r="799" ht="15.75" customHeight="1" s="18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</row>
    <row r="800" ht="15.75" customHeight="1" s="18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</row>
    <row r="801" ht="15.75" customHeight="1" s="18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</row>
    <row r="802" ht="15.75" customHeight="1" s="18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</row>
    <row r="803" ht="15.75" customHeight="1" s="18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</row>
    <row r="804" ht="15.75" customHeight="1" s="18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</row>
    <row r="805" ht="15.75" customHeight="1" s="18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</row>
    <row r="806" ht="15.75" customHeight="1" s="18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</row>
    <row r="807" ht="15.75" customHeight="1" s="18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</row>
    <row r="808" ht="15.75" customHeight="1" s="1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</row>
    <row r="809" ht="15.75" customHeight="1" s="18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</row>
    <row r="810" ht="15.75" customHeight="1" s="18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</row>
    <row r="811" ht="15.75" customHeight="1" s="18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</row>
    <row r="812" ht="15.75" customHeight="1" s="18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</row>
    <row r="813" ht="15.75" customHeight="1" s="18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</row>
    <row r="814" ht="15.75" customHeight="1" s="18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</row>
    <row r="815" ht="15.75" customHeight="1" s="18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</row>
    <row r="816" ht="15.75" customHeight="1" s="18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</row>
    <row r="817" ht="15.75" customHeight="1" s="18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</row>
    <row r="818" ht="15.75" customHeight="1" s="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</row>
    <row r="819" ht="15.75" customHeight="1" s="18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</row>
    <row r="820" ht="15.75" customHeight="1" s="18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</row>
    <row r="821" ht="15.75" customHeight="1" s="18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</row>
    <row r="822" ht="15.75" customHeight="1" s="18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</row>
    <row r="823" ht="15.75" customHeight="1" s="18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</row>
    <row r="824" ht="15.75" customHeight="1" s="18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</row>
    <row r="825" ht="15.75" customHeight="1" s="18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</row>
    <row r="826" ht="15.75" customHeight="1" s="18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</row>
    <row r="827" ht="15.75" customHeight="1" s="18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</row>
    <row r="828" ht="15.75" customHeight="1" s="1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</row>
    <row r="829" ht="15.75" customHeight="1" s="18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</row>
    <row r="830" ht="15.75" customHeight="1" s="18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</row>
    <row r="831" ht="15.75" customHeight="1" s="18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</row>
    <row r="832" ht="15.75" customHeight="1" s="18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</row>
    <row r="833" ht="15.75" customHeight="1" s="18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</row>
    <row r="834" ht="15.75" customHeight="1" s="18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</row>
    <row r="835" ht="15.75" customHeight="1" s="18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</row>
    <row r="836" ht="15.75" customHeight="1" s="18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</row>
    <row r="837" ht="15.75" customHeight="1" s="18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</row>
    <row r="838" ht="15.75" customHeight="1" s="1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</row>
    <row r="839" ht="15.75" customHeight="1" s="18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</row>
    <row r="840" ht="15.75" customHeight="1" s="18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</row>
    <row r="841" ht="15.75" customHeight="1" s="18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</row>
    <row r="842" ht="15.75" customHeight="1" s="18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</row>
    <row r="843" ht="15.75" customHeight="1" s="18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</row>
    <row r="844" ht="15.75" customHeight="1" s="18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</row>
    <row r="845" ht="15.75" customHeight="1" s="18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</row>
    <row r="846" ht="15.75" customHeight="1" s="18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</row>
    <row r="847" ht="15.75" customHeight="1" s="18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</row>
    <row r="848" ht="15.75" customHeight="1" s="1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</row>
    <row r="849" ht="15.75" customHeight="1" s="18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</row>
    <row r="850" ht="15.75" customHeight="1" s="18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</row>
    <row r="851" ht="15.75" customHeight="1" s="18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</row>
    <row r="852" ht="15.75" customHeight="1" s="18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</row>
    <row r="853" ht="15.75" customHeight="1" s="18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</row>
    <row r="854" ht="15.75" customHeight="1" s="18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</row>
    <row r="855" ht="15.75" customHeight="1" s="18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</row>
    <row r="856" ht="15.75" customHeight="1" s="18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</row>
    <row r="857" ht="15.75" customHeight="1" s="18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</row>
    <row r="858" ht="15.75" customHeight="1" s="1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</row>
    <row r="859" ht="15.75" customHeight="1" s="18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</row>
    <row r="860" ht="15.75" customHeight="1" s="18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</row>
    <row r="861" ht="15.75" customHeight="1" s="18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</row>
    <row r="862" ht="15.75" customHeight="1" s="18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</row>
    <row r="863" ht="15.75" customHeight="1" s="18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</row>
    <row r="864" ht="15.75" customHeight="1" s="18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</row>
    <row r="865" ht="15.75" customHeight="1" s="18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</row>
    <row r="866" ht="15.75" customHeight="1" s="18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</row>
    <row r="867" ht="15.75" customHeight="1" s="18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</row>
    <row r="868" ht="15.75" customHeight="1" s="1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</row>
    <row r="869" ht="15.75" customHeight="1" s="18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</row>
    <row r="870" ht="15.75" customHeight="1" s="18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</row>
    <row r="871" ht="15.75" customHeight="1" s="18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</row>
    <row r="872" ht="15.75" customHeight="1" s="18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</row>
    <row r="873" ht="15.75" customHeight="1" s="18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</row>
    <row r="874" ht="15.75" customHeight="1" s="18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</row>
    <row r="875" ht="15.75" customHeight="1" s="18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</row>
    <row r="876" ht="15.75" customHeight="1" s="18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</row>
    <row r="877" ht="15.75" customHeight="1" s="18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</row>
    <row r="878" ht="15.75" customHeight="1" s="1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</row>
    <row r="879" ht="15.75" customHeight="1" s="18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</row>
    <row r="880" ht="15.75" customHeight="1" s="18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</row>
    <row r="881" ht="15.75" customHeight="1" s="18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</row>
    <row r="882" ht="15.75" customHeight="1" s="18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</row>
    <row r="883" ht="15.75" customHeight="1" s="18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</row>
    <row r="884" ht="15.75" customHeight="1" s="18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</row>
    <row r="885" ht="15.75" customHeight="1" s="18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</row>
    <row r="886" ht="15.75" customHeight="1" s="18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</row>
    <row r="887" ht="15.75" customHeight="1" s="18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</row>
    <row r="888" ht="15.75" customHeight="1" s="1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</row>
    <row r="889" ht="15.75" customHeight="1" s="18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</row>
    <row r="890" ht="15.75" customHeight="1" s="18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</row>
    <row r="891" ht="15.75" customHeight="1" s="18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</row>
    <row r="892" ht="15.75" customHeight="1" s="18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</row>
    <row r="893" ht="15.75" customHeight="1" s="18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</row>
    <row r="894" ht="15.75" customHeight="1" s="18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</row>
    <row r="895" ht="15.75" customHeight="1" s="18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</row>
    <row r="896" ht="15.75" customHeight="1" s="18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</row>
    <row r="897" ht="15.75" customHeight="1" s="18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</row>
    <row r="898" ht="15.75" customHeight="1" s="1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</row>
    <row r="899" ht="15.75" customHeight="1" s="18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</row>
    <row r="900" ht="15.75" customHeight="1" s="18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</row>
    <row r="901" ht="15.75" customHeight="1" s="18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</row>
    <row r="902" ht="15.75" customHeight="1" s="18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</row>
    <row r="903" ht="15.75" customHeight="1" s="18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</row>
    <row r="904" ht="15.75" customHeight="1" s="18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</row>
    <row r="905" ht="15.75" customHeight="1" s="18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</row>
    <row r="906" ht="15.75" customHeight="1" s="18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</row>
    <row r="907" ht="15.75" customHeight="1" s="18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</row>
    <row r="908" ht="15.75" customHeight="1" s="1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</row>
    <row r="909" ht="15.75" customHeight="1" s="18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</row>
    <row r="910" ht="15.75" customHeight="1" s="18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</row>
    <row r="911" ht="15.75" customHeight="1" s="18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</row>
    <row r="912" ht="15.75" customHeight="1" s="18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</row>
    <row r="913" ht="15.75" customHeight="1" s="18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</row>
    <row r="914" ht="15.75" customHeight="1" s="18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</row>
    <row r="915" ht="15.75" customHeight="1" s="18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</row>
    <row r="916" ht="15.75" customHeight="1" s="18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</row>
    <row r="917" ht="15.75" customHeight="1" s="18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</row>
    <row r="918" ht="15.75" customHeight="1" s="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</row>
    <row r="919" ht="15.75" customHeight="1" s="18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</row>
    <row r="920" ht="15.75" customHeight="1" s="18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</row>
    <row r="921" ht="15.75" customHeight="1" s="18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</row>
    <row r="922" ht="15.75" customHeight="1" s="18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</row>
    <row r="923" ht="15.75" customHeight="1" s="18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</row>
    <row r="924" ht="15.75" customHeight="1" s="18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</row>
    <row r="925" ht="15.75" customHeight="1" s="18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</row>
    <row r="926" ht="15.75" customHeight="1" s="18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</row>
    <row r="927" ht="15.75" customHeight="1" s="18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</row>
    <row r="928" ht="15.75" customHeight="1" s="1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</row>
    <row r="929" ht="15.75" customHeight="1" s="18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</row>
    <row r="930" ht="15.75" customHeight="1" s="18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</row>
    <row r="931" ht="15.75" customHeight="1" s="18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</row>
    <row r="932" ht="15.75" customHeight="1" s="18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</row>
    <row r="933" ht="15.75" customHeight="1" s="18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</row>
    <row r="934" ht="15.75" customHeight="1" s="18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</row>
    <row r="935" ht="15.75" customHeight="1" s="18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</row>
    <row r="936" ht="15.75" customHeight="1" s="18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</row>
    <row r="937" ht="15.75" customHeight="1" s="18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</row>
    <row r="938" ht="15.75" customHeight="1" s="1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</row>
    <row r="939" ht="15.75" customHeight="1" s="18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</row>
    <row r="940" ht="15.75" customHeight="1" s="18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</row>
    <row r="941" ht="15.75" customHeight="1" s="18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</row>
    <row r="942" ht="15.75" customHeight="1" s="18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</row>
    <row r="943" ht="15.75" customHeight="1" s="18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</row>
    <row r="944" ht="15.75" customHeight="1" s="18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</row>
    <row r="945" ht="15.75" customHeight="1" s="18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</row>
    <row r="946" ht="15.75" customHeight="1" s="18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</row>
    <row r="947" ht="15.75" customHeight="1" s="18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</row>
    <row r="948" ht="15.75" customHeight="1" s="1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</row>
    <row r="949" ht="15.75" customHeight="1" s="18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</row>
    <row r="950" ht="15.75" customHeight="1" s="18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</row>
    <row r="951" ht="15.75" customHeight="1" s="18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</row>
    <row r="952" ht="15.75" customHeight="1" s="18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</row>
    <row r="953" ht="15.75" customHeight="1" s="18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</row>
    <row r="954" ht="15.75" customHeight="1" s="18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</row>
    <row r="955" ht="15.75" customHeight="1" s="18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</row>
    <row r="956" ht="15.75" customHeight="1" s="18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</row>
    <row r="957" ht="15.75" customHeight="1" s="18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</row>
    <row r="958" ht="15.75" customHeight="1" s="1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</row>
    <row r="959" ht="15.75" customHeight="1" s="18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</row>
    <row r="960" ht="15.75" customHeight="1" s="18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</row>
    <row r="961" ht="15.75" customHeight="1" s="18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</row>
    <row r="962" ht="15.75" customHeight="1" s="18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</row>
    <row r="963" ht="15.75" customHeight="1" s="18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</row>
    <row r="964" ht="15.75" customHeight="1" s="18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</row>
    <row r="965" ht="15.75" customHeight="1" s="18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</row>
    <row r="966" ht="15.75" customHeight="1" s="18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</row>
    <row r="967" ht="15.75" customHeight="1" s="18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</row>
    <row r="968" ht="15.75" customHeight="1" s="1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</row>
    <row r="969" ht="15.75" customHeight="1" s="18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</row>
    <row r="970" ht="15.75" customHeight="1" s="18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</row>
    <row r="971" ht="15.75" customHeight="1" s="18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</row>
    <row r="972" ht="15.75" customHeight="1" s="18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</row>
    <row r="973" ht="15.75" customHeight="1" s="18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</row>
    <row r="974" ht="15.75" customHeight="1" s="18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</row>
    <row r="975" ht="15.75" customHeight="1" s="18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</row>
    <row r="976" ht="15.75" customHeight="1" s="18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</row>
    <row r="977" ht="15.75" customHeight="1" s="18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</row>
    <row r="978" ht="15.75" customHeight="1" s="1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</row>
    <row r="979" ht="15.75" customHeight="1" s="18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</row>
    <row r="980" ht="15.75" customHeight="1" s="18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</row>
    <row r="981" ht="15.75" customHeight="1" s="18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</row>
    <row r="982" ht="15.75" customHeight="1" s="18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</row>
    <row r="983" ht="15.75" customHeight="1" s="18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</row>
    <row r="984" ht="15.75" customHeight="1" s="18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</row>
    <row r="985" ht="15.75" customHeight="1" s="18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</row>
    <row r="986" ht="15.75" customHeight="1" s="18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</row>
    <row r="987" ht="15.75" customHeight="1" s="18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</row>
    <row r="988" ht="15.75" customHeight="1" s="1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</row>
    <row r="989" ht="15.75" customHeight="1" s="18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</row>
    <row r="990" ht="15.75" customHeight="1" s="18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</row>
    <row r="991" ht="15.75" customHeight="1" s="18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</row>
    <row r="992" ht="15.75" customHeight="1" s="18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</row>
    <row r="993" ht="15.75" customHeight="1" s="18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</row>
    <row r="994" ht="15.75" customHeight="1" s="18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</row>
    <row r="995" ht="15.75" customHeight="1" s="18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</row>
    <row r="996" ht="15.75" customHeight="1" s="18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</row>
    <row r="997" ht="15.75" customHeight="1" s="18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</row>
    <row r="998" ht="15.75" customHeight="1" s="1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</row>
    <row r="999" ht="15.75" customHeight="1" s="18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</row>
    <row r="1000" ht="15.75" customHeight="1" s="18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</row>
  </sheetData>
  <conditionalFormatting sqref="C2:Z50">
    <cfRule type="cellIs" priority="1" operator="equal" dxfId="5">
      <formula>"Plan"</formula>
    </cfRule>
    <cfRule type="cellIs" priority="2" operator="equal" dxfId="6">
      <formula>"Active"</formula>
    </cfRule>
    <cfRule type="cellIs" priority="3" operator="equal" dxfId="7">
      <formula>"Done"</formula>
    </cfRule>
    <cfRule type="cellIs" priority="4" operator="equal" dxfId="8">
      <formula>"Delay"</formula>
    </cfRule>
  </conditionalFormatting>
  <dataValidations count="1">
    <dataValidation sqref="C2:Z50" showDropDown="0" showInputMessage="0" showErrorMessage="0" allowBlank="1" type="list">
      <formula1>"Plan,Active,Done,Delay"</formula1>
    </dataValidation>
  </dataValidations>
  <pageMargins left="0.7" right="0.7" top="0.75" bottom="0.75" header="0" footer="0"/>
  <pageSetup orientation="portrait" paperSize="9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14.43" defaultRowHeight="15" customHeight="1"/>
  <cols>
    <col width="6.29" customWidth="1" style="18" min="1" max="1"/>
    <col width="11.14" customWidth="1" style="18" min="2" max="2"/>
    <col width="54.43" customWidth="1" style="18" min="3" max="3"/>
    <col width="24.29" customWidth="1" style="18" min="4" max="4"/>
    <col width="15.86" customWidth="1" style="18" min="5" max="5"/>
    <col width="16.86" customWidth="1" style="18" min="6" max="6"/>
    <col width="22.57" customWidth="1" style="18" min="7" max="7"/>
    <col width="50.86" customWidth="1" style="18" min="8" max="8"/>
    <col width="12" customWidth="1" style="18" min="9" max="9"/>
    <col width="14" customWidth="1" style="18" min="10" max="10"/>
  </cols>
  <sheetData>
    <row r="1" ht="15" customHeight="1" s="18">
      <c r="A1" s="19" t="inlineStr">
        <is>
          <t>No</t>
        </is>
      </c>
      <c r="B1" s="19" t="inlineStr">
        <is>
          <t>Project ID</t>
        </is>
      </c>
      <c r="C1" s="19" t="inlineStr">
        <is>
          <t>Project Name</t>
        </is>
      </c>
      <c r="D1" s="19" t="inlineStr">
        <is>
          <t>PIC</t>
        </is>
      </c>
      <c r="E1" s="19" t="inlineStr">
        <is>
          <t>Start Date</t>
        </is>
      </c>
      <c r="F1" s="19" t="inlineStr">
        <is>
          <t>Deadline</t>
        </is>
      </c>
      <c r="G1" s="19" t="inlineStr">
        <is>
          <t>% Complete</t>
        </is>
      </c>
      <c r="H1" s="19" t="inlineStr">
        <is>
          <t>Notes</t>
        </is>
      </c>
      <c r="I1" s="19" t="inlineStr">
        <is>
          <t>Priority</t>
        </is>
      </c>
      <c r="J1" s="19" t="inlineStr">
        <is>
          <t>Status</t>
        </is>
      </c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</row>
    <row r="2" ht="15" customHeight="1" s="18">
      <c r="A2" s="20" t="n">
        <v>1</v>
      </c>
      <c r="B2" s="20" t="inlineStr">
        <is>
          <t>BATERY00</t>
        </is>
      </c>
      <c r="C2" s="21" t="inlineStr">
        <is>
          <t>Thiết kế Battery cho Robot</t>
        </is>
      </c>
      <c r="D2" s="21">
        <f>LEFT(IF(RASI!D2="R",HR!$C$2&amp;", ","")&amp;IF(RASI!E2="R",HR!$C$3&amp;", ","")&amp;IF(RASI!F2="R",HR!$C$4&amp;", ","")&amp;IF(RASI!G2="R",HR!$C$5&amp;", ","")&amp;IF(RASI!H2="R",HR!$C$6&amp;", ","")&amp;IF(RASI!I2="R",HR!$C$7&amp;", ","")&amp;IF(RASI!J2="R",HR!$C$8&amp;", ",""),MAX(0,LEN(IF(RASI!D2="R",HR!$C$2&amp;", ","")&amp;IF(RASI!E2="R",HR!$C$3&amp;", ","")&amp;IF(RASI!F2="R",HR!$C$4&amp;", ","")&amp;IF(RASI!G2="R",HR!$C$5&amp;", ","")&amp;IF(RASI!H2="R",HR!$C$6&amp;", ","")&amp;IF(RASI!I2="R",HR!$C$7&amp;", ","")&amp;IF(RASI!J2="R",HR!$C$8&amp;", ",""))-2))</f>
        <v/>
      </c>
      <c r="E2" s="22" t="n"/>
      <c r="F2" s="22" t="n"/>
      <c r="G2" s="23">
        <f>IF(OR(B2="",SUMIF(Tasks!$B:$B,B2,Tasks!$F:$F)=0),"",SUMIFS(Tasks!$F:$F,Tasks!$B:$B,B2,Tasks!$G:$G,"Done")/SUMIF(Tasks!$B:$B,B2,Tasks!$F:$F))</f>
        <v/>
      </c>
      <c r="H2" s="21" t="n"/>
      <c r="I2" s="20" t="n"/>
      <c r="J2" s="20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</row>
    <row r="3" ht="15" customHeight="1" s="18">
      <c r="A3" s="20" t="n">
        <v>2</v>
      </c>
      <c r="B3" s="20" t="inlineStr">
        <is>
          <t>HOTSW00</t>
        </is>
      </c>
      <c r="C3" s="21" t="inlineStr">
        <is>
          <t>Thiết kế mạch Hot Swap cho Robot</t>
        </is>
      </c>
      <c r="D3" s="21">
        <f>LEFT(IF(RASI!D3="R",HR!$C$2&amp;", ","")&amp;IF(RASI!E3="R",HR!$C$3&amp;", ","")&amp;IF(RASI!F3="R",HR!$C$4&amp;", ","")&amp;IF(RASI!G3="R",HR!$C$5&amp;", ","")&amp;IF(RASI!H3="R",HR!$C$6&amp;", ","")&amp;IF(RASI!I3="R",HR!$C$7&amp;", ","")&amp;IF(RASI!J3="R",HR!$C$8&amp;", ",""),MAX(0,LEN(IF(RASI!D3="R",HR!$C$2&amp;", ","")&amp;IF(RASI!E3="R",HR!$C$3&amp;", ","")&amp;IF(RASI!F3="R",HR!$C$4&amp;", ","")&amp;IF(RASI!G3="R",HR!$C$5&amp;", ","")&amp;IF(RASI!H3="R",HR!$C$6&amp;", ","")&amp;IF(RASI!I3="R",HR!$C$7&amp;", ","")&amp;IF(RASI!J3="R",HR!$C$8&amp;", ",""))-2))</f>
        <v/>
      </c>
      <c r="E3" s="22" t="n"/>
      <c r="F3" s="22" t="n"/>
      <c r="G3" s="23">
        <f>IF(OR(B3="",SUMIF(Tasks!$B:$B,B3,Tasks!$F:$F)=0),"",SUMIFS(Tasks!$F:$F,Tasks!$B:$B,B3,Tasks!$G:$G,"Done")/SUMIF(Tasks!$B:$B,B3,Tasks!$F:$F))</f>
        <v/>
      </c>
      <c r="H3" s="21" t="n"/>
      <c r="I3" s="20" t="n"/>
      <c r="J3" s="20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</row>
    <row r="4" ht="15" customHeight="1" s="18">
      <c r="A4" s="20" t="n">
        <v>3</v>
      </c>
      <c r="B4" s="20" t="inlineStr">
        <is>
          <t>EMBPC00</t>
        </is>
      </c>
      <c r="C4" s="21" t="inlineStr">
        <is>
          <t>Thiết kế máy tính nhúng của VMO</t>
        </is>
      </c>
      <c r="D4" s="21">
        <f>LEFT(IF(RASI!D4="R",HR!$C$2&amp;", ","")&amp;IF(RASI!E4="R",HR!$C$3&amp;", ","")&amp;IF(RASI!F4="R",HR!$C$4&amp;", ","")&amp;IF(RASI!G4="R",HR!$C$5&amp;", ","")&amp;IF(RASI!H4="R",HR!$C$6&amp;", ","")&amp;IF(RASI!I4="R",HR!$C$7&amp;", ","")&amp;IF(RASI!J4="R",HR!$C$8&amp;", ",""),MAX(0,LEN(IF(RASI!D4="R",HR!$C$2&amp;", ","")&amp;IF(RASI!E4="R",HR!$C$3&amp;", ","")&amp;IF(RASI!F4="R",HR!$C$4&amp;", ","")&amp;IF(RASI!G4="R",HR!$C$5&amp;", ","")&amp;IF(RASI!H4="R",HR!$C$6&amp;", ","")&amp;IF(RASI!I4="R",HR!$C$7&amp;", ","")&amp;IF(RASI!J4="R",HR!$C$8&amp;", ",""))-2))</f>
        <v/>
      </c>
      <c r="E4" s="22" t="n"/>
      <c r="F4" s="22" t="n"/>
      <c r="G4" s="23">
        <f>IF(OR(B4="",SUMIF(Tasks!$B:$B,B4,Tasks!$F:$F)=0),"",SUMIFS(Tasks!$F:$F,Tasks!$B:$B,B4,Tasks!$G:$G,"Done")/SUMIF(Tasks!$B:$B,B4,Tasks!$F:$F))</f>
        <v/>
      </c>
      <c r="H4" s="21" t="n"/>
      <c r="I4" s="20" t="n"/>
      <c r="J4" s="20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</row>
    <row r="5" ht="15" customHeight="1" s="18">
      <c r="A5" s="20" t="n">
        <v>4</v>
      </c>
      <c r="B5" s="20" t="inlineStr">
        <is>
          <t>PDU00</t>
        </is>
      </c>
      <c r="C5" s="21" t="inlineStr">
        <is>
          <t>Thiết kế mạch Power Distribution Units cho Robot</t>
        </is>
      </c>
      <c r="D5" s="21">
        <f>LEFT(IF(RASI!D5="R",HR!$C$2&amp;", ","")&amp;IF(RASI!E5="R",HR!$C$3&amp;", ","")&amp;IF(RASI!F5="R",HR!$C$4&amp;", ","")&amp;IF(RASI!G5="R",HR!$C$5&amp;", ","")&amp;IF(RASI!H5="R",HR!$C$6&amp;", ","")&amp;IF(RASI!I5="R",HR!$C$7&amp;", ","")&amp;IF(RASI!J5="R",HR!$C$8&amp;", ",""),MAX(0,LEN(IF(RASI!D5="R",HR!$C$2&amp;", ","")&amp;IF(RASI!E5="R",HR!$C$3&amp;", ","")&amp;IF(RASI!F5="R",HR!$C$4&amp;", ","")&amp;IF(RASI!G5="R",HR!$C$5&amp;", ","")&amp;IF(RASI!H5="R",HR!$C$6&amp;", ","")&amp;IF(RASI!I5="R",HR!$C$7&amp;", ","")&amp;IF(RASI!J5="R",HR!$C$8&amp;", ",""))-2))</f>
        <v/>
      </c>
      <c r="E5" s="22" t="n"/>
      <c r="F5" s="22" t="n"/>
      <c r="G5" s="23">
        <f>IF(OR(B5="",SUMIF(Tasks!$B:$B,B5,Tasks!$F:$F)=0),"",SUMIFS(Tasks!$F:$F,Tasks!$B:$B,B5,Tasks!$G:$G,"Done")/SUMIF(Tasks!$B:$B,B5,Tasks!$F:$F))</f>
        <v/>
      </c>
      <c r="H5" s="21" t="n"/>
      <c r="I5" s="20" t="n"/>
      <c r="J5" s="20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</row>
    <row r="6" ht="15" customHeight="1" s="18">
      <c r="A6" s="20" t="n">
        <v>5</v>
      </c>
      <c r="B6" s="20" t="inlineStr">
        <is>
          <t>LLB00</t>
        </is>
      </c>
      <c r="C6" s="21" t="inlineStr">
        <is>
          <t>Thiết kế mạch Low Level Board cho Robot</t>
        </is>
      </c>
      <c r="D6" s="21">
        <f>LEFT(IF(RASI!D6="R",HR!$C$2&amp;", ","")&amp;IF(RASI!E6="R",HR!$C$3&amp;", ","")&amp;IF(RASI!F6="R",HR!$C$4&amp;", ","")&amp;IF(RASI!G6="R",HR!$C$5&amp;", ","")&amp;IF(RASI!H6="R",HR!$C$6&amp;", ","")&amp;IF(RASI!I6="R",HR!$C$7&amp;", ","")&amp;IF(RASI!J6="R",HR!$C$8&amp;", ",""),MAX(0,LEN(IF(RASI!D6="R",HR!$C$2&amp;", ","")&amp;IF(RASI!E6="R",HR!$C$3&amp;", ","")&amp;IF(RASI!F6="R",HR!$C$4&amp;", ","")&amp;IF(RASI!G6="R",HR!$C$5&amp;", ","")&amp;IF(RASI!H6="R",HR!$C$6&amp;", ","")&amp;IF(RASI!I6="R",HR!$C$7&amp;", ","")&amp;IF(RASI!J6="R",HR!$C$8&amp;", ",""))-2))</f>
        <v/>
      </c>
      <c r="E6" s="22" t="n"/>
      <c r="F6" s="22" t="n"/>
      <c r="G6" s="23">
        <f>IF(OR(B6="",SUMIF(Tasks!$B:$B,B6,Tasks!$F:$F)=0),"",SUMIFS(Tasks!$F:$F,Tasks!$B:$B,B6,Tasks!$G:$G,"Done")/SUMIF(Tasks!$B:$B,B6,Tasks!$F:$F))</f>
        <v/>
      </c>
      <c r="H6" s="21" t="n"/>
      <c r="I6" s="20" t="n"/>
      <c r="J6" s="20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</row>
    <row r="7" ht="15" customHeight="1" s="18">
      <c r="A7" s="20" t="n">
        <v>6</v>
      </c>
      <c r="B7" s="20" t="inlineStr">
        <is>
          <t>HUB00</t>
        </is>
      </c>
      <c r="C7" s="21" t="inlineStr">
        <is>
          <t>Thiết kế Mạch Hub Ethernet USB</t>
        </is>
      </c>
      <c r="D7" s="21">
        <f>LEFT(IF(RASI!D7="R",HR!$C$2&amp;", ","")&amp;IF(RASI!E7="R",HR!$C$3&amp;", ","")&amp;IF(RASI!F7="R",HR!$C$4&amp;", ","")&amp;IF(RASI!G7="R",HR!$C$5&amp;", ","")&amp;IF(RASI!H7="R",HR!$C$6&amp;", ","")&amp;IF(RASI!I7="R",HR!$C$7&amp;", ","")&amp;IF(RASI!J7="R",HR!$C$8&amp;", ",""),MAX(0,LEN(IF(RASI!D7="R",HR!$C$2&amp;", ","")&amp;IF(RASI!E7="R",HR!$C$3&amp;", ","")&amp;IF(RASI!F7="R",HR!$C$4&amp;", ","")&amp;IF(RASI!G7="R",HR!$C$5&amp;", ","")&amp;IF(RASI!H7="R",HR!$C$6&amp;", ","")&amp;IF(RASI!I7="R",HR!$C$7&amp;", ","")&amp;IF(RASI!J7="R",HR!$C$8&amp;", ",""))-2))</f>
        <v/>
      </c>
      <c r="E7" s="22" t="n"/>
      <c r="F7" s="22" t="n"/>
      <c r="G7" s="23">
        <f>IF(OR(B7="",SUMIF(Tasks!$B:$B,B7,Tasks!$F:$F)=0),"",SUMIFS(Tasks!$F:$F,Tasks!$B:$B,B7,Tasks!$G:$G,"Done")/SUMIF(Tasks!$B:$B,B7,Tasks!$F:$F))</f>
        <v/>
      </c>
      <c r="H7" s="21" t="n"/>
      <c r="I7" s="20" t="n"/>
      <c r="J7" s="20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</row>
    <row r="8" ht="15" customHeight="1" s="18">
      <c r="A8" s="20" t="n">
        <v>7</v>
      </c>
      <c r="B8" s="20" t="inlineStr">
        <is>
          <t>WHR00</t>
        </is>
      </c>
      <c r="C8" s="21" t="inlineStr">
        <is>
          <t>Tìm và làm việc với đối tác sản xuất dây cáp điện cho Robot</t>
        </is>
      </c>
      <c r="D8" s="21">
        <f>LEFT(IF(RASI!D8="R",HR!$C$2&amp;", ","")&amp;IF(RASI!E8="R",HR!$C$3&amp;", ","")&amp;IF(RASI!F8="R",HR!$C$4&amp;", ","")&amp;IF(RASI!G8="R",HR!$C$5&amp;", ","")&amp;IF(RASI!H8="R",HR!$C$6&amp;", ","")&amp;IF(RASI!I8="R",HR!$C$7&amp;", ","")&amp;IF(RASI!J8="R",HR!$C$8&amp;", ",""),MAX(0,LEN(IF(RASI!D8="R",HR!$C$2&amp;", ","")&amp;IF(RASI!E8="R",HR!$C$3&amp;", ","")&amp;IF(RASI!F8="R",HR!$C$4&amp;", ","")&amp;IF(RASI!G8="R",HR!$C$5&amp;", ","")&amp;IF(RASI!H8="R",HR!$C$6&amp;", ","")&amp;IF(RASI!I8="R",HR!$C$7&amp;", ","")&amp;IF(RASI!J8="R",HR!$C$8&amp;", ",""))-2))</f>
        <v/>
      </c>
      <c r="E8" s="22" t="n"/>
      <c r="F8" s="22" t="n"/>
      <c r="G8" s="23">
        <f>IF(OR(B8="",SUMIF(Tasks!$B:$B,B8,Tasks!$F:$F)=0),"",SUMIFS(Tasks!$F:$F,Tasks!$B:$B,B8,Tasks!$G:$G,"Done")/SUMIF(Tasks!$B:$B,B8,Tasks!$F:$F))</f>
        <v/>
      </c>
      <c r="H8" s="21" t="n"/>
      <c r="I8" s="20" t="n"/>
      <c r="J8" s="20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</row>
    <row r="9" ht="15" customHeight="1" s="18">
      <c r="A9" s="20" t="n">
        <v>8</v>
      </c>
      <c r="B9" s="20" t="inlineStr">
        <is>
          <t>HSCR01</t>
        </is>
      </c>
      <c r="C9" s="21" t="inlineStr">
        <is>
          <t>Thiết kế và phát triển trạm sạc pin</t>
        </is>
      </c>
      <c r="D9" s="21">
        <f>LEFT(IF(RASI!D9="R",HR!$C$2&amp;", ","")&amp;IF(RASI!E9="R",HR!$C$3&amp;", ","")&amp;IF(RASI!F9="R",HR!$C$4&amp;", ","")&amp;IF(RASI!G9="R",HR!$C$5&amp;", ","")&amp;IF(RASI!H9="R",HR!$C$6&amp;", ","")&amp;IF(RASI!I9="R",HR!$C$7&amp;", ","")&amp;IF(RASI!J9="R",HR!$C$8&amp;", ",""),MAX(0,LEN(IF(RASI!D9="R",HR!$C$2&amp;", ","")&amp;IF(RASI!E9="R",HR!$C$3&amp;", ","")&amp;IF(RASI!F9="R",HR!$C$4&amp;", ","")&amp;IF(RASI!G9="R",HR!$C$5&amp;", ","")&amp;IF(RASI!H9="R",HR!$C$6&amp;", ","")&amp;IF(RASI!I9="R",HR!$C$7&amp;", ","")&amp;IF(RASI!J9="R",HR!$C$8&amp;", ",""))-2))</f>
        <v/>
      </c>
      <c r="E9" s="22" t="n"/>
      <c r="F9" s="22" t="n"/>
      <c r="G9" s="23">
        <f>IF(OR(B9="",SUMIF(Tasks!$B:$B,B9,Tasks!$F:$F)=0),"",SUMIFS(Tasks!$F:$F,Tasks!$B:$B,B9,Tasks!$G:$G,"Done")/SUMIF(Tasks!$B:$B,B9,Tasks!$F:$F))</f>
        <v/>
      </c>
      <c r="H9" s="21" t="n"/>
      <c r="I9" s="20" t="n"/>
      <c r="J9" s="20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</row>
    <row r="10" ht="15" customHeight="1" s="18">
      <c r="A10" s="20" t="n">
        <v>9</v>
      </c>
      <c r="B10" s="20" t="inlineStr">
        <is>
          <t>HBR00</t>
        </is>
      </c>
      <c r="C10" s="21" t="inlineStr">
        <is>
          <t>Phát triển bàn tay VMO</t>
        </is>
      </c>
      <c r="D10" s="21">
        <f>LEFT(IF(RASI!D10="R",HR!$C$2&amp;", ","")&amp;IF(RASI!E10="R",HR!$C$3&amp;", ","")&amp;IF(RASI!F10="R",HR!$C$4&amp;", ","")&amp;IF(RASI!G10="R",HR!$C$5&amp;", ","")&amp;IF(RASI!H10="R",HR!$C$6&amp;", ","")&amp;IF(RASI!I10="R",HR!$C$7&amp;", ","")&amp;IF(RASI!J10="R",HR!$C$8&amp;", ",""),MAX(0,LEN(IF(RASI!D10="R",HR!$C$2&amp;", ","")&amp;IF(RASI!E10="R",HR!$C$3&amp;", ","")&amp;IF(RASI!F10="R",HR!$C$4&amp;", ","")&amp;IF(RASI!G10="R",HR!$C$5&amp;", ","")&amp;IF(RASI!H10="R",HR!$C$6&amp;", ","")&amp;IF(RASI!I10="R",HR!$C$7&amp;", ","")&amp;IF(RASI!J10="R",HR!$C$8&amp;", ",""))-2))</f>
        <v/>
      </c>
      <c r="E10" s="22" t="n"/>
      <c r="F10" s="22" t="n"/>
      <c r="G10" s="23">
        <f>IF(OR(B10="",SUMIF(Tasks!$B:$B,B10,Tasks!$F:$F)=0),"",SUMIFS(Tasks!$F:$F,Tasks!$B:$B,B10,Tasks!$G:$G,"Done")/SUMIF(Tasks!$B:$B,B10,Tasks!$F:$F))</f>
        <v/>
      </c>
      <c r="H10" s="21" t="n"/>
      <c r="I10" s="20" t="n"/>
      <c r="J10" s="20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</row>
    <row r="11" ht="15" customHeight="1" s="18">
      <c r="A11" s="20" t="n">
        <v>10</v>
      </c>
      <c r="B11" s="20" t="inlineStr">
        <is>
          <t>HCR00</t>
        </is>
      </c>
      <c r="C11" s="21" t="inlineStr">
        <is>
          <t>Phát triển tay cầm điều khiển cho Robot</t>
        </is>
      </c>
      <c r="D11" s="21">
        <f>LEFT(IF(RASI!D11="R",HR!$C$2&amp;", ","")&amp;IF(RASI!E11="R",HR!$C$3&amp;", ","")&amp;IF(RASI!F11="R",HR!$C$4&amp;", ","")&amp;IF(RASI!G11="R",HR!$C$5&amp;", ","")&amp;IF(RASI!H11="R",HR!$C$6&amp;", ","")&amp;IF(RASI!I11="R",HR!$C$7&amp;", ","")&amp;IF(RASI!J11="R",HR!$C$8&amp;", ",""),MAX(0,LEN(IF(RASI!D11="R",HR!$C$2&amp;", ","")&amp;IF(RASI!E11="R",HR!$C$3&amp;", ","")&amp;IF(RASI!F11="R",HR!$C$4&amp;", ","")&amp;IF(RASI!G11="R",HR!$C$5&amp;", ","")&amp;IF(RASI!H11="R",HR!$C$6&amp;", ","")&amp;IF(RASI!I11="R",HR!$C$7&amp;", ","")&amp;IF(RASI!J11="R",HR!$C$8&amp;", ",""))-2))</f>
        <v/>
      </c>
      <c r="E11" s="22" t="n"/>
      <c r="F11" s="22" t="n"/>
      <c r="G11" s="23">
        <f>IF(OR(B11="",SUMIF(Tasks!$B:$B,B11,Tasks!$F:$F)=0),"",SUMIFS(Tasks!$F:$F,Tasks!$B:$B,B11,Tasks!$G:$G,"Done")/SUMIF(Tasks!$B:$B,B11,Tasks!$F:$F))</f>
        <v/>
      </c>
      <c r="H11" s="21" t="n"/>
      <c r="I11" s="20" t="n"/>
      <c r="J11" s="20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</row>
    <row r="12" ht="15" customHeight="1" s="18">
      <c r="A12" s="20" t="n"/>
      <c r="B12" s="20" t="n"/>
      <c r="C12" s="21" t="n"/>
      <c r="D12" s="21" t="n"/>
      <c r="E12" s="22" t="n"/>
      <c r="F12" s="22" t="n"/>
      <c r="G12" s="23">
        <f>IF(OR(B12="",SUMIF(Tasks!$B:$B,B12,Tasks!$F:$F)=0),"",SUMIFS(Tasks!$F:$F,Tasks!$B:$B,B12,Tasks!$G:$G,"Done")/SUMIF(Tasks!$B:$B,B12,Tasks!$F:$F))</f>
        <v/>
      </c>
      <c r="H12" s="21" t="n"/>
      <c r="I12" s="20" t="n"/>
      <c r="J12" s="20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</row>
    <row r="13" ht="15" customHeight="1" s="18">
      <c r="A13" s="20" t="n"/>
      <c r="B13" s="20" t="n"/>
      <c r="C13" s="21" t="n"/>
      <c r="D13" s="21" t="n"/>
      <c r="E13" s="22" t="n"/>
      <c r="F13" s="22" t="n"/>
      <c r="G13" s="23">
        <f>IF(OR(B13="",SUMIF(Tasks!$B:$B,B13,Tasks!$F:$F)=0),"",SUMIFS(Tasks!$F:$F,Tasks!$B:$B,B13,Tasks!$G:$G,"Done")/SUMIF(Tasks!$B:$B,B13,Tasks!$F:$F))</f>
        <v/>
      </c>
      <c r="H13" s="21" t="n"/>
      <c r="I13" s="20" t="n"/>
      <c r="J13" s="20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</row>
    <row r="14" ht="15" customHeight="1" s="18">
      <c r="A14" s="20" t="n"/>
      <c r="B14" s="20" t="n"/>
      <c r="C14" s="21" t="n"/>
      <c r="D14" s="21" t="n"/>
      <c r="E14" s="22" t="n"/>
      <c r="F14" s="22" t="n"/>
      <c r="G14" s="23">
        <f>IF(OR(B14="",SUMIF(Tasks!$B:$B,B14,Tasks!$F:$F)=0),"",SUMIFS(Tasks!$F:$F,Tasks!$B:$B,B14,Tasks!$G:$G,"Done")/SUMIF(Tasks!$B:$B,B14,Tasks!$F:$F))</f>
        <v/>
      </c>
      <c r="H14" s="21" t="n"/>
      <c r="I14" s="20" t="n"/>
      <c r="J14" s="20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</row>
    <row r="15" ht="15" customHeight="1" s="18">
      <c r="A15" s="20" t="n"/>
      <c r="B15" s="20" t="n"/>
      <c r="C15" s="21" t="n"/>
      <c r="D15" s="21" t="n"/>
      <c r="E15" s="22" t="n"/>
      <c r="F15" s="22" t="n"/>
      <c r="G15" s="23">
        <f>IF(OR(B15="",SUMIF(Tasks!$B:$B,B15,Tasks!$F:$F)=0),"",SUMIFS(Tasks!$F:$F,Tasks!$B:$B,B15,Tasks!$G:$G,"Done")/SUMIF(Tasks!$B:$B,B15,Tasks!$F:$F))</f>
        <v/>
      </c>
      <c r="H15" s="21" t="n"/>
      <c r="I15" s="20" t="n"/>
      <c r="J15" s="20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</row>
    <row r="16" ht="15" customHeight="1" s="18">
      <c r="A16" s="20" t="n"/>
      <c r="B16" s="20" t="n"/>
      <c r="C16" s="21" t="n"/>
      <c r="D16" s="21" t="n"/>
      <c r="E16" s="22" t="n"/>
      <c r="F16" s="22" t="n"/>
      <c r="G16" s="23">
        <f>IF(OR(B16="",SUMIF(Tasks!$B:$B,B16,Tasks!$F:$F)=0),"",SUMIFS(Tasks!$F:$F,Tasks!$B:$B,B16,Tasks!$G:$G,"Done")/SUMIF(Tasks!$B:$B,B16,Tasks!$F:$F))</f>
        <v/>
      </c>
      <c r="H16" s="21" t="n"/>
      <c r="I16" s="20" t="n"/>
      <c r="J16" s="20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</row>
    <row r="17" ht="15" customHeight="1" s="18">
      <c r="A17" s="20" t="n"/>
      <c r="B17" s="20" t="n"/>
      <c r="C17" s="21" t="n"/>
      <c r="D17" s="21" t="n"/>
      <c r="E17" s="22" t="n"/>
      <c r="F17" s="22" t="n"/>
      <c r="G17" s="23">
        <f>IF(OR(B17="",SUMIF(Tasks!$B:$B,B17,Tasks!$F:$F)=0),"",SUMIFS(Tasks!$F:$F,Tasks!$B:$B,B17,Tasks!$G:$G,"Done")/SUMIF(Tasks!$B:$B,B17,Tasks!$F:$F))</f>
        <v/>
      </c>
      <c r="H17" s="21" t="n"/>
      <c r="I17" s="20" t="n"/>
      <c r="J17" s="20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</row>
    <row r="18" ht="15" customHeight="1" s="18">
      <c r="A18" s="20" t="n"/>
      <c r="B18" s="20" t="n"/>
      <c r="C18" s="21" t="n"/>
      <c r="D18" s="21" t="n"/>
      <c r="E18" s="22" t="n"/>
      <c r="F18" s="22" t="n"/>
      <c r="G18" s="23">
        <f>IF(OR(B18="",SUMIF(Tasks!$B:$B,B18,Tasks!$F:$F)=0),"",SUMIFS(Tasks!$F:$F,Tasks!$B:$B,B18,Tasks!$G:$G,"Done")/SUMIF(Tasks!$B:$B,B18,Tasks!$F:$F))</f>
        <v/>
      </c>
      <c r="H18" s="21" t="n"/>
      <c r="I18" s="20" t="n"/>
      <c r="J18" s="20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</row>
    <row r="19" ht="15" customHeight="1" s="18">
      <c r="A19" s="20" t="n"/>
      <c r="B19" s="20" t="n"/>
      <c r="C19" s="21" t="n"/>
      <c r="D19" s="21" t="n"/>
      <c r="E19" s="22" t="n"/>
      <c r="F19" s="22" t="n"/>
      <c r="G19" s="23">
        <f>IF(OR(B19="",SUMIF(Tasks!$B:$B,B19,Tasks!$F:$F)=0),"",SUMIFS(Tasks!$F:$F,Tasks!$B:$B,B19,Tasks!$G:$G,"Done")/SUMIF(Tasks!$B:$B,B19,Tasks!$F:$F))</f>
        <v/>
      </c>
      <c r="H19" s="21" t="n"/>
      <c r="I19" s="20" t="n"/>
      <c r="J19" s="20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</row>
    <row r="20" ht="15" customHeight="1" s="18">
      <c r="A20" s="20" t="n"/>
      <c r="B20" s="20" t="n"/>
      <c r="C20" s="21" t="n"/>
      <c r="D20" s="21" t="n"/>
      <c r="E20" s="22" t="n"/>
      <c r="F20" s="22" t="n"/>
      <c r="G20" s="23">
        <f>IF(OR(B20="",SUMIF(Tasks!$B:$B,B20,Tasks!$F:$F)=0),"",SUMIFS(Tasks!$F:$F,Tasks!$B:$B,B20,Tasks!$G:$G,"Done")/SUMIF(Tasks!$B:$B,B20,Tasks!$F:$F))</f>
        <v/>
      </c>
      <c r="H20" s="21" t="n"/>
      <c r="I20" s="20" t="n"/>
      <c r="J20" s="20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</row>
    <row r="21" ht="15.75" customHeight="1" s="18">
      <c r="A21" s="20" t="n"/>
      <c r="B21" s="20" t="n"/>
      <c r="C21" s="21" t="n"/>
      <c r="D21" s="21" t="n"/>
      <c r="E21" s="22" t="n"/>
      <c r="F21" s="22" t="n"/>
      <c r="G21" s="23">
        <f>IF(OR(B21="",SUMIF(Tasks!$B:$B,B21,Tasks!$F:$F)=0),"",SUMIFS(Tasks!$F:$F,Tasks!$B:$B,B21,Tasks!$G:$G,"Done")/SUMIF(Tasks!$B:$B,B21,Tasks!$F:$F))</f>
        <v/>
      </c>
      <c r="H21" s="21" t="n"/>
      <c r="I21" s="20" t="n"/>
      <c r="J21" s="20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</row>
    <row r="22" ht="15.75" customHeight="1" s="18">
      <c r="A22" s="20" t="n"/>
      <c r="B22" s="20" t="n"/>
      <c r="C22" s="21" t="n"/>
      <c r="D22" s="21" t="n"/>
      <c r="E22" s="22" t="n"/>
      <c r="F22" s="22" t="n"/>
      <c r="G22" s="23">
        <f>IF(OR(B22="",SUMIF(Tasks!$B:$B,B22,Tasks!$F:$F)=0),"",SUMIFS(Tasks!$F:$F,Tasks!$B:$B,B22,Tasks!$G:$G,"Done")/SUMIF(Tasks!$B:$B,B22,Tasks!$F:$F))</f>
        <v/>
      </c>
      <c r="H22" s="21" t="n"/>
      <c r="I22" s="20" t="n"/>
      <c r="J22" s="20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</row>
    <row r="23" ht="15.75" customHeight="1" s="18">
      <c r="A23" s="20" t="n"/>
      <c r="B23" s="20" t="n"/>
      <c r="C23" s="21" t="n"/>
      <c r="D23" s="21" t="n"/>
      <c r="E23" s="22" t="n"/>
      <c r="F23" s="22" t="n"/>
      <c r="G23" s="23">
        <f>IF(OR(B23="",SUMIF(Tasks!$B:$B,B23,Tasks!$F:$F)=0),"",SUMIFS(Tasks!$F:$F,Tasks!$B:$B,B23,Tasks!$G:$G,"Done")/SUMIF(Tasks!$B:$B,B23,Tasks!$F:$F))</f>
        <v/>
      </c>
      <c r="H23" s="21" t="n"/>
      <c r="I23" s="20" t="n"/>
      <c r="J23" s="20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</row>
    <row r="24" ht="15.75" customHeight="1" s="18">
      <c r="A24" s="20" t="n"/>
      <c r="B24" s="20" t="n"/>
      <c r="C24" s="21" t="n"/>
      <c r="D24" s="21" t="n"/>
      <c r="E24" s="22" t="n"/>
      <c r="F24" s="22" t="n"/>
      <c r="G24" s="23">
        <f>IF(OR(B24="",SUMIF(Tasks!$B:$B,B24,Tasks!$F:$F)=0),"",SUMIFS(Tasks!$F:$F,Tasks!$B:$B,B24,Tasks!$G:$G,"Done")/SUMIF(Tasks!$B:$B,B24,Tasks!$F:$F))</f>
        <v/>
      </c>
      <c r="H24" s="21" t="n"/>
      <c r="I24" s="20" t="n"/>
      <c r="J24" s="20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</row>
    <row r="25" ht="15.75" customHeight="1" s="18">
      <c r="A25" s="20" t="n"/>
      <c r="B25" s="20" t="n"/>
      <c r="C25" s="21" t="n"/>
      <c r="D25" s="21" t="n"/>
      <c r="E25" s="22" t="n"/>
      <c r="F25" s="22" t="n"/>
      <c r="G25" s="23">
        <f>IF(OR(B25="",SUMIF(Tasks!$B:$B,B25,Tasks!$F:$F)=0),"",SUMIFS(Tasks!$F:$F,Tasks!$B:$B,B25,Tasks!$G:$G,"Done")/SUMIF(Tasks!$B:$B,B25,Tasks!$F:$F))</f>
        <v/>
      </c>
      <c r="H25" s="21" t="n"/>
      <c r="I25" s="20" t="n"/>
      <c r="J25" s="20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</row>
    <row r="26" ht="15.75" customHeight="1" s="18">
      <c r="A26" s="20" t="n"/>
      <c r="B26" s="20" t="n"/>
      <c r="C26" s="21" t="n"/>
      <c r="D26" s="21" t="n"/>
      <c r="E26" s="22" t="n"/>
      <c r="F26" s="22" t="n"/>
      <c r="G26" s="23">
        <f>IF(OR(B26="",SUMIF(Tasks!$B:$B,B26,Tasks!$F:$F)=0),"",SUMIFS(Tasks!$F:$F,Tasks!$B:$B,B26,Tasks!$G:$G,"Done")/SUMIF(Tasks!$B:$B,B26,Tasks!$F:$F))</f>
        <v/>
      </c>
      <c r="H26" s="21" t="n"/>
      <c r="I26" s="20" t="n"/>
      <c r="J26" s="20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</row>
    <row r="27" ht="15.75" customHeight="1" s="18">
      <c r="A27" s="20" t="n"/>
      <c r="B27" s="20" t="n"/>
      <c r="C27" s="21" t="n"/>
      <c r="D27" s="21" t="n"/>
      <c r="E27" s="22" t="n"/>
      <c r="F27" s="22" t="n"/>
      <c r="G27" s="23">
        <f>IF(OR(B27="",SUMIF(Tasks!$B:$B,B27,Tasks!$F:$F)=0),"",SUMIFS(Tasks!$F:$F,Tasks!$B:$B,B27,Tasks!$G:$G,"Done")/SUMIF(Tasks!$B:$B,B27,Tasks!$F:$F))</f>
        <v/>
      </c>
      <c r="H27" s="21" t="n"/>
      <c r="I27" s="20" t="n"/>
      <c r="J27" s="20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</row>
    <row r="28" ht="15.75" customHeight="1" s="18">
      <c r="A28" s="20" t="n"/>
      <c r="B28" s="20" t="n"/>
      <c r="C28" s="21" t="n"/>
      <c r="D28" s="21" t="n"/>
      <c r="E28" s="22" t="n"/>
      <c r="F28" s="22" t="n"/>
      <c r="G28" s="23">
        <f>IF(OR(B28="",SUMIF(Tasks!$B:$B,B28,Tasks!$F:$F)=0),"",SUMIFS(Tasks!$F:$F,Tasks!$B:$B,B28,Tasks!$G:$G,"Done")/SUMIF(Tasks!$B:$B,B28,Tasks!$F:$F))</f>
        <v/>
      </c>
      <c r="H28" s="21" t="n"/>
      <c r="I28" s="20" t="n"/>
      <c r="J28" s="20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</row>
    <row r="29" ht="15.75" customHeight="1" s="18">
      <c r="A29" s="20" t="n"/>
      <c r="B29" s="20" t="n"/>
      <c r="C29" s="21" t="n"/>
      <c r="D29" s="21" t="n"/>
      <c r="E29" s="22" t="n"/>
      <c r="F29" s="22" t="n"/>
      <c r="G29" s="23">
        <f>IF(OR(B29="",SUMIF(Tasks!$B:$B,B29,Tasks!$F:$F)=0),"",SUMIFS(Tasks!$F:$F,Tasks!$B:$B,B29,Tasks!$G:$G,"Done")/SUMIF(Tasks!$B:$B,B29,Tasks!$F:$F))</f>
        <v/>
      </c>
      <c r="H29" s="21" t="n"/>
      <c r="I29" s="20" t="n"/>
      <c r="J29" s="20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</row>
    <row r="30" ht="15.75" customHeight="1" s="18">
      <c r="A30" s="20" t="n"/>
      <c r="B30" s="20" t="n"/>
      <c r="C30" s="21" t="n"/>
      <c r="D30" s="21" t="n"/>
      <c r="E30" s="22" t="n"/>
      <c r="F30" s="22" t="n"/>
      <c r="G30" s="23">
        <f>IF(OR(B30="",SUMIF(Tasks!$B:$B,B30,Tasks!$F:$F)=0),"",SUMIFS(Tasks!$F:$F,Tasks!$B:$B,B30,Tasks!$G:$G,"Done")/SUMIF(Tasks!$B:$B,B30,Tasks!$F:$F))</f>
        <v/>
      </c>
      <c r="H30" s="21" t="n"/>
      <c r="I30" s="20" t="n"/>
      <c r="J30" s="20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</row>
    <row r="31" ht="15.75" customHeight="1" s="18">
      <c r="A31" s="20" t="n"/>
      <c r="B31" s="20" t="n"/>
      <c r="C31" s="21" t="n"/>
      <c r="D31" s="21" t="n"/>
      <c r="E31" s="22" t="n"/>
      <c r="F31" s="22" t="n"/>
      <c r="G31" s="23">
        <f>IF(OR(B31="",SUMIF(Tasks!$B:$B,B31,Tasks!$F:$F)=0),"",SUMIFS(Tasks!$F:$F,Tasks!$B:$B,B31,Tasks!$G:$G,"Done")/SUMIF(Tasks!$B:$B,B31,Tasks!$F:$F))</f>
        <v/>
      </c>
      <c r="H31" s="21" t="n"/>
      <c r="I31" s="20" t="n"/>
      <c r="J31" s="20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</row>
    <row r="32" ht="15.75" customHeight="1" s="18">
      <c r="A32" s="20" t="n"/>
      <c r="B32" s="20" t="n"/>
      <c r="C32" s="21" t="n"/>
      <c r="D32" s="21" t="n"/>
      <c r="E32" s="22" t="n"/>
      <c r="F32" s="22" t="n"/>
      <c r="G32" s="23">
        <f>IF(OR(B32="",SUMIF(Tasks!$B:$B,B32,Tasks!$F:$F)=0),"",SUMIFS(Tasks!$F:$F,Tasks!$B:$B,B32,Tasks!$G:$G,"Done")/SUMIF(Tasks!$B:$B,B32,Tasks!$F:$F))</f>
        <v/>
      </c>
      <c r="H32" s="21" t="n"/>
      <c r="I32" s="20" t="n"/>
      <c r="J32" s="20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</row>
    <row r="33" ht="15.75" customHeight="1" s="18">
      <c r="A33" s="20" t="n"/>
      <c r="B33" s="20" t="n"/>
      <c r="C33" s="21" t="n"/>
      <c r="D33" s="21" t="n"/>
      <c r="E33" s="22" t="n"/>
      <c r="F33" s="22" t="n"/>
      <c r="G33" s="23">
        <f>IF(OR(B33="",SUMIF(Tasks!$B:$B,B33,Tasks!$F:$F)=0),"",SUMIFS(Tasks!$F:$F,Tasks!$B:$B,B33,Tasks!$G:$G,"Done")/SUMIF(Tasks!$B:$B,B33,Tasks!$F:$F))</f>
        <v/>
      </c>
      <c r="H33" s="21" t="n"/>
      <c r="I33" s="20" t="n"/>
      <c r="J33" s="20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</row>
    <row r="34" ht="15.75" customHeight="1" s="18">
      <c r="A34" s="20" t="n"/>
      <c r="B34" s="20" t="n"/>
      <c r="C34" s="21" t="n"/>
      <c r="D34" s="21" t="n"/>
      <c r="E34" s="22" t="n"/>
      <c r="F34" s="22" t="n"/>
      <c r="G34" s="23">
        <f>IF(OR(B34="",SUMIF(Tasks!$B:$B,B34,Tasks!$F:$F)=0),"",SUMIFS(Tasks!$F:$F,Tasks!$B:$B,B34,Tasks!$G:$G,"Done")/SUMIF(Tasks!$B:$B,B34,Tasks!$F:$F))</f>
        <v/>
      </c>
      <c r="H34" s="21" t="n"/>
      <c r="I34" s="20" t="n"/>
      <c r="J34" s="20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</row>
    <row r="35" ht="15.75" customHeight="1" s="18">
      <c r="A35" s="20" t="n"/>
      <c r="B35" s="20" t="n"/>
      <c r="C35" s="21" t="n"/>
      <c r="D35" s="21" t="n"/>
      <c r="E35" s="22" t="n"/>
      <c r="F35" s="22" t="n"/>
      <c r="G35" s="23">
        <f>IF(OR(B35="",SUMIF(Tasks!$B:$B,B35,Tasks!$F:$F)=0),"",SUMIFS(Tasks!$F:$F,Tasks!$B:$B,B35,Tasks!$G:$G,"Done")/SUMIF(Tasks!$B:$B,B35,Tasks!$F:$F))</f>
        <v/>
      </c>
      <c r="H35" s="21" t="n"/>
      <c r="I35" s="20" t="n"/>
      <c r="J35" s="20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</row>
    <row r="36" ht="15.75" customHeight="1" s="18">
      <c r="A36" s="20" t="n"/>
      <c r="B36" s="20" t="n"/>
      <c r="C36" s="21" t="n"/>
      <c r="D36" s="21" t="n"/>
      <c r="E36" s="22" t="n"/>
      <c r="F36" s="22" t="n"/>
      <c r="G36" s="23">
        <f>IF(OR(B36="",SUMIF(Tasks!$B:$B,B36,Tasks!$F:$F)=0),"",SUMIFS(Tasks!$F:$F,Tasks!$B:$B,B36,Tasks!$G:$G,"Done")/SUMIF(Tasks!$B:$B,B36,Tasks!$F:$F))</f>
        <v/>
      </c>
      <c r="H36" s="21" t="n"/>
      <c r="I36" s="20" t="n"/>
      <c r="J36" s="20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</row>
    <row r="37" ht="15.75" customHeight="1" s="18">
      <c r="A37" s="20" t="n"/>
      <c r="B37" s="20" t="n"/>
      <c r="C37" s="21" t="n"/>
      <c r="D37" s="21" t="n"/>
      <c r="E37" s="22" t="n"/>
      <c r="F37" s="22" t="n"/>
      <c r="G37" s="23">
        <f>IF(OR(B37="",SUMIF(Tasks!$B:$B,B37,Tasks!$F:$F)=0),"",SUMIFS(Tasks!$F:$F,Tasks!$B:$B,B37,Tasks!$G:$G,"Done")/SUMIF(Tasks!$B:$B,B37,Tasks!$F:$F))</f>
        <v/>
      </c>
      <c r="H37" s="21" t="n"/>
      <c r="I37" s="20" t="n"/>
      <c r="J37" s="20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</row>
    <row r="38" ht="15.75" customHeight="1" s="18">
      <c r="A38" s="20" t="n"/>
      <c r="B38" s="20" t="n"/>
      <c r="C38" s="21" t="n"/>
      <c r="D38" s="21" t="n"/>
      <c r="E38" s="22" t="n"/>
      <c r="F38" s="22" t="n"/>
      <c r="G38" s="23">
        <f>IF(OR(B38="",SUMIF(Tasks!$B:$B,B38,Tasks!$F:$F)=0),"",SUMIFS(Tasks!$F:$F,Tasks!$B:$B,B38,Tasks!$G:$G,"Done")/SUMIF(Tasks!$B:$B,B38,Tasks!$F:$F))</f>
        <v/>
      </c>
      <c r="H38" s="21" t="n"/>
      <c r="I38" s="20" t="n"/>
      <c r="J38" s="20" t="n"/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</row>
    <row r="39" ht="15.75" customHeight="1" s="18">
      <c r="A39" s="20" t="n"/>
      <c r="B39" s="20" t="n"/>
      <c r="C39" s="21" t="n"/>
      <c r="D39" s="21" t="n"/>
      <c r="E39" s="22" t="n"/>
      <c r="F39" s="22" t="n"/>
      <c r="G39" s="23">
        <f>IF(OR(B39="",SUMIF(Tasks!$B:$B,B39,Tasks!$F:$F)=0),"",SUMIFS(Tasks!$F:$F,Tasks!$B:$B,B39,Tasks!$G:$G,"Done")/SUMIF(Tasks!$B:$B,B39,Tasks!$F:$F))</f>
        <v/>
      </c>
      <c r="H39" s="21" t="n"/>
      <c r="I39" s="20" t="n"/>
      <c r="J39" s="20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</row>
    <row r="40" ht="15.75" customHeight="1" s="18">
      <c r="A40" s="20" t="n"/>
      <c r="B40" s="20" t="n"/>
      <c r="C40" s="21" t="n"/>
      <c r="D40" s="21" t="n"/>
      <c r="E40" s="22" t="n"/>
      <c r="F40" s="22" t="n"/>
      <c r="G40" s="23">
        <f>IF(OR(B40="",SUMIF(Tasks!$B:$B,B40,Tasks!$F:$F)=0),"",SUMIFS(Tasks!$F:$F,Tasks!$B:$B,B40,Tasks!$G:$G,"Done")/SUMIF(Tasks!$B:$B,B40,Tasks!$F:$F))</f>
        <v/>
      </c>
      <c r="H40" s="21" t="n"/>
      <c r="I40" s="20" t="n"/>
      <c r="J40" s="20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</row>
    <row r="41" ht="15.75" customHeight="1" s="18">
      <c r="A41" s="20" t="n"/>
      <c r="B41" s="20" t="n"/>
      <c r="C41" s="21" t="n"/>
      <c r="D41" s="21" t="n"/>
      <c r="E41" s="22" t="n"/>
      <c r="F41" s="22" t="n"/>
      <c r="G41" s="23">
        <f>IF(OR(B41="",SUMIF(Tasks!$B:$B,B41,Tasks!$F:$F)=0),"",SUMIFS(Tasks!$F:$F,Tasks!$B:$B,B41,Tasks!$G:$G,"Done")/SUMIF(Tasks!$B:$B,B41,Tasks!$F:$F))</f>
        <v/>
      </c>
      <c r="H41" s="21" t="n"/>
      <c r="I41" s="20" t="n"/>
      <c r="J41" s="20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</row>
    <row r="42" ht="15.75" customHeight="1" s="18">
      <c r="A42" s="20" t="n"/>
      <c r="B42" s="20" t="n"/>
      <c r="C42" s="21" t="n"/>
      <c r="D42" s="21" t="n"/>
      <c r="E42" s="22" t="n"/>
      <c r="F42" s="22" t="n"/>
      <c r="G42" s="23">
        <f>IF(OR(B42="",SUMIF(Tasks!$B:$B,B42,Tasks!$F:$F)=0),"",SUMIFS(Tasks!$F:$F,Tasks!$B:$B,B42,Tasks!$G:$G,"Done")/SUMIF(Tasks!$B:$B,B42,Tasks!$F:$F))</f>
        <v/>
      </c>
      <c r="H42" s="21" t="n"/>
      <c r="I42" s="20" t="n"/>
      <c r="J42" s="20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</row>
    <row r="43" ht="15.75" customHeight="1" s="18">
      <c r="A43" s="20" t="n"/>
      <c r="B43" s="20" t="n"/>
      <c r="C43" s="21" t="n"/>
      <c r="D43" s="21" t="n"/>
      <c r="E43" s="22" t="n"/>
      <c r="F43" s="22" t="n"/>
      <c r="G43" s="23">
        <f>IF(OR(B43="",SUMIF(Tasks!$B:$B,B43,Tasks!$F:$F)=0),"",SUMIFS(Tasks!$F:$F,Tasks!$B:$B,B43,Tasks!$G:$G,"Done")/SUMIF(Tasks!$B:$B,B43,Tasks!$F:$F))</f>
        <v/>
      </c>
      <c r="H43" s="21" t="n"/>
      <c r="I43" s="20" t="n"/>
      <c r="J43" s="20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</row>
    <row r="44" ht="15.75" customHeight="1" s="18">
      <c r="A44" s="20" t="n"/>
      <c r="B44" s="20" t="n"/>
      <c r="C44" s="21" t="n"/>
      <c r="D44" s="21" t="n"/>
      <c r="E44" s="22" t="n"/>
      <c r="F44" s="22" t="n"/>
      <c r="G44" s="23">
        <f>IF(OR(B44="",SUMIF(Tasks!$B:$B,B44,Tasks!$F:$F)=0),"",SUMIFS(Tasks!$F:$F,Tasks!$B:$B,B44,Tasks!$G:$G,"Done")/SUMIF(Tasks!$B:$B,B44,Tasks!$F:$F))</f>
        <v/>
      </c>
      <c r="H44" s="21" t="n"/>
      <c r="I44" s="20" t="n"/>
      <c r="J44" s="20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</row>
    <row r="45" ht="15.75" customHeight="1" s="18">
      <c r="A45" s="20" t="n"/>
      <c r="B45" s="20" t="n"/>
      <c r="C45" s="21" t="n"/>
      <c r="D45" s="21" t="n"/>
      <c r="E45" s="22" t="n"/>
      <c r="F45" s="22" t="n"/>
      <c r="G45" s="23">
        <f>IF(OR(B45="",SUMIF(Tasks!$B:$B,B45,Tasks!$F:$F)=0),"",SUMIFS(Tasks!$F:$F,Tasks!$B:$B,B45,Tasks!$G:$G,"Done")/SUMIF(Tasks!$B:$B,B45,Tasks!$F:$F))</f>
        <v/>
      </c>
      <c r="H45" s="21" t="n"/>
      <c r="I45" s="20" t="n"/>
      <c r="J45" s="20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</row>
    <row r="46" ht="15.75" customHeight="1" s="18">
      <c r="A46" s="20" t="n"/>
      <c r="B46" s="20" t="n"/>
      <c r="C46" s="21" t="n"/>
      <c r="D46" s="21" t="n"/>
      <c r="E46" s="22" t="n"/>
      <c r="F46" s="22" t="n"/>
      <c r="G46" s="23">
        <f>IF(OR(B46="",SUMIF(Tasks!$B:$B,B46,Tasks!$F:$F)=0),"",SUMIFS(Tasks!$F:$F,Tasks!$B:$B,B46,Tasks!$G:$G,"Done")/SUMIF(Tasks!$B:$B,B46,Tasks!$F:$F))</f>
        <v/>
      </c>
      <c r="H46" s="21" t="n"/>
      <c r="I46" s="20" t="n"/>
      <c r="J46" s="20" t="n"/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</row>
    <row r="47" ht="15.75" customHeight="1" s="18">
      <c r="A47" s="20" t="n"/>
      <c r="B47" s="20" t="n"/>
      <c r="C47" s="21" t="n"/>
      <c r="D47" s="21" t="n"/>
      <c r="E47" s="22" t="n"/>
      <c r="F47" s="22" t="n"/>
      <c r="G47" s="23">
        <f>IF(OR(B47="",SUMIF(Tasks!$B:$B,B47,Tasks!$F:$F)=0),"",SUMIFS(Tasks!$F:$F,Tasks!$B:$B,B47,Tasks!$G:$G,"Done")/SUMIF(Tasks!$B:$B,B47,Tasks!$F:$F))</f>
        <v/>
      </c>
      <c r="H47" s="21" t="n"/>
      <c r="I47" s="20" t="n"/>
      <c r="J47" s="20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</row>
    <row r="48" ht="15.75" customHeight="1" s="18">
      <c r="A48" s="20" t="n"/>
      <c r="B48" s="20" t="n"/>
      <c r="C48" s="21" t="n"/>
      <c r="D48" s="21" t="n"/>
      <c r="E48" s="22" t="n"/>
      <c r="F48" s="22" t="n"/>
      <c r="G48" s="23">
        <f>IF(OR(B48="",SUMIF(Tasks!$B:$B,B48,Tasks!$F:$F)=0),"",SUMIFS(Tasks!$F:$F,Tasks!$B:$B,B48,Tasks!$G:$G,"Done")/SUMIF(Tasks!$B:$B,B48,Tasks!$F:$F))</f>
        <v/>
      </c>
      <c r="H48" s="21" t="n"/>
      <c r="I48" s="20" t="n"/>
      <c r="J48" s="20" t="n"/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</row>
    <row r="49" ht="15.75" customHeight="1" s="18">
      <c r="A49" s="20" t="n"/>
      <c r="B49" s="20" t="n"/>
      <c r="C49" s="21" t="n"/>
      <c r="D49" s="21" t="n"/>
      <c r="E49" s="22" t="n"/>
      <c r="F49" s="22" t="n"/>
      <c r="G49" s="23">
        <f>IF(OR(B49="",SUMIF(Tasks!$B:$B,B49,Tasks!$F:$F)=0),"",SUMIFS(Tasks!$F:$F,Tasks!$B:$B,B49,Tasks!$G:$G,"Done")/SUMIF(Tasks!$B:$B,B49,Tasks!$F:$F))</f>
        <v/>
      </c>
      <c r="H49" s="21" t="n"/>
      <c r="I49" s="20" t="n"/>
      <c r="J49" s="20" t="n"/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</row>
    <row r="50" ht="15.75" customHeight="1" s="18">
      <c r="A50" s="20" t="n"/>
      <c r="B50" s="20" t="n"/>
      <c r="C50" s="21" t="n"/>
      <c r="D50" s="21" t="n"/>
      <c r="E50" s="22" t="n"/>
      <c r="F50" s="22" t="n"/>
      <c r="G50" s="23">
        <f>IF(OR(B50="",SUMIF(Tasks!$B:$B,B50,Tasks!$F:$F)=0),"",SUMIFS(Tasks!$F:$F,Tasks!$B:$B,B50,Tasks!$G:$G,"Done")/SUMIF(Tasks!$B:$B,B50,Tasks!$F:$F))</f>
        <v/>
      </c>
      <c r="H50" s="21" t="n"/>
      <c r="I50" s="20" t="n"/>
      <c r="J50" s="20" t="n"/>
      <c r="K50" s="9" t="n"/>
      <c r="L50" s="9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</row>
    <row r="51" ht="15.75" customHeight="1" s="18">
      <c r="A51" s="20" t="n"/>
      <c r="B51" s="20" t="n"/>
      <c r="C51" s="21" t="n"/>
      <c r="D51" s="21" t="n"/>
      <c r="E51" s="22" t="n"/>
      <c r="F51" s="22" t="n"/>
      <c r="G51" s="23">
        <f>IF(OR(B51="",SUMIF(Tasks!$B:$B,B51,Tasks!$F:$F)=0),"",SUMIFS(Tasks!$F:$F,Tasks!$B:$B,B51,Tasks!$G:$G,"Done")/SUMIF(Tasks!$B:$B,B51,Tasks!$F:$F))</f>
        <v/>
      </c>
      <c r="H51" s="21" t="n"/>
      <c r="I51" s="20" t="n"/>
      <c r="J51" s="20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</row>
    <row r="52" ht="15.75" customHeight="1" s="18">
      <c r="A52" s="20" t="n"/>
      <c r="B52" s="20" t="n"/>
      <c r="C52" s="21" t="n"/>
      <c r="D52" s="21" t="n"/>
      <c r="E52" s="22" t="n"/>
      <c r="F52" s="22" t="n"/>
      <c r="G52" s="23">
        <f>IF(OR(B52="",SUMIF(Tasks!$B:$B,B52,Tasks!$F:$F)=0),"",SUMIFS(Tasks!$F:$F,Tasks!$B:$B,B52,Tasks!$G:$G,"Done")/SUMIF(Tasks!$B:$B,B52,Tasks!$F:$F))</f>
        <v/>
      </c>
      <c r="H52" s="21" t="n"/>
      <c r="I52" s="20" t="n"/>
      <c r="J52" s="20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</row>
    <row r="53" ht="15.75" customHeight="1" s="18">
      <c r="A53" s="20" t="n"/>
      <c r="B53" s="20" t="n"/>
      <c r="C53" s="21" t="n"/>
      <c r="D53" s="21" t="n"/>
      <c r="E53" s="22" t="n"/>
      <c r="F53" s="22" t="n"/>
      <c r="G53" s="23">
        <f>IF(OR(B53="",SUMIF(Tasks!$B:$B,B53,Tasks!$F:$F)=0),"",SUMIFS(Tasks!$F:$F,Tasks!$B:$B,B53,Tasks!$G:$G,"Done")/SUMIF(Tasks!$B:$B,B53,Tasks!$F:$F))</f>
        <v/>
      </c>
      <c r="H53" s="21" t="n"/>
      <c r="I53" s="20" t="n"/>
      <c r="J53" s="20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</row>
    <row r="54" ht="15.75" customHeight="1" s="18">
      <c r="A54" s="20" t="n"/>
      <c r="B54" s="20" t="n"/>
      <c r="C54" s="21" t="n"/>
      <c r="D54" s="21" t="n"/>
      <c r="E54" s="22" t="n"/>
      <c r="F54" s="22" t="n"/>
      <c r="G54" s="23">
        <f>IF(OR(B54="",SUMIF(Tasks!$B:$B,B54,Tasks!$F:$F)=0),"",SUMIFS(Tasks!$F:$F,Tasks!$B:$B,B54,Tasks!$G:$G,"Done")/SUMIF(Tasks!$B:$B,B54,Tasks!$F:$F))</f>
        <v/>
      </c>
      <c r="H54" s="21" t="n"/>
      <c r="I54" s="20" t="n"/>
      <c r="J54" s="20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</row>
    <row r="55" ht="15.75" customHeight="1" s="18">
      <c r="A55" s="20" t="n"/>
      <c r="B55" s="20" t="n"/>
      <c r="C55" s="21" t="n"/>
      <c r="D55" s="21" t="n"/>
      <c r="E55" s="22" t="n"/>
      <c r="F55" s="22" t="n"/>
      <c r="G55" s="23">
        <f>IF(OR(B55="",SUMIF(Tasks!$B:$B,B55,Tasks!$F:$F)=0),"",SUMIFS(Tasks!$F:$F,Tasks!$B:$B,B55,Tasks!$G:$G,"Done")/SUMIF(Tasks!$B:$B,B55,Tasks!$F:$F))</f>
        <v/>
      </c>
      <c r="H55" s="21" t="n"/>
      <c r="I55" s="20" t="n"/>
      <c r="J55" s="20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</row>
    <row r="56" ht="15.75" customHeight="1" s="18">
      <c r="A56" s="20" t="n"/>
      <c r="B56" s="20" t="n"/>
      <c r="C56" s="21" t="n"/>
      <c r="D56" s="21" t="n"/>
      <c r="E56" s="22" t="n"/>
      <c r="F56" s="22" t="n"/>
      <c r="G56" s="23">
        <f>IF(OR(B56="",SUMIF(Tasks!$B:$B,B56,Tasks!$F:$F)=0),"",SUMIFS(Tasks!$F:$F,Tasks!$B:$B,B56,Tasks!$G:$G,"Done")/SUMIF(Tasks!$B:$B,B56,Tasks!$F:$F))</f>
        <v/>
      </c>
      <c r="H56" s="21" t="n"/>
      <c r="I56" s="20" t="n"/>
      <c r="J56" s="20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</row>
    <row r="57" ht="15.75" customHeight="1" s="18">
      <c r="A57" s="20" t="n"/>
      <c r="B57" s="20" t="n"/>
      <c r="C57" s="21" t="n"/>
      <c r="D57" s="21" t="n"/>
      <c r="E57" s="22" t="n"/>
      <c r="F57" s="22" t="n"/>
      <c r="G57" s="23">
        <f>IF(OR(B57="",SUMIF(Tasks!$B:$B,B57,Tasks!$F:$F)=0),"",SUMIFS(Tasks!$F:$F,Tasks!$B:$B,B57,Tasks!$G:$G,"Done")/SUMIF(Tasks!$B:$B,B57,Tasks!$F:$F))</f>
        <v/>
      </c>
      <c r="H57" s="21" t="n"/>
      <c r="I57" s="20" t="n"/>
      <c r="J57" s="20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</row>
    <row r="58" ht="15.75" customHeight="1" s="18">
      <c r="A58" s="20" t="n"/>
      <c r="B58" s="20" t="n"/>
      <c r="C58" s="21" t="n"/>
      <c r="D58" s="21" t="n"/>
      <c r="E58" s="22" t="n"/>
      <c r="F58" s="22" t="n"/>
      <c r="G58" s="23">
        <f>IF(OR(B58="",SUMIF(Tasks!$B:$B,B58,Tasks!$F:$F)=0),"",SUMIFS(Tasks!$F:$F,Tasks!$B:$B,B58,Tasks!$G:$G,"Done")/SUMIF(Tasks!$B:$B,B58,Tasks!$F:$F))</f>
        <v/>
      </c>
      <c r="H58" s="21" t="n"/>
      <c r="I58" s="20" t="n"/>
      <c r="J58" s="20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</row>
    <row r="59" ht="15.75" customHeight="1" s="18">
      <c r="A59" s="20" t="n"/>
      <c r="B59" s="20" t="n"/>
      <c r="C59" s="21" t="n"/>
      <c r="D59" s="21" t="n"/>
      <c r="E59" s="22" t="n"/>
      <c r="F59" s="22" t="n"/>
      <c r="G59" s="23">
        <f>IF(OR(B59="",SUMIF(Tasks!$B:$B,B59,Tasks!$F:$F)=0),"",SUMIFS(Tasks!$F:$F,Tasks!$B:$B,B59,Tasks!$G:$G,"Done")/SUMIF(Tasks!$B:$B,B59,Tasks!$F:$F))</f>
        <v/>
      </c>
      <c r="H59" s="21" t="n"/>
      <c r="I59" s="20" t="n"/>
      <c r="J59" s="20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</row>
    <row r="60" ht="15.75" customHeight="1" s="18">
      <c r="A60" s="20" t="n"/>
      <c r="B60" s="20" t="n"/>
      <c r="C60" s="21" t="n"/>
      <c r="D60" s="21" t="n"/>
      <c r="E60" s="22" t="n"/>
      <c r="F60" s="22" t="n"/>
      <c r="G60" s="23">
        <f>IF(OR(B60="",SUMIF(Tasks!$B:$B,B60,Tasks!$F:$F)=0),"",SUMIFS(Tasks!$F:$F,Tasks!$B:$B,B60,Tasks!$G:$G,"Done")/SUMIF(Tasks!$B:$B,B60,Tasks!$F:$F))</f>
        <v/>
      </c>
      <c r="H60" s="21" t="n"/>
      <c r="I60" s="20" t="n"/>
      <c r="J60" s="20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</row>
    <row r="61" ht="15.75" customHeight="1" s="18">
      <c r="A61" s="20" t="n"/>
      <c r="B61" s="20" t="n"/>
      <c r="C61" s="21" t="n"/>
      <c r="D61" s="21" t="n"/>
      <c r="E61" s="22" t="n"/>
      <c r="F61" s="22" t="n"/>
      <c r="G61" s="23">
        <f>IF(OR(B61="",SUMIF(Tasks!$B:$B,B61,Tasks!$F:$F)=0),"",SUMIFS(Tasks!$F:$F,Tasks!$B:$B,B61,Tasks!$G:$G,"Done")/SUMIF(Tasks!$B:$B,B61,Tasks!$F:$F))</f>
        <v/>
      </c>
      <c r="H61" s="21" t="n"/>
      <c r="I61" s="20" t="n"/>
      <c r="J61" s="20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</row>
    <row r="62" ht="15.75" customHeight="1" s="18">
      <c r="A62" s="20" t="n"/>
      <c r="B62" s="20" t="n"/>
      <c r="C62" s="21" t="n"/>
      <c r="D62" s="21" t="n"/>
      <c r="E62" s="22" t="n"/>
      <c r="F62" s="22" t="n"/>
      <c r="G62" s="23">
        <f>IF(OR(B62="",SUMIF(Tasks!$B:$B,B62,Tasks!$F:$F)=0),"",SUMIFS(Tasks!$F:$F,Tasks!$B:$B,B62,Tasks!$G:$G,"Done")/SUMIF(Tasks!$B:$B,B62,Tasks!$F:$F))</f>
        <v/>
      </c>
      <c r="H62" s="21" t="n"/>
      <c r="I62" s="20" t="n"/>
      <c r="J62" s="20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</row>
    <row r="63" ht="15.75" customHeight="1" s="18">
      <c r="A63" s="20" t="n"/>
      <c r="B63" s="20" t="n"/>
      <c r="C63" s="21" t="n"/>
      <c r="D63" s="21" t="n"/>
      <c r="E63" s="22" t="n"/>
      <c r="F63" s="22" t="n"/>
      <c r="G63" s="23">
        <f>IF(OR(B63="",SUMIF(Tasks!$B:$B,B63,Tasks!$F:$F)=0),"",SUMIFS(Tasks!$F:$F,Tasks!$B:$B,B63,Tasks!$G:$G,"Done")/SUMIF(Tasks!$B:$B,B63,Tasks!$F:$F))</f>
        <v/>
      </c>
      <c r="H63" s="21" t="n"/>
      <c r="I63" s="20" t="n"/>
      <c r="J63" s="20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</row>
    <row r="64" ht="15.75" customHeight="1" s="18">
      <c r="A64" s="20" t="n"/>
      <c r="B64" s="20" t="n"/>
      <c r="C64" s="21" t="n"/>
      <c r="D64" s="21" t="n"/>
      <c r="E64" s="22" t="n"/>
      <c r="F64" s="22" t="n"/>
      <c r="G64" s="23">
        <f>IF(OR(B64="",SUMIF(Tasks!$B:$B,B64,Tasks!$F:$F)=0),"",SUMIFS(Tasks!$F:$F,Tasks!$B:$B,B64,Tasks!$G:$G,"Done")/SUMIF(Tasks!$B:$B,B64,Tasks!$F:$F))</f>
        <v/>
      </c>
      <c r="H64" s="21" t="n"/>
      <c r="I64" s="20" t="n"/>
      <c r="J64" s="20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</row>
    <row r="65" ht="15.75" customHeight="1" s="18">
      <c r="A65" s="20" t="n"/>
      <c r="B65" s="20" t="n"/>
      <c r="C65" s="21" t="n"/>
      <c r="D65" s="21" t="n"/>
      <c r="E65" s="22" t="n"/>
      <c r="F65" s="22" t="n"/>
      <c r="G65" s="23">
        <f>IF(OR(B65="",SUMIF(Tasks!$B:$B,B65,Tasks!$F:$F)=0),"",SUMIFS(Tasks!$F:$F,Tasks!$B:$B,B65,Tasks!$G:$G,"Done")/SUMIF(Tasks!$B:$B,B65,Tasks!$F:$F))</f>
        <v/>
      </c>
      <c r="H65" s="21" t="n"/>
      <c r="I65" s="20" t="n"/>
      <c r="J65" s="20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</row>
    <row r="66" ht="15.75" customHeight="1" s="18">
      <c r="A66" s="20" t="n"/>
      <c r="B66" s="20" t="n"/>
      <c r="C66" s="21" t="n"/>
      <c r="D66" s="21" t="n"/>
      <c r="E66" s="22" t="n"/>
      <c r="F66" s="22" t="n"/>
      <c r="G66" s="23">
        <f>IF(OR(B66="",SUMIF(Tasks!$B:$B,B66,Tasks!$F:$F)=0),"",SUMIFS(Tasks!$F:$F,Tasks!$B:$B,B66,Tasks!$G:$G,"Done")/SUMIF(Tasks!$B:$B,B66,Tasks!$F:$F))</f>
        <v/>
      </c>
      <c r="H66" s="21" t="n"/>
      <c r="I66" s="20" t="n"/>
      <c r="J66" s="20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</row>
    <row r="67" ht="15.75" customHeight="1" s="18">
      <c r="A67" s="20" t="n"/>
      <c r="B67" s="20" t="n"/>
      <c r="C67" s="21" t="n"/>
      <c r="D67" s="21" t="n"/>
      <c r="E67" s="22" t="n"/>
      <c r="F67" s="22" t="n"/>
      <c r="G67" s="23">
        <f>IF(OR(B67="",SUMIF(Tasks!$B:$B,B67,Tasks!$F:$F)=0),"",SUMIFS(Tasks!$F:$F,Tasks!$B:$B,B67,Tasks!$G:$G,"Done")/SUMIF(Tasks!$B:$B,B67,Tasks!$F:$F))</f>
        <v/>
      </c>
      <c r="H67" s="21" t="n"/>
      <c r="I67" s="20" t="n"/>
      <c r="J67" s="20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</row>
    <row r="68" ht="15.75" customHeight="1" s="18">
      <c r="A68" s="20" t="n"/>
      <c r="B68" s="20" t="n"/>
      <c r="C68" s="21" t="n"/>
      <c r="D68" s="21" t="n"/>
      <c r="E68" s="22" t="n"/>
      <c r="F68" s="22" t="n"/>
      <c r="G68" s="23">
        <f>IF(OR(B68="",SUMIF(Tasks!$B:$B,B68,Tasks!$F:$F)=0),"",SUMIFS(Tasks!$F:$F,Tasks!$B:$B,B68,Tasks!$G:$G,"Done")/SUMIF(Tasks!$B:$B,B68,Tasks!$F:$F))</f>
        <v/>
      </c>
      <c r="H68" s="21" t="n"/>
      <c r="I68" s="20" t="n"/>
      <c r="J68" s="20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</row>
    <row r="69" ht="15.75" customHeight="1" s="18">
      <c r="A69" s="20" t="n"/>
      <c r="B69" s="20" t="n"/>
      <c r="C69" s="21" t="n"/>
      <c r="D69" s="21" t="n"/>
      <c r="E69" s="22" t="n"/>
      <c r="F69" s="22" t="n"/>
      <c r="G69" s="23">
        <f>IF(OR(B69="",SUMIF(Tasks!$B:$B,B69,Tasks!$F:$F)=0),"",SUMIFS(Tasks!$F:$F,Tasks!$B:$B,B69,Tasks!$G:$G,"Done")/SUMIF(Tasks!$B:$B,B69,Tasks!$F:$F))</f>
        <v/>
      </c>
      <c r="H69" s="21" t="n"/>
      <c r="I69" s="20" t="n"/>
      <c r="J69" s="20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</row>
    <row r="70" ht="15.75" customHeight="1" s="18">
      <c r="A70" s="20" t="n"/>
      <c r="B70" s="20" t="n"/>
      <c r="C70" s="21" t="n"/>
      <c r="D70" s="21" t="n"/>
      <c r="E70" s="22" t="n"/>
      <c r="F70" s="22" t="n"/>
      <c r="G70" s="23">
        <f>IF(OR(B70="",SUMIF(Tasks!$B:$B,B70,Tasks!$F:$F)=0),"",SUMIFS(Tasks!$F:$F,Tasks!$B:$B,B70,Tasks!$G:$G,"Done")/SUMIF(Tasks!$B:$B,B70,Tasks!$F:$F))</f>
        <v/>
      </c>
      <c r="H70" s="21" t="n"/>
      <c r="I70" s="20" t="n"/>
      <c r="J70" s="20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</row>
    <row r="71" ht="15.75" customHeight="1" s="18">
      <c r="A71" s="20" t="n"/>
      <c r="B71" s="20" t="n"/>
      <c r="C71" s="21" t="n"/>
      <c r="D71" s="21" t="n"/>
      <c r="E71" s="22" t="n"/>
      <c r="F71" s="22" t="n"/>
      <c r="G71" s="23">
        <f>IF(OR(B71="",SUMIF(Tasks!$B:$B,B71,Tasks!$F:$F)=0),"",SUMIFS(Tasks!$F:$F,Tasks!$B:$B,B71,Tasks!$G:$G,"Done")/SUMIF(Tasks!$B:$B,B71,Tasks!$F:$F))</f>
        <v/>
      </c>
      <c r="H71" s="21" t="n"/>
      <c r="I71" s="20" t="n"/>
      <c r="J71" s="20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</row>
    <row r="72" ht="15.75" customHeight="1" s="18">
      <c r="A72" s="20" t="n"/>
      <c r="B72" s="20" t="n"/>
      <c r="C72" s="21" t="n"/>
      <c r="D72" s="21" t="n"/>
      <c r="E72" s="22" t="n"/>
      <c r="F72" s="22" t="n"/>
      <c r="G72" s="23">
        <f>IF(OR(B72="",SUMIF(Tasks!$B:$B,B72,Tasks!$F:$F)=0),"",SUMIFS(Tasks!$F:$F,Tasks!$B:$B,B72,Tasks!$G:$G,"Done")/SUMIF(Tasks!$B:$B,B72,Tasks!$F:$F))</f>
        <v/>
      </c>
      <c r="H72" s="21" t="n"/>
      <c r="I72" s="20" t="n"/>
      <c r="J72" s="20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</row>
    <row r="73" ht="15.75" customHeight="1" s="18">
      <c r="A73" s="20" t="n"/>
      <c r="B73" s="20" t="n"/>
      <c r="C73" s="21" t="n"/>
      <c r="D73" s="21" t="n"/>
      <c r="E73" s="22" t="n"/>
      <c r="F73" s="22" t="n"/>
      <c r="G73" s="23">
        <f>IF(OR(B73="",SUMIF(Tasks!$B:$B,B73,Tasks!$F:$F)=0),"",SUMIFS(Tasks!$F:$F,Tasks!$B:$B,B73,Tasks!$G:$G,"Done")/SUMIF(Tasks!$B:$B,B73,Tasks!$F:$F))</f>
        <v/>
      </c>
      <c r="H73" s="21" t="n"/>
      <c r="I73" s="20" t="n"/>
      <c r="J73" s="20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</row>
    <row r="74" ht="15.75" customHeight="1" s="18">
      <c r="A74" s="20" t="n"/>
      <c r="B74" s="20" t="n"/>
      <c r="C74" s="21" t="n"/>
      <c r="D74" s="21" t="n"/>
      <c r="E74" s="22" t="n"/>
      <c r="F74" s="22" t="n"/>
      <c r="G74" s="23">
        <f>IF(OR(B74="",SUMIF(Tasks!$B:$B,B74,Tasks!$F:$F)=0),"",SUMIFS(Tasks!$F:$F,Tasks!$B:$B,B74,Tasks!$G:$G,"Done")/SUMIF(Tasks!$B:$B,B74,Tasks!$F:$F))</f>
        <v/>
      </c>
      <c r="H74" s="21" t="n"/>
      <c r="I74" s="20" t="n"/>
      <c r="J74" s="20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</row>
    <row r="75" ht="15.75" customHeight="1" s="18">
      <c r="A75" s="20" t="n"/>
      <c r="B75" s="20" t="n"/>
      <c r="C75" s="21" t="n"/>
      <c r="D75" s="21" t="n"/>
      <c r="E75" s="22" t="n"/>
      <c r="F75" s="22" t="n"/>
      <c r="G75" s="23">
        <f>IF(OR(B75="",SUMIF(Tasks!$B:$B,B75,Tasks!$F:$F)=0),"",SUMIFS(Tasks!$F:$F,Tasks!$B:$B,B75,Tasks!$G:$G,"Done")/SUMIF(Tasks!$B:$B,B75,Tasks!$F:$F))</f>
        <v/>
      </c>
      <c r="H75" s="21" t="n"/>
      <c r="I75" s="20" t="n"/>
      <c r="J75" s="20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</row>
    <row r="76" ht="15.75" customHeight="1" s="18">
      <c r="A76" s="20" t="n"/>
      <c r="B76" s="20" t="n"/>
      <c r="C76" s="21" t="n"/>
      <c r="D76" s="21" t="n"/>
      <c r="E76" s="22" t="n"/>
      <c r="F76" s="22" t="n"/>
      <c r="G76" s="23">
        <f>IF(OR(B76="",SUMIF(Tasks!$B:$B,B76,Tasks!$F:$F)=0),"",SUMIFS(Tasks!$F:$F,Tasks!$B:$B,B76,Tasks!$G:$G,"Done")/SUMIF(Tasks!$B:$B,B76,Tasks!$F:$F))</f>
        <v/>
      </c>
      <c r="H76" s="21" t="n"/>
      <c r="I76" s="20" t="n"/>
      <c r="J76" s="20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</row>
    <row r="77" ht="15.75" customHeight="1" s="18">
      <c r="A77" s="20" t="n"/>
      <c r="B77" s="20" t="n"/>
      <c r="C77" s="21" t="n"/>
      <c r="D77" s="21" t="n"/>
      <c r="E77" s="22" t="n"/>
      <c r="F77" s="22" t="n"/>
      <c r="G77" s="23">
        <f>IF(OR(B77="",SUMIF(Tasks!$B:$B,B77,Tasks!$F:$F)=0),"",SUMIFS(Tasks!$F:$F,Tasks!$B:$B,B77,Tasks!$G:$G,"Done")/SUMIF(Tasks!$B:$B,B77,Tasks!$F:$F))</f>
        <v/>
      </c>
      <c r="H77" s="21" t="n"/>
      <c r="I77" s="20" t="n"/>
      <c r="J77" s="20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</row>
    <row r="78" ht="15.75" customHeight="1" s="18">
      <c r="A78" s="20" t="n"/>
      <c r="B78" s="20" t="n"/>
      <c r="C78" s="21" t="n"/>
      <c r="D78" s="21" t="n"/>
      <c r="E78" s="22" t="n"/>
      <c r="F78" s="22" t="n"/>
      <c r="G78" s="23">
        <f>IF(OR(B78="",SUMIF(Tasks!$B:$B,B78,Tasks!$F:$F)=0),"",SUMIFS(Tasks!$F:$F,Tasks!$B:$B,B78,Tasks!$G:$G,"Done")/SUMIF(Tasks!$B:$B,B78,Tasks!$F:$F))</f>
        <v/>
      </c>
      <c r="H78" s="21" t="n"/>
      <c r="I78" s="20" t="n"/>
      <c r="J78" s="20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</row>
    <row r="79" ht="15.75" customHeight="1" s="18">
      <c r="A79" s="20" t="n"/>
      <c r="B79" s="20" t="n"/>
      <c r="C79" s="21" t="n"/>
      <c r="D79" s="21" t="n"/>
      <c r="E79" s="22" t="n"/>
      <c r="F79" s="22" t="n"/>
      <c r="G79" s="23">
        <f>IF(OR(B79="",SUMIF(Tasks!$B:$B,B79,Tasks!$F:$F)=0),"",SUMIFS(Tasks!$F:$F,Tasks!$B:$B,B79,Tasks!$G:$G,"Done")/SUMIF(Tasks!$B:$B,B79,Tasks!$F:$F))</f>
        <v/>
      </c>
      <c r="H79" s="21" t="n"/>
      <c r="I79" s="20" t="n"/>
      <c r="J79" s="20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</row>
    <row r="80" ht="15.75" customHeight="1" s="18">
      <c r="A80" s="20" t="n"/>
      <c r="B80" s="20" t="n"/>
      <c r="C80" s="21" t="n"/>
      <c r="D80" s="21" t="n"/>
      <c r="E80" s="22" t="n"/>
      <c r="F80" s="22" t="n"/>
      <c r="G80" s="23">
        <f>IF(OR(B80="",SUMIF(Tasks!$B:$B,B80,Tasks!$F:$F)=0),"",SUMIFS(Tasks!$F:$F,Tasks!$B:$B,B80,Tasks!$G:$G,"Done")/SUMIF(Tasks!$B:$B,B80,Tasks!$F:$F))</f>
        <v/>
      </c>
      <c r="H80" s="21" t="n"/>
      <c r="I80" s="20" t="n"/>
      <c r="J80" s="20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</row>
    <row r="81" ht="15.75" customHeight="1" s="18">
      <c r="A81" s="20" t="n"/>
      <c r="B81" s="20" t="n"/>
      <c r="C81" s="21" t="n"/>
      <c r="D81" s="21" t="n"/>
      <c r="E81" s="22" t="n"/>
      <c r="F81" s="22" t="n"/>
      <c r="G81" s="23">
        <f>IF(OR(B81="",SUMIF(Tasks!$B:$B,B81,Tasks!$F:$F)=0),"",SUMIFS(Tasks!$F:$F,Tasks!$B:$B,B81,Tasks!$G:$G,"Done")/SUMIF(Tasks!$B:$B,B81,Tasks!$F:$F))</f>
        <v/>
      </c>
      <c r="H81" s="21" t="n"/>
      <c r="I81" s="20" t="n"/>
      <c r="J81" s="20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</row>
    <row r="82" ht="15.75" customHeight="1" s="18">
      <c r="A82" s="20" t="n"/>
      <c r="B82" s="20" t="n"/>
      <c r="C82" s="21" t="n"/>
      <c r="D82" s="21" t="n"/>
      <c r="E82" s="22" t="n"/>
      <c r="F82" s="22" t="n"/>
      <c r="G82" s="23">
        <f>IF(OR(B82="",SUMIF(Tasks!$B:$B,B82,Tasks!$F:$F)=0),"",SUMIFS(Tasks!$F:$F,Tasks!$B:$B,B82,Tasks!$G:$G,"Done")/SUMIF(Tasks!$B:$B,B82,Tasks!$F:$F))</f>
        <v/>
      </c>
      <c r="H82" s="21" t="n"/>
      <c r="I82" s="20" t="n"/>
      <c r="J82" s="20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</row>
    <row r="83" ht="15.75" customHeight="1" s="18">
      <c r="A83" s="20" t="n"/>
      <c r="B83" s="20" t="n"/>
      <c r="C83" s="21" t="n"/>
      <c r="D83" s="21" t="n"/>
      <c r="E83" s="22" t="n"/>
      <c r="F83" s="22" t="n"/>
      <c r="G83" s="23">
        <f>IF(OR(B83="",SUMIF(Tasks!$B:$B,B83,Tasks!$F:$F)=0),"",SUMIFS(Tasks!$F:$F,Tasks!$B:$B,B83,Tasks!$G:$G,"Done")/SUMIF(Tasks!$B:$B,B83,Tasks!$F:$F))</f>
        <v/>
      </c>
      <c r="H83" s="21" t="n"/>
      <c r="I83" s="20" t="n"/>
      <c r="J83" s="20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</row>
    <row r="84" ht="15.75" customHeight="1" s="18">
      <c r="A84" s="20" t="n"/>
      <c r="B84" s="20" t="n"/>
      <c r="C84" s="21" t="n"/>
      <c r="D84" s="21" t="n"/>
      <c r="E84" s="22" t="n"/>
      <c r="F84" s="22" t="n"/>
      <c r="G84" s="23">
        <f>IF(OR(B84="",SUMIF(Tasks!$B:$B,B84,Tasks!$F:$F)=0),"",SUMIFS(Tasks!$F:$F,Tasks!$B:$B,B84,Tasks!$G:$G,"Done")/SUMIF(Tasks!$B:$B,B84,Tasks!$F:$F))</f>
        <v/>
      </c>
      <c r="H84" s="21" t="n"/>
      <c r="I84" s="20" t="n"/>
      <c r="J84" s="20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</row>
    <row r="85" ht="15.75" customHeight="1" s="18">
      <c r="A85" s="20" t="n"/>
      <c r="B85" s="20" t="n"/>
      <c r="C85" s="21" t="n"/>
      <c r="D85" s="21" t="n"/>
      <c r="E85" s="22" t="n"/>
      <c r="F85" s="22" t="n"/>
      <c r="G85" s="23">
        <f>IF(OR(B85="",SUMIF(Tasks!$B:$B,B85,Tasks!$F:$F)=0),"",SUMIFS(Tasks!$F:$F,Tasks!$B:$B,B85,Tasks!$G:$G,"Done")/SUMIF(Tasks!$B:$B,B85,Tasks!$F:$F))</f>
        <v/>
      </c>
      <c r="H85" s="21" t="n"/>
      <c r="I85" s="20" t="n"/>
      <c r="J85" s="20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</row>
    <row r="86" ht="15.75" customHeight="1" s="18">
      <c r="A86" s="20" t="n"/>
      <c r="B86" s="20" t="n"/>
      <c r="C86" s="21" t="n"/>
      <c r="D86" s="21" t="n"/>
      <c r="E86" s="22" t="n"/>
      <c r="F86" s="22" t="n"/>
      <c r="G86" s="23">
        <f>IF(OR(B86="",SUMIF(Tasks!$B:$B,B86,Tasks!$F:$F)=0),"",SUMIFS(Tasks!$F:$F,Tasks!$B:$B,B86,Tasks!$G:$G,"Done")/SUMIF(Tasks!$B:$B,B86,Tasks!$F:$F))</f>
        <v/>
      </c>
      <c r="H86" s="21" t="n"/>
      <c r="I86" s="20" t="n"/>
      <c r="J86" s="20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</row>
    <row r="87" ht="15.75" customHeight="1" s="18">
      <c r="A87" s="20" t="n"/>
      <c r="B87" s="20" t="n"/>
      <c r="C87" s="21" t="n"/>
      <c r="D87" s="21" t="n"/>
      <c r="E87" s="22" t="n"/>
      <c r="F87" s="22" t="n"/>
      <c r="G87" s="23">
        <f>IF(OR(B87="",SUMIF(Tasks!$B:$B,B87,Tasks!$F:$F)=0),"",SUMIFS(Tasks!$F:$F,Tasks!$B:$B,B87,Tasks!$G:$G,"Done")/SUMIF(Tasks!$B:$B,B87,Tasks!$F:$F))</f>
        <v/>
      </c>
      <c r="H87" s="21" t="n"/>
      <c r="I87" s="20" t="n"/>
      <c r="J87" s="20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</row>
    <row r="88" ht="15.75" customHeight="1" s="18">
      <c r="A88" s="20" t="n"/>
      <c r="B88" s="20" t="n"/>
      <c r="C88" s="21" t="n"/>
      <c r="D88" s="21" t="n"/>
      <c r="E88" s="22" t="n"/>
      <c r="F88" s="22" t="n"/>
      <c r="G88" s="23">
        <f>IF(OR(B88="",SUMIF(Tasks!$B:$B,B88,Tasks!$F:$F)=0),"",SUMIFS(Tasks!$F:$F,Tasks!$B:$B,B88,Tasks!$G:$G,"Done")/SUMIF(Tasks!$B:$B,B88,Tasks!$F:$F))</f>
        <v/>
      </c>
      <c r="H88" s="21" t="n"/>
      <c r="I88" s="20" t="n"/>
      <c r="J88" s="20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</row>
    <row r="89" ht="15.75" customHeight="1" s="18">
      <c r="A89" s="20" t="n"/>
      <c r="B89" s="20" t="n"/>
      <c r="C89" s="21" t="n"/>
      <c r="D89" s="21" t="n"/>
      <c r="E89" s="22" t="n"/>
      <c r="F89" s="22" t="n"/>
      <c r="G89" s="23">
        <f>IF(OR(B89="",SUMIF(Tasks!$B:$B,B89,Tasks!$F:$F)=0),"",SUMIFS(Tasks!$F:$F,Tasks!$B:$B,B89,Tasks!$G:$G,"Done")/SUMIF(Tasks!$B:$B,B89,Tasks!$F:$F))</f>
        <v/>
      </c>
      <c r="H89" s="21" t="n"/>
      <c r="I89" s="20" t="n"/>
      <c r="J89" s="20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</row>
    <row r="90" ht="15.75" customHeight="1" s="18">
      <c r="A90" s="20" t="n"/>
      <c r="B90" s="20" t="n"/>
      <c r="C90" s="21" t="n"/>
      <c r="D90" s="21" t="n"/>
      <c r="E90" s="22" t="n"/>
      <c r="F90" s="22" t="n"/>
      <c r="G90" s="23">
        <f>IF(OR(B90="",SUMIF(Tasks!$B:$B,B90,Tasks!$F:$F)=0),"",SUMIFS(Tasks!$F:$F,Tasks!$B:$B,B90,Tasks!$G:$G,"Done")/SUMIF(Tasks!$B:$B,B90,Tasks!$F:$F))</f>
        <v/>
      </c>
      <c r="H90" s="21" t="n"/>
      <c r="I90" s="20" t="n"/>
      <c r="J90" s="20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</row>
    <row r="91" ht="15.75" customHeight="1" s="18">
      <c r="A91" s="20" t="n"/>
      <c r="B91" s="20" t="n"/>
      <c r="C91" s="21" t="n"/>
      <c r="D91" s="21" t="n"/>
      <c r="E91" s="22" t="n"/>
      <c r="F91" s="22" t="n"/>
      <c r="G91" s="23">
        <f>IF(OR(B91="",SUMIF(Tasks!$B:$B,B91,Tasks!$F:$F)=0),"",SUMIFS(Tasks!$F:$F,Tasks!$B:$B,B91,Tasks!$G:$G,"Done")/SUMIF(Tasks!$B:$B,B91,Tasks!$F:$F))</f>
        <v/>
      </c>
      <c r="H91" s="21" t="n"/>
      <c r="I91" s="20" t="n"/>
      <c r="J91" s="20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</row>
    <row r="92" ht="15.75" customHeight="1" s="18">
      <c r="A92" s="20" t="n"/>
      <c r="B92" s="20" t="n"/>
      <c r="C92" s="21" t="n"/>
      <c r="D92" s="21" t="n"/>
      <c r="E92" s="22" t="n"/>
      <c r="F92" s="22" t="n"/>
      <c r="G92" s="23">
        <f>IF(OR(B92="",SUMIF(Tasks!$B:$B,B92,Tasks!$F:$F)=0),"",SUMIFS(Tasks!$F:$F,Tasks!$B:$B,B92,Tasks!$G:$G,"Done")/SUMIF(Tasks!$B:$B,B92,Tasks!$F:$F))</f>
        <v/>
      </c>
      <c r="H92" s="21" t="n"/>
      <c r="I92" s="20" t="n"/>
      <c r="J92" s="20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</row>
    <row r="93" ht="15.75" customHeight="1" s="18">
      <c r="A93" s="20" t="n"/>
      <c r="B93" s="20" t="n"/>
      <c r="C93" s="21" t="n"/>
      <c r="D93" s="21" t="n"/>
      <c r="E93" s="22" t="n"/>
      <c r="F93" s="22" t="n"/>
      <c r="G93" s="23">
        <f>IF(OR(B93="",SUMIF(Tasks!$B:$B,B93,Tasks!$F:$F)=0),"",SUMIFS(Tasks!$F:$F,Tasks!$B:$B,B93,Tasks!$G:$G,"Done")/SUMIF(Tasks!$B:$B,B93,Tasks!$F:$F))</f>
        <v/>
      </c>
      <c r="H93" s="21" t="n"/>
      <c r="I93" s="20" t="n"/>
      <c r="J93" s="20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</row>
    <row r="94" ht="15.75" customHeight="1" s="18">
      <c r="A94" s="20" t="n"/>
      <c r="B94" s="20" t="n"/>
      <c r="C94" s="21" t="n"/>
      <c r="D94" s="21" t="n"/>
      <c r="E94" s="22" t="n"/>
      <c r="F94" s="22" t="n"/>
      <c r="G94" s="23">
        <f>IF(OR(B94="",SUMIF(Tasks!$B:$B,B94,Tasks!$F:$F)=0),"",SUMIFS(Tasks!$F:$F,Tasks!$B:$B,B94,Tasks!$G:$G,"Done")/SUMIF(Tasks!$B:$B,B94,Tasks!$F:$F))</f>
        <v/>
      </c>
      <c r="H94" s="21" t="n"/>
      <c r="I94" s="20" t="n"/>
      <c r="J94" s="20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</row>
    <row r="95" ht="15.75" customHeight="1" s="18">
      <c r="A95" s="20" t="n"/>
      <c r="B95" s="20" t="n"/>
      <c r="C95" s="21" t="n"/>
      <c r="D95" s="21" t="n"/>
      <c r="E95" s="22" t="n"/>
      <c r="F95" s="22" t="n"/>
      <c r="G95" s="23">
        <f>IF(OR(B95="",SUMIF(Tasks!$B:$B,B95,Tasks!$F:$F)=0),"",SUMIFS(Tasks!$F:$F,Tasks!$B:$B,B95,Tasks!$G:$G,"Done")/SUMIF(Tasks!$B:$B,B95,Tasks!$F:$F))</f>
        <v/>
      </c>
      <c r="H95" s="21" t="n"/>
      <c r="I95" s="20" t="n"/>
      <c r="J95" s="20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</row>
    <row r="96" ht="15.75" customHeight="1" s="18">
      <c r="A96" s="20" t="n"/>
      <c r="B96" s="20" t="n"/>
      <c r="C96" s="21" t="n"/>
      <c r="D96" s="21" t="n"/>
      <c r="E96" s="22" t="n"/>
      <c r="F96" s="22" t="n"/>
      <c r="G96" s="23">
        <f>IF(OR(B96="",SUMIF(Tasks!$B:$B,B96,Tasks!$F:$F)=0),"",SUMIFS(Tasks!$F:$F,Tasks!$B:$B,B96,Tasks!$G:$G,"Done")/SUMIF(Tasks!$B:$B,B96,Tasks!$F:$F))</f>
        <v/>
      </c>
      <c r="H96" s="21" t="n"/>
      <c r="I96" s="20" t="n"/>
      <c r="J96" s="20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</row>
    <row r="97" ht="15.75" customHeight="1" s="18">
      <c r="A97" s="20" t="n"/>
      <c r="B97" s="20" t="n"/>
      <c r="C97" s="21" t="n"/>
      <c r="D97" s="21" t="n"/>
      <c r="E97" s="22" t="n"/>
      <c r="F97" s="22" t="n"/>
      <c r="G97" s="23">
        <f>IF(OR(B97="",SUMIF(Tasks!$B:$B,B97,Tasks!$F:$F)=0),"",SUMIFS(Tasks!$F:$F,Tasks!$B:$B,B97,Tasks!$G:$G,"Done")/SUMIF(Tasks!$B:$B,B97,Tasks!$F:$F))</f>
        <v/>
      </c>
      <c r="H97" s="21" t="n"/>
      <c r="I97" s="20" t="n"/>
      <c r="J97" s="20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</row>
    <row r="98" ht="15.75" customHeight="1" s="18">
      <c r="A98" s="20" t="n"/>
      <c r="B98" s="20" t="n"/>
      <c r="C98" s="21" t="n"/>
      <c r="D98" s="21" t="n"/>
      <c r="E98" s="22" t="n"/>
      <c r="F98" s="22" t="n"/>
      <c r="G98" s="23">
        <f>IF(OR(B98="",SUMIF(Tasks!$B:$B,B98,Tasks!$F:$F)=0),"",SUMIFS(Tasks!$F:$F,Tasks!$B:$B,B98,Tasks!$G:$G,"Done")/SUMIF(Tasks!$B:$B,B98,Tasks!$F:$F))</f>
        <v/>
      </c>
      <c r="H98" s="21" t="n"/>
      <c r="I98" s="20" t="n"/>
      <c r="J98" s="20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</row>
    <row r="99" ht="15.75" customHeight="1" s="18">
      <c r="A99" s="20" t="n"/>
      <c r="B99" s="20" t="n"/>
      <c r="C99" s="21" t="n"/>
      <c r="D99" s="21" t="n"/>
      <c r="E99" s="22" t="n"/>
      <c r="F99" s="22" t="n"/>
      <c r="G99" s="23">
        <f>IF(OR(B99="",SUMIF(Tasks!$B:$B,B99,Tasks!$F:$F)=0),"",SUMIFS(Tasks!$F:$F,Tasks!$B:$B,B99,Tasks!$G:$G,"Done")/SUMIF(Tasks!$B:$B,B99,Tasks!$F:$F))</f>
        <v/>
      </c>
      <c r="H99" s="21" t="n"/>
      <c r="I99" s="20" t="n"/>
      <c r="J99" s="20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</row>
    <row r="100" ht="15.75" customHeight="1" s="18">
      <c r="A100" s="20" t="n"/>
      <c r="B100" s="20" t="n"/>
      <c r="C100" s="21" t="n"/>
      <c r="D100" s="21" t="n"/>
      <c r="E100" s="22" t="n"/>
      <c r="F100" s="22" t="n"/>
      <c r="G100" s="23">
        <f>IF(OR(B100="",SUMIF(Tasks!$B:$B,B100,Tasks!$F:$F)=0),"",SUMIFS(Tasks!$F:$F,Tasks!$B:$B,B100,Tasks!$G:$G,"Done")/SUMIF(Tasks!$B:$B,B100,Tasks!$F:$F))</f>
        <v/>
      </c>
      <c r="H100" s="21" t="n"/>
      <c r="I100" s="20" t="n"/>
      <c r="J100" s="20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</row>
    <row r="101" ht="15.75" customHeight="1" s="18">
      <c r="A101" s="3" t="n"/>
      <c r="B101" s="9" t="n"/>
      <c r="C101" s="9" t="n"/>
      <c r="D101" s="9" t="n"/>
      <c r="E101" s="9" t="n"/>
      <c r="F101" s="9" t="n"/>
      <c r="G101" s="4">
        <f>IF(OR(B101="",SUMIF(Tasks!$B:$B,B101,Tasks!$F:$F)=0),"",SUMIFS(Tasks!$F:$F,Tasks!$B:$B,B101,Tasks!$G:$G,"Done")/SUMIF(Tasks!$B:$B,B101,Tasks!$F:$F))</f>
        <v/>
      </c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</row>
    <row r="102" ht="15.75" customHeight="1" s="18">
      <c r="A102" s="3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</row>
    <row r="103" ht="15.75" customHeight="1" s="18">
      <c r="A103" s="3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</row>
    <row r="104" ht="15.75" customHeight="1" s="18">
      <c r="A104" s="3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</row>
    <row r="105" ht="15.75" customHeight="1" s="18">
      <c r="A105" s="3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</row>
    <row r="106" ht="15.75" customHeight="1" s="18">
      <c r="A106" s="3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</row>
    <row r="107" ht="15.75" customHeight="1" s="18">
      <c r="A107" s="3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</row>
    <row r="108" ht="15.75" customHeight="1" s="18">
      <c r="A108" s="3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</row>
    <row r="109" ht="15.75" customHeight="1" s="18">
      <c r="A109" s="3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</row>
    <row r="110" ht="15.75" customHeight="1" s="18">
      <c r="A110" s="3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</row>
    <row r="111" ht="15.75" customHeight="1" s="18">
      <c r="A111" s="3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</row>
    <row r="112" ht="15.75" customHeight="1" s="18">
      <c r="A112" s="3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</row>
    <row r="113" ht="15.75" customHeight="1" s="18">
      <c r="A113" s="3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</row>
    <row r="114" ht="15.75" customHeight="1" s="18">
      <c r="A114" s="3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</row>
    <row r="115" ht="15.75" customHeight="1" s="18">
      <c r="A115" s="3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</row>
    <row r="116" ht="15.75" customHeight="1" s="18">
      <c r="A116" s="3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</row>
    <row r="117" ht="15.75" customHeight="1" s="18">
      <c r="A117" s="3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</row>
    <row r="118" ht="15.75" customHeight="1" s="18">
      <c r="A118" s="3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</row>
    <row r="119" ht="15.75" customHeight="1" s="18">
      <c r="A119" s="3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</row>
    <row r="120" ht="15.75" customHeight="1" s="18">
      <c r="A120" s="3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</row>
    <row r="121" ht="15.75" customHeight="1" s="18">
      <c r="A121" s="3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</row>
    <row r="122" ht="15.75" customHeight="1" s="18">
      <c r="A122" s="3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</row>
    <row r="123" ht="15.75" customHeight="1" s="18">
      <c r="A123" s="3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</row>
    <row r="124" ht="15.75" customHeight="1" s="18">
      <c r="A124" s="3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</row>
    <row r="125" ht="15.75" customHeight="1" s="18">
      <c r="A125" s="3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</row>
    <row r="126" ht="15.75" customHeight="1" s="18">
      <c r="A126" s="3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</row>
    <row r="127" ht="15.75" customHeight="1" s="18">
      <c r="A127" s="3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</row>
    <row r="128" ht="15.75" customHeight="1" s="18">
      <c r="A128" s="3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</row>
    <row r="129" ht="15.75" customHeight="1" s="18">
      <c r="A129" s="3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</row>
    <row r="130" ht="15.75" customHeight="1" s="18">
      <c r="A130" s="3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</row>
    <row r="131" ht="15.75" customHeight="1" s="18">
      <c r="A131" s="3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</row>
    <row r="132" ht="15.75" customHeight="1" s="18">
      <c r="A132" s="3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</row>
    <row r="133" ht="15.75" customHeight="1" s="18">
      <c r="A133" s="3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</row>
    <row r="134" ht="15.75" customHeight="1" s="18">
      <c r="A134" s="3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</row>
    <row r="135" ht="15.75" customHeight="1" s="18">
      <c r="A135" s="3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</row>
    <row r="136" ht="15.75" customHeight="1" s="18">
      <c r="A136" s="3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</row>
    <row r="137" ht="15.75" customHeight="1" s="18">
      <c r="A137" s="3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</row>
    <row r="138" ht="15.75" customHeight="1" s="18">
      <c r="A138" s="3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</row>
    <row r="139" ht="15.75" customHeight="1" s="18">
      <c r="A139" s="3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</row>
    <row r="140" ht="15.75" customHeight="1" s="18">
      <c r="A140" s="3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</row>
    <row r="141" ht="15.75" customHeight="1" s="18">
      <c r="A141" s="3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</row>
    <row r="142" ht="15.75" customHeight="1" s="18">
      <c r="A142" s="3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</row>
    <row r="143" ht="15.75" customHeight="1" s="18">
      <c r="A143" s="3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</row>
    <row r="144" ht="15.75" customHeight="1" s="18">
      <c r="A144" s="3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</row>
    <row r="145" ht="15.75" customHeight="1" s="18">
      <c r="A145" s="3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</row>
    <row r="146" ht="15.75" customHeight="1" s="18">
      <c r="A146" s="3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</row>
    <row r="147" ht="15.75" customHeight="1" s="18">
      <c r="A147" s="3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</row>
    <row r="148" ht="15.75" customHeight="1" s="18">
      <c r="A148" s="3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</row>
    <row r="149" ht="15.75" customHeight="1" s="18">
      <c r="A149" s="3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</row>
    <row r="150" ht="15.75" customHeight="1" s="18">
      <c r="A150" s="3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</row>
    <row r="151" ht="15.75" customHeight="1" s="18">
      <c r="A151" s="3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</row>
    <row r="152" ht="15.75" customHeight="1" s="18">
      <c r="A152" s="3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</row>
    <row r="153" ht="15.75" customHeight="1" s="18">
      <c r="A153" s="3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</row>
    <row r="154" ht="15.75" customHeight="1" s="18">
      <c r="A154" s="3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</row>
    <row r="155" ht="15.75" customHeight="1" s="18">
      <c r="A155" s="3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</row>
    <row r="156" ht="15.75" customHeight="1" s="18">
      <c r="A156" s="3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</row>
    <row r="157" ht="15.75" customHeight="1" s="18">
      <c r="A157" s="3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</row>
    <row r="158" ht="15.75" customHeight="1" s="18">
      <c r="A158" s="3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</row>
    <row r="159" ht="15.75" customHeight="1" s="18">
      <c r="A159" s="3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</row>
    <row r="160" ht="15.75" customHeight="1" s="18">
      <c r="A160" s="3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</row>
    <row r="161" ht="15.75" customHeight="1" s="18">
      <c r="A161" s="3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</row>
    <row r="162" ht="15.75" customHeight="1" s="18">
      <c r="A162" s="3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</row>
    <row r="163" ht="15.75" customHeight="1" s="18">
      <c r="A163" s="3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</row>
    <row r="164" ht="15.75" customHeight="1" s="18">
      <c r="A164" s="3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</row>
    <row r="165" ht="15.75" customHeight="1" s="18">
      <c r="A165" s="3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</row>
    <row r="166" ht="15.75" customHeight="1" s="18">
      <c r="A166" s="3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</row>
    <row r="167" ht="15.75" customHeight="1" s="18">
      <c r="A167" s="3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</row>
    <row r="168" ht="15.75" customHeight="1" s="18">
      <c r="A168" s="3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</row>
    <row r="169" ht="15.75" customHeight="1" s="18">
      <c r="A169" s="3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</row>
    <row r="170" ht="15.75" customHeight="1" s="18">
      <c r="A170" s="3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</row>
    <row r="171" ht="15.75" customHeight="1" s="18">
      <c r="A171" s="3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</row>
    <row r="172" ht="15.75" customHeight="1" s="18">
      <c r="A172" s="3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</row>
    <row r="173" ht="15.75" customHeight="1" s="18">
      <c r="A173" s="3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</row>
    <row r="174" ht="15.75" customHeight="1" s="18">
      <c r="A174" s="3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</row>
    <row r="175" ht="15.75" customHeight="1" s="18">
      <c r="A175" s="3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</row>
    <row r="176" ht="15.75" customHeight="1" s="18">
      <c r="A176" s="3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</row>
    <row r="177" ht="15.75" customHeight="1" s="18">
      <c r="A177" s="3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</row>
    <row r="178" ht="15.75" customHeight="1" s="18">
      <c r="A178" s="3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</row>
    <row r="179" ht="15.75" customHeight="1" s="18">
      <c r="A179" s="3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</row>
    <row r="180" ht="15.75" customHeight="1" s="18">
      <c r="A180" s="3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</row>
    <row r="181" ht="15.75" customHeight="1" s="18">
      <c r="A181" s="3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</row>
    <row r="182" ht="15.75" customHeight="1" s="18">
      <c r="A182" s="3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</row>
    <row r="183" ht="15.75" customHeight="1" s="18">
      <c r="A183" s="3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</row>
    <row r="184" ht="15.75" customHeight="1" s="18">
      <c r="A184" s="3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</row>
    <row r="185" ht="15.75" customHeight="1" s="18">
      <c r="A185" s="3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</row>
    <row r="186" ht="15.75" customHeight="1" s="18">
      <c r="A186" s="3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</row>
    <row r="187" ht="15.75" customHeight="1" s="18">
      <c r="A187" s="3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</row>
    <row r="188" ht="15.75" customHeight="1" s="18">
      <c r="A188" s="3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</row>
    <row r="189" ht="15.75" customHeight="1" s="18">
      <c r="A189" s="3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</row>
    <row r="190" ht="15.75" customHeight="1" s="18">
      <c r="A190" s="3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</row>
    <row r="191" ht="15.75" customHeight="1" s="18">
      <c r="A191" s="3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</row>
    <row r="192" ht="15.75" customHeight="1" s="18">
      <c r="A192" s="3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</row>
    <row r="193" ht="15.75" customHeight="1" s="18">
      <c r="A193" s="3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</row>
    <row r="194" ht="15.75" customHeight="1" s="18">
      <c r="A194" s="3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</row>
    <row r="195" ht="15.75" customHeight="1" s="18">
      <c r="A195" s="3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</row>
    <row r="196" ht="15.75" customHeight="1" s="18">
      <c r="A196" s="3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</row>
    <row r="197" ht="15.75" customHeight="1" s="18">
      <c r="A197" s="3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</row>
    <row r="198" ht="15.75" customHeight="1" s="18">
      <c r="A198" s="3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</row>
    <row r="199" ht="15.75" customHeight="1" s="18">
      <c r="A199" s="3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</row>
    <row r="200" ht="15.75" customHeight="1" s="18">
      <c r="A200" s="3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</row>
    <row r="201" ht="15.75" customHeight="1" s="18">
      <c r="A201" s="3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</row>
    <row r="202" ht="15.75" customHeight="1" s="18">
      <c r="A202" s="3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</row>
    <row r="203" ht="15.75" customHeight="1" s="18">
      <c r="A203" s="3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</row>
    <row r="204" ht="15.75" customHeight="1" s="18">
      <c r="A204" s="3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</row>
    <row r="205" ht="15.75" customHeight="1" s="18">
      <c r="A205" s="3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</row>
    <row r="206" ht="15.75" customHeight="1" s="18">
      <c r="A206" s="3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</row>
    <row r="207" ht="15.75" customHeight="1" s="18">
      <c r="A207" s="3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</row>
    <row r="208" ht="15.75" customHeight="1" s="18">
      <c r="A208" s="3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</row>
    <row r="209" ht="15.75" customHeight="1" s="18">
      <c r="A209" s="3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</row>
    <row r="210" ht="15.75" customHeight="1" s="18">
      <c r="A210" s="3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</row>
    <row r="211" ht="15.75" customHeight="1" s="18">
      <c r="A211" s="3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</row>
    <row r="212" ht="15.75" customHeight="1" s="18">
      <c r="A212" s="3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</row>
    <row r="213" ht="15.75" customHeight="1" s="18">
      <c r="A213" s="3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</row>
    <row r="214" ht="15.75" customHeight="1" s="18">
      <c r="A214" s="3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</row>
    <row r="215" ht="15.75" customHeight="1" s="18">
      <c r="A215" s="3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</row>
    <row r="216" ht="15.75" customHeight="1" s="18">
      <c r="A216" s="3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</row>
    <row r="217" ht="15.75" customHeight="1" s="18">
      <c r="A217" s="3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</row>
    <row r="218" ht="15.75" customHeight="1" s="18">
      <c r="A218" s="3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</row>
    <row r="219" ht="15.75" customHeight="1" s="18">
      <c r="A219" s="3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</row>
    <row r="220" ht="15.75" customHeight="1" s="18">
      <c r="A220" s="3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</row>
    <row r="221" ht="15.75" customHeight="1" s="18">
      <c r="A221" s="3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</row>
    <row r="222" ht="15.75" customHeight="1" s="18">
      <c r="A222" s="3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</row>
    <row r="223" ht="15.75" customHeight="1" s="18">
      <c r="A223" s="3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</row>
    <row r="224" ht="15.75" customHeight="1" s="18">
      <c r="A224" s="3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</row>
    <row r="225" ht="15.75" customHeight="1" s="18">
      <c r="A225" s="3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</row>
    <row r="226" ht="15.75" customHeight="1" s="18">
      <c r="A226" s="3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</row>
    <row r="227" ht="15.75" customHeight="1" s="18">
      <c r="A227" s="3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</row>
    <row r="228" ht="15.75" customHeight="1" s="18">
      <c r="A228" s="3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</row>
    <row r="229" ht="15.75" customHeight="1" s="18">
      <c r="A229" s="3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</row>
    <row r="230" ht="15.75" customHeight="1" s="18">
      <c r="A230" s="3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</row>
    <row r="231" ht="15.75" customHeight="1" s="18">
      <c r="A231" s="3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</row>
    <row r="232" ht="15.75" customHeight="1" s="18">
      <c r="A232" s="3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</row>
    <row r="233" ht="15.75" customHeight="1" s="18">
      <c r="A233" s="3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</row>
    <row r="234" ht="15.75" customHeight="1" s="18">
      <c r="A234" s="3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</row>
    <row r="235" ht="15.75" customHeight="1" s="18">
      <c r="A235" s="3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</row>
    <row r="236" ht="15.75" customHeight="1" s="18">
      <c r="A236" s="3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</row>
    <row r="237" ht="15.75" customHeight="1" s="18">
      <c r="A237" s="3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</row>
    <row r="238" ht="15.75" customHeight="1" s="18">
      <c r="A238" s="3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</row>
    <row r="239" ht="15.75" customHeight="1" s="18">
      <c r="A239" s="3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</row>
    <row r="240" ht="15.75" customHeight="1" s="18">
      <c r="A240" s="3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</row>
    <row r="241" ht="15.75" customHeight="1" s="18">
      <c r="A241" s="3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</row>
    <row r="242" ht="15.75" customHeight="1" s="18">
      <c r="A242" s="3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</row>
    <row r="243" ht="15.75" customHeight="1" s="18">
      <c r="A243" s="3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</row>
    <row r="244" ht="15.75" customHeight="1" s="18">
      <c r="A244" s="3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</row>
    <row r="245" ht="15.75" customHeight="1" s="18">
      <c r="A245" s="3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</row>
    <row r="246" ht="15.75" customHeight="1" s="18">
      <c r="A246" s="3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</row>
    <row r="247" ht="15.75" customHeight="1" s="18">
      <c r="A247" s="3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</row>
    <row r="248" ht="15.75" customHeight="1" s="18">
      <c r="A248" s="3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</row>
    <row r="249" ht="15.75" customHeight="1" s="18">
      <c r="A249" s="3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</row>
    <row r="250" ht="15.75" customHeight="1" s="18">
      <c r="A250" s="3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</row>
    <row r="251" ht="15.75" customHeight="1" s="18">
      <c r="A251" s="3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</row>
    <row r="252" ht="15.75" customHeight="1" s="18">
      <c r="A252" s="3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</row>
    <row r="253" ht="15.75" customHeight="1" s="18">
      <c r="A253" s="3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</row>
    <row r="254" ht="15.75" customHeight="1" s="18">
      <c r="A254" s="3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</row>
    <row r="255" ht="15.75" customHeight="1" s="18">
      <c r="A255" s="3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</row>
    <row r="256" ht="15.75" customHeight="1" s="18">
      <c r="A256" s="3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</row>
    <row r="257" ht="15.75" customHeight="1" s="18">
      <c r="A257" s="3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</row>
    <row r="258" ht="15.75" customHeight="1" s="18">
      <c r="A258" s="3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</row>
    <row r="259" ht="15.75" customHeight="1" s="18">
      <c r="A259" s="3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</row>
    <row r="260" ht="15.75" customHeight="1" s="18">
      <c r="A260" s="3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</row>
    <row r="261" ht="15.75" customHeight="1" s="18">
      <c r="A261" s="3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</row>
    <row r="262" ht="15.75" customHeight="1" s="18">
      <c r="A262" s="3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</row>
    <row r="263" ht="15.75" customHeight="1" s="18">
      <c r="A263" s="3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</row>
    <row r="264" ht="15.75" customHeight="1" s="18">
      <c r="A264" s="3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</row>
    <row r="265" ht="15.75" customHeight="1" s="18">
      <c r="A265" s="3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</row>
    <row r="266" ht="15.75" customHeight="1" s="18">
      <c r="A266" s="3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</row>
    <row r="267" ht="15.75" customHeight="1" s="18">
      <c r="A267" s="3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</row>
    <row r="268" ht="15.75" customHeight="1" s="18">
      <c r="A268" s="3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</row>
    <row r="269" ht="15.75" customHeight="1" s="18">
      <c r="A269" s="3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</row>
    <row r="270" ht="15.75" customHeight="1" s="18">
      <c r="A270" s="3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</row>
    <row r="271" ht="15.75" customHeight="1" s="18">
      <c r="A271" s="3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</row>
    <row r="272" ht="15.75" customHeight="1" s="18">
      <c r="A272" s="3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</row>
    <row r="273" ht="15.75" customHeight="1" s="18">
      <c r="A273" s="3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</row>
    <row r="274" ht="15.75" customHeight="1" s="18">
      <c r="A274" s="3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</row>
    <row r="275" ht="15.75" customHeight="1" s="18">
      <c r="A275" s="3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</row>
    <row r="276" ht="15.75" customHeight="1" s="18">
      <c r="A276" s="3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</row>
    <row r="277" ht="15.75" customHeight="1" s="18">
      <c r="A277" s="3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</row>
    <row r="278" ht="15.75" customHeight="1" s="18">
      <c r="A278" s="3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</row>
    <row r="279" ht="15.75" customHeight="1" s="18">
      <c r="A279" s="3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</row>
    <row r="280" ht="15.75" customHeight="1" s="18">
      <c r="A280" s="3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</row>
    <row r="281" ht="15.75" customHeight="1" s="18">
      <c r="A281" s="3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</row>
    <row r="282" ht="15.75" customHeight="1" s="18">
      <c r="A282" s="3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</row>
    <row r="283" ht="15.75" customHeight="1" s="18">
      <c r="A283" s="3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</row>
    <row r="284" ht="15.75" customHeight="1" s="18">
      <c r="A284" s="3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</row>
    <row r="285" ht="15.75" customHeight="1" s="18">
      <c r="A285" s="3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</row>
    <row r="286" ht="15.75" customHeight="1" s="18">
      <c r="A286" s="3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</row>
    <row r="287" ht="15.75" customHeight="1" s="18">
      <c r="A287" s="3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</row>
    <row r="288" ht="15.75" customHeight="1" s="18">
      <c r="A288" s="3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</row>
    <row r="289" ht="15.75" customHeight="1" s="18">
      <c r="A289" s="3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</row>
    <row r="290" ht="15.75" customHeight="1" s="18">
      <c r="A290" s="3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</row>
    <row r="291" ht="15.75" customHeight="1" s="18">
      <c r="A291" s="3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</row>
    <row r="292" ht="15.75" customHeight="1" s="18">
      <c r="A292" s="3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</row>
    <row r="293" ht="15.75" customHeight="1" s="18">
      <c r="A293" s="3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</row>
    <row r="294" ht="15.75" customHeight="1" s="18">
      <c r="A294" s="3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</row>
    <row r="295" ht="15.75" customHeight="1" s="18">
      <c r="A295" s="3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</row>
    <row r="296" ht="15.75" customHeight="1" s="18">
      <c r="A296" s="3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</row>
    <row r="297" ht="15.75" customHeight="1" s="18">
      <c r="A297" s="3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</row>
    <row r="298" ht="15.75" customHeight="1" s="18">
      <c r="A298" s="3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</row>
    <row r="299" ht="15.75" customHeight="1" s="18">
      <c r="A299" s="3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</row>
    <row r="300" ht="15.75" customHeight="1" s="18">
      <c r="A300" s="3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</row>
    <row r="301" ht="15.75" customHeight="1" s="18">
      <c r="A301" s="3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</row>
    <row r="302" ht="15.75" customHeight="1" s="18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</row>
    <row r="303" ht="15.75" customHeight="1" s="18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</row>
    <row r="304" ht="15.75" customHeight="1" s="18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</row>
    <row r="305" ht="15.75" customHeight="1" s="18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</row>
    <row r="306" ht="15.75" customHeight="1" s="18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</row>
    <row r="307" ht="15.75" customHeight="1" s="18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</row>
    <row r="308" ht="15.75" customHeight="1" s="1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</row>
    <row r="309" ht="15.75" customHeight="1" s="18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</row>
    <row r="310" ht="15.75" customHeight="1" s="18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</row>
    <row r="311" ht="15.75" customHeight="1" s="18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</row>
    <row r="312" ht="15.75" customHeight="1" s="18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</row>
    <row r="313" ht="15.75" customHeight="1" s="18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</row>
    <row r="314" ht="15.75" customHeight="1" s="18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</row>
    <row r="315" ht="15.75" customHeight="1" s="18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</row>
    <row r="316" ht="15.75" customHeight="1" s="18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</row>
    <row r="317" ht="15.75" customHeight="1" s="18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</row>
    <row r="318" ht="15.75" customHeight="1" s="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</row>
    <row r="319" ht="15.75" customHeight="1" s="18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</row>
    <row r="320" ht="15.75" customHeight="1" s="18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</row>
    <row r="321" ht="15.75" customHeight="1" s="18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</row>
    <row r="322" ht="15.75" customHeight="1" s="18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</row>
    <row r="323" ht="15.75" customHeight="1" s="18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</row>
    <row r="324" ht="15.75" customHeight="1" s="18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</row>
    <row r="325" ht="15.75" customHeight="1" s="18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</row>
    <row r="326" ht="15.75" customHeight="1" s="18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</row>
    <row r="327" ht="15.75" customHeight="1" s="18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</row>
    <row r="328" ht="15.75" customHeight="1" s="1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</row>
    <row r="329" ht="15.75" customHeight="1" s="18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</row>
    <row r="330" ht="15.75" customHeight="1" s="18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</row>
    <row r="331" ht="15.75" customHeight="1" s="18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</row>
    <row r="332" ht="15.75" customHeight="1" s="18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</row>
    <row r="333" ht="15.75" customHeight="1" s="18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</row>
    <row r="334" ht="15.75" customHeight="1" s="18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</row>
    <row r="335" ht="15.75" customHeight="1" s="18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</row>
    <row r="336" ht="15.75" customHeight="1" s="18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</row>
    <row r="337" ht="15.75" customHeight="1" s="18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</row>
    <row r="338" ht="15.75" customHeight="1" s="1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</row>
    <row r="339" ht="15.75" customHeight="1" s="18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</row>
    <row r="340" ht="15.75" customHeight="1" s="18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</row>
    <row r="341" ht="15.75" customHeight="1" s="18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</row>
    <row r="342" ht="15.75" customHeight="1" s="18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</row>
    <row r="343" ht="15.75" customHeight="1" s="18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</row>
    <row r="344" ht="15.75" customHeight="1" s="18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</row>
    <row r="345" ht="15.75" customHeight="1" s="18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</row>
    <row r="346" ht="15.75" customHeight="1" s="18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</row>
    <row r="347" ht="15.75" customHeight="1" s="18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</row>
    <row r="348" ht="15.75" customHeight="1" s="1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</row>
    <row r="349" ht="15.75" customHeight="1" s="18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</row>
    <row r="350" ht="15.75" customHeight="1" s="18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</row>
    <row r="351" ht="15.75" customHeight="1" s="18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</row>
    <row r="352" ht="15.75" customHeight="1" s="18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</row>
    <row r="353" ht="15.75" customHeight="1" s="18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</row>
    <row r="354" ht="15.75" customHeight="1" s="18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</row>
    <row r="355" ht="15.75" customHeight="1" s="18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</row>
    <row r="356" ht="15.75" customHeight="1" s="18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</row>
    <row r="357" ht="15.75" customHeight="1" s="18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</row>
    <row r="358" ht="15.75" customHeight="1" s="1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</row>
    <row r="359" ht="15.75" customHeight="1" s="18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</row>
    <row r="360" ht="15.75" customHeight="1" s="18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</row>
    <row r="361" ht="15.75" customHeight="1" s="18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</row>
    <row r="362" ht="15.75" customHeight="1" s="18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</row>
    <row r="363" ht="15.75" customHeight="1" s="18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</row>
    <row r="364" ht="15.75" customHeight="1" s="18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</row>
    <row r="365" ht="15.75" customHeight="1" s="18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</row>
    <row r="366" ht="15.75" customHeight="1" s="18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</row>
    <row r="367" ht="15.75" customHeight="1" s="18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</row>
    <row r="368" ht="15.75" customHeight="1" s="1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</row>
    <row r="369" ht="15.75" customHeight="1" s="18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</row>
    <row r="370" ht="15.75" customHeight="1" s="18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</row>
    <row r="371" ht="15.75" customHeight="1" s="18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</row>
    <row r="372" ht="15.75" customHeight="1" s="18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</row>
    <row r="373" ht="15.75" customHeight="1" s="18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</row>
    <row r="374" ht="15.75" customHeight="1" s="18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</row>
    <row r="375" ht="15.75" customHeight="1" s="18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</row>
    <row r="376" ht="15.75" customHeight="1" s="18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</row>
    <row r="377" ht="15.75" customHeight="1" s="18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</row>
    <row r="378" ht="15.75" customHeight="1" s="1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</row>
    <row r="379" ht="15.75" customHeight="1" s="18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</row>
    <row r="380" ht="15.75" customHeight="1" s="18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</row>
    <row r="381" ht="15.75" customHeight="1" s="18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</row>
    <row r="382" ht="15.75" customHeight="1" s="18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</row>
    <row r="383" ht="15.75" customHeight="1" s="18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</row>
    <row r="384" ht="15.75" customHeight="1" s="18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</row>
    <row r="385" ht="15.75" customHeight="1" s="18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</row>
    <row r="386" ht="15.75" customHeight="1" s="18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</row>
    <row r="387" ht="15.75" customHeight="1" s="18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</row>
    <row r="388" ht="15.75" customHeight="1" s="1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</row>
    <row r="389" ht="15.75" customHeight="1" s="18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</row>
    <row r="390" ht="15.75" customHeight="1" s="18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</row>
    <row r="391" ht="15.75" customHeight="1" s="18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</row>
    <row r="392" ht="15.75" customHeight="1" s="18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</row>
    <row r="393" ht="15.75" customHeight="1" s="18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</row>
    <row r="394" ht="15.75" customHeight="1" s="18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</row>
    <row r="395" ht="15.75" customHeight="1" s="18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</row>
    <row r="396" ht="15.75" customHeight="1" s="18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</row>
    <row r="397" ht="15.75" customHeight="1" s="18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</row>
    <row r="398" ht="15.75" customHeight="1" s="1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</row>
    <row r="399" ht="15.75" customHeight="1" s="18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</row>
    <row r="400" ht="15.75" customHeight="1" s="18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</row>
    <row r="401" ht="15.75" customHeight="1" s="18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</row>
    <row r="402" ht="15.75" customHeight="1" s="18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</row>
    <row r="403" ht="15.75" customHeight="1" s="18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</row>
    <row r="404" ht="15.75" customHeight="1" s="18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</row>
    <row r="405" ht="15.75" customHeight="1" s="18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</row>
    <row r="406" ht="15.75" customHeight="1" s="18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</row>
    <row r="407" ht="15.75" customHeight="1" s="18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</row>
    <row r="408" ht="15.75" customHeight="1" s="1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</row>
    <row r="409" ht="15.75" customHeight="1" s="18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</row>
    <row r="410" ht="15.75" customHeight="1" s="18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</row>
    <row r="411" ht="15.75" customHeight="1" s="18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</row>
    <row r="412" ht="15.75" customHeight="1" s="18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</row>
    <row r="413" ht="15.75" customHeight="1" s="18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</row>
    <row r="414" ht="15.75" customHeight="1" s="18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</row>
    <row r="415" ht="15.75" customHeight="1" s="18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</row>
    <row r="416" ht="15.75" customHeight="1" s="18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</row>
    <row r="417" ht="15.75" customHeight="1" s="18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</row>
    <row r="418" ht="15.75" customHeight="1" s="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</row>
    <row r="419" ht="15.75" customHeight="1" s="18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</row>
    <row r="420" ht="15.75" customHeight="1" s="18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</row>
    <row r="421" ht="15.75" customHeight="1" s="18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</row>
    <row r="422" ht="15.75" customHeight="1" s="18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</row>
    <row r="423" ht="15.75" customHeight="1" s="18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</row>
    <row r="424" ht="15.75" customHeight="1" s="18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</row>
    <row r="425" ht="15.75" customHeight="1" s="18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</row>
    <row r="426" ht="15.75" customHeight="1" s="18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</row>
    <row r="427" ht="15.75" customHeight="1" s="18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</row>
    <row r="428" ht="15.75" customHeight="1" s="1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</row>
    <row r="429" ht="15.75" customHeight="1" s="18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</row>
    <row r="430" ht="15.75" customHeight="1" s="18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</row>
    <row r="431" ht="15.75" customHeight="1" s="18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</row>
    <row r="432" ht="15.75" customHeight="1" s="18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</row>
    <row r="433" ht="15.75" customHeight="1" s="18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</row>
    <row r="434" ht="15.75" customHeight="1" s="18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</row>
    <row r="435" ht="15.75" customHeight="1" s="18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</row>
    <row r="436" ht="15.75" customHeight="1" s="18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</row>
    <row r="437" ht="15.75" customHeight="1" s="18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</row>
    <row r="438" ht="15.75" customHeight="1" s="1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</row>
    <row r="439" ht="15.75" customHeight="1" s="18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</row>
    <row r="440" ht="15.75" customHeight="1" s="18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</row>
    <row r="441" ht="15.75" customHeight="1" s="18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</row>
    <row r="442" ht="15.75" customHeight="1" s="18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</row>
    <row r="443" ht="15.75" customHeight="1" s="18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</row>
    <row r="444" ht="15.75" customHeight="1" s="18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</row>
    <row r="445" ht="15.75" customHeight="1" s="18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</row>
    <row r="446" ht="15.75" customHeight="1" s="18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</row>
    <row r="447" ht="15.75" customHeight="1" s="18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</row>
    <row r="448" ht="15.75" customHeight="1" s="1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</row>
    <row r="449" ht="15.75" customHeight="1" s="18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</row>
    <row r="450" ht="15.75" customHeight="1" s="18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</row>
    <row r="451" ht="15.75" customHeight="1" s="18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</row>
    <row r="452" ht="15.75" customHeight="1" s="18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</row>
    <row r="453" ht="15.75" customHeight="1" s="18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</row>
    <row r="454" ht="15.75" customHeight="1" s="18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</row>
    <row r="455" ht="15.75" customHeight="1" s="18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</row>
    <row r="456" ht="15.75" customHeight="1" s="18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</row>
    <row r="457" ht="15.75" customHeight="1" s="18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</row>
    <row r="458" ht="15.75" customHeight="1" s="1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</row>
    <row r="459" ht="15.75" customHeight="1" s="18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</row>
    <row r="460" ht="15.75" customHeight="1" s="18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</row>
    <row r="461" ht="15.75" customHeight="1" s="18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</row>
    <row r="462" ht="15.75" customHeight="1" s="18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</row>
    <row r="463" ht="15.75" customHeight="1" s="18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</row>
    <row r="464" ht="15.75" customHeight="1" s="18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</row>
    <row r="465" ht="15.75" customHeight="1" s="18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</row>
    <row r="466" ht="15.75" customHeight="1" s="18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</row>
    <row r="467" ht="15.75" customHeight="1" s="18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</row>
    <row r="468" ht="15.75" customHeight="1" s="1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</row>
    <row r="469" ht="15.75" customHeight="1" s="18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</row>
    <row r="470" ht="15.75" customHeight="1" s="18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</row>
    <row r="471" ht="15.75" customHeight="1" s="18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</row>
    <row r="472" ht="15.75" customHeight="1" s="18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</row>
    <row r="473" ht="15.75" customHeight="1" s="18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</row>
    <row r="474" ht="15.75" customHeight="1" s="18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</row>
    <row r="475" ht="15.75" customHeight="1" s="18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</row>
    <row r="476" ht="15.75" customHeight="1" s="18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</row>
    <row r="477" ht="15.75" customHeight="1" s="18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</row>
    <row r="478" ht="15.75" customHeight="1" s="1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</row>
    <row r="479" ht="15.75" customHeight="1" s="18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</row>
    <row r="480" ht="15.75" customHeight="1" s="18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</row>
    <row r="481" ht="15.75" customHeight="1" s="18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</row>
    <row r="482" ht="15.75" customHeight="1" s="18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</row>
    <row r="483" ht="15.75" customHeight="1" s="18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</row>
    <row r="484" ht="15.75" customHeight="1" s="18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</row>
    <row r="485" ht="15.75" customHeight="1" s="18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</row>
    <row r="486" ht="15.75" customHeight="1" s="18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</row>
    <row r="487" ht="15.75" customHeight="1" s="18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</row>
    <row r="488" ht="15.75" customHeight="1" s="1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</row>
    <row r="489" ht="15.75" customHeight="1" s="18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</row>
    <row r="490" ht="15.75" customHeight="1" s="18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</row>
    <row r="491" ht="15.75" customHeight="1" s="18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</row>
    <row r="492" ht="15.75" customHeight="1" s="18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</row>
    <row r="493" ht="15.75" customHeight="1" s="18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</row>
    <row r="494" ht="15.75" customHeight="1" s="18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</row>
    <row r="495" ht="15.75" customHeight="1" s="18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</row>
    <row r="496" ht="15.75" customHeight="1" s="18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</row>
    <row r="497" ht="15.75" customHeight="1" s="18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</row>
    <row r="498" ht="15.75" customHeight="1" s="1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</row>
    <row r="499" ht="15.75" customHeight="1" s="18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</row>
    <row r="500" ht="15.75" customHeight="1" s="18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</row>
    <row r="501" ht="15.75" customHeight="1" s="18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</row>
    <row r="502" ht="15.75" customHeight="1" s="18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</row>
    <row r="503" ht="15.75" customHeight="1" s="18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</row>
    <row r="504" ht="15.75" customHeight="1" s="18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</row>
    <row r="505" ht="15.75" customHeight="1" s="18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</row>
    <row r="506" ht="15.75" customHeight="1" s="18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</row>
    <row r="507" ht="15.75" customHeight="1" s="18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</row>
    <row r="508" ht="15.75" customHeight="1" s="1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</row>
    <row r="509" ht="15.75" customHeight="1" s="18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</row>
    <row r="510" ht="15.75" customHeight="1" s="18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</row>
    <row r="511" ht="15.75" customHeight="1" s="18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</row>
    <row r="512" ht="15.75" customHeight="1" s="18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</row>
    <row r="513" ht="15.75" customHeight="1" s="18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</row>
    <row r="514" ht="15.75" customHeight="1" s="18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</row>
    <row r="515" ht="15.75" customHeight="1" s="18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</row>
    <row r="516" ht="15.75" customHeight="1" s="18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</row>
    <row r="517" ht="15.75" customHeight="1" s="18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</row>
    <row r="518" ht="15.75" customHeight="1" s="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</row>
    <row r="519" ht="15.75" customHeight="1" s="18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</row>
    <row r="520" ht="15.75" customHeight="1" s="18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</row>
    <row r="521" ht="15.75" customHeight="1" s="18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</row>
    <row r="522" ht="15.75" customHeight="1" s="18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</row>
    <row r="523" ht="15.75" customHeight="1" s="18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</row>
    <row r="524" ht="15.75" customHeight="1" s="18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</row>
    <row r="525" ht="15.75" customHeight="1" s="18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</row>
    <row r="526" ht="15.75" customHeight="1" s="18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</row>
    <row r="527" ht="15.75" customHeight="1" s="18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</row>
    <row r="528" ht="15.75" customHeight="1" s="1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</row>
    <row r="529" ht="15.75" customHeight="1" s="18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</row>
    <row r="530" ht="15.75" customHeight="1" s="18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</row>
    <row r="531" ht="15.75" customHeight="1" s="18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</row>
    <row r="532" ht="15.75" customHeight="1" s="18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</row>
    <row r="533" ht="15.75" customHeight="1" s="18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</row>
    <row r="534" ht="15.75" customHeight="1" s="18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</row>
    <row r="535" ht="15.75" customHeight="1" s="18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</row>
    <row r="536" ht="15.75" customHeight="1" s="18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</row>
    <row r="537" ht="15.75" customHeight="1" s="18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</row>
    <row r="538" ht="15.75" customHeight="1" s="1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</row>
    <row r="539" ht="15.75" customHeight="1" s="18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</row>
    <row r="540" ht="15.75" customHeight="1" s="18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</row>
    <row r="541" ht="15.75" customHeight="1" s="18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</row>
    <row r="542" ht="15.75" customHeight="1" s="18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</row>
    <row r="543" ht="15.75" customHeight="1" s="18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</row>
    <row r="544" ht="15.75" customHeight="1" s="18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</row>
    <row r="545" ht="15.75" customHeight="1" s="18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</row>
    <row r="546" ht="15.75" customHeight="1" s="18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</row>
    <row r="547" ht="15.75" customHeight="1" s="18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</row>
    <row r="548" ht="15.75" customHeight="1" s="1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</row>
    <row r="549" ht="15.75" customHeight="1" s="18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</row>
    <row r="550" ht="15.75" customHeight="1" s="18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</row>
    <row r="551" ht="15.75" customHeight="1" s="18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</row>
    <row r="552" ht="15.75" customHeight="1" s="18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</row>
    <row r="553" ht="15.75" customHeight="1" s="18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</row>
    <row r="554" ht="15.75" customHeight="1" s="18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</row>
    <row r="555" ht="15.75" customHeight="1" s="18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</row>
    <row r="556" ht="15.75" customHeight="1" s="18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</row>
    <row r="557" ht="15.75" customHeight="1" s="18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</row>
    <row r="558" ht="15.75" customHeight="1" s="1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</row>
    <row r="559" ht="15.75" customHeight="1" s="18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</row>
    <row r="560" ht="15.75" customHeight="1" s="18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</row>
    <row r="561" ht="15.75" customHeight="1" s="18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</row>
    <row r="562" ht="15.75" customHeight="1" s="18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</row>
    <row r="563" ht="15.75" customHeight="1" s="18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</row>
    <row r="564" ht="15.75" customHeight="1" s="18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</row>
    <row r="565" ht="15.75" customHeight="1" s="18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</row>
    <row r="566" ht="15.75" customHeight="1" s="18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</row>
    <row r="567" ht="15.75" customHeight="1" s="18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</row>
    <row r="568" ht="15.75" customHeight="1" s="1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</row>
    <row r="569" ht="15.75" customHeight="1" s="18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</row>
    <row r="570" ht="15.75" customHeight="1" s="18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</row>
    <row r="571" ht="15.75" customHeight="1" s="18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</row>
    <row r="572" ht="15.75" customHeight="1" s="18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</row>
    <row r="573" ht="15.75" customHeight="1" s="18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</row>
    <row r="574" ht="15.75" customHeight="1" s="18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</row>
    <row r="575" ht="15.75" customHeight="1" s="18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</row>
    <row r="576" ht="15.75" customHeight="1" s="18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</row>
    <row r="577" ht="15.75" customHeight="1" s="18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</row>
    <row r="578" ht="15.75" customHeight="1" s="1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</row>
    <row r="579" ht="15.75" customHeight="1" s="18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</row>
    <row r="580" ht="15.75" customHeight="1" s="18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</row>
    <row r="581" ht="15.75" customHeight="1" s="18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</row>
    <row r="582" ht="15.75" customHeight="1" s="18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</row>
    <row r="583" ht="15.75" customHeight="1" s="18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</row>
    <row r="584" ht="15.75" customHeight="1" s="18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</row>
    <row r="585" ht="15.75" customHeight="1" s="18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</row>
    <row r="586" ht="15.75" customHeight="1" s="18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</row>
    <row r="587" ht="15.75" customHeight="1" s="18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</row>
    <row r="588" ht="15.75" customHeight="1" s="1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</row>
    <row r="589" ht="15.75" customHeight="1" s="18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</row>
    <row r="590" ht="15.75" customHeight="1" s="18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</row>
    <row r="591" ht="15.75" customHeight="1" s="18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</row>
    <row r="592" ht="15.75" customHeight="1" s="18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</row>
    <row r="593" ht="15.75" customHeight="1" s="18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</row>
    <row r="594" ht="15.75" customHeight="1" s="18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</row>
    <row r="595" ht="15.75" customHeight="1" s="18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</row>
    <row r="596" ht="15.75" customHeight="1" s="18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</row>
    <row r="597" ht="15.75" customHeight="1" s="18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</row>
    <row r="598" ht="15.75" customHeight="1" s="1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</row>
    <row r="599" ht="15.75" customHeight="1" s="18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</row>
    <row r="600" ht="15.75" customHeight="1" s="18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</row>
    <row r="601" ht="15.75" customHeight="1" s="18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</row>
    <row r="602" ht="15.75" customHeight="1" s="18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</row>
    <row r="603" ht="15.75" customHeight="1" s="18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</row>
    <row r="604" ht="15.75" customHeight="1" s="18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</row>
    <row r="605" ht="15.75" customHeight="1" s="18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</row>
    <row r="606" ht="15.75" customHeight="1" s="18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</row>
    <row r="607" ht="15.75" customHeight="1" s="18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</row>
    <row r="608" ht="15.75" customHeight="1" s="1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</row>
    <row r="609" ht="15.75" customHeight="1" s="18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</row>
    <row r="610" ht="15.75" customHeight="1" s="18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</row>
    <row r="611" ht="15.75" customHeight="1" s="18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</row>
    <row r="612" ht="15.75" customHeight="1" s="18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</row>
    <row r="613" ht="15.75" customHeight="1" s="18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</row>
    <row r="614" ht="15.75" customHeight="1" s="18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</row>
    <row r="615" ht="15.75" customHeight="1" s="18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</row>
    <row r="616" ht="15.75" customHeight="1" s="18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</row>
    <row r="617" ht="15.75" customHeight="1" s="18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</row>
    <row r="618" ht="15.75" customHeight="1" s="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</row>
    <row r="619" ht="15.75" customHeight="1" s="18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</row>
    <row r="620" ht="15.75" customHeight="1" s="18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</row>
    <row r="621" ht="15.75" customHeight="1" s="18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</row>
    <row r="622" ht="15.75" customHeight="1" s="18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</row>
    <row r="623" ht="15.75" customHeight="1" s="18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</row>
    <row r="624" ht="15.75" customHeight="1" s="18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</row>
    <row r="625" ht="15.75" customHeight="1" s="18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</row>
    <row r="626" ht="15.75" customHeight="1" s="18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</row>
    <row r="627" ht="15.75" customHeight="1" s="18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</row>
    <row r="628" ht="15.75" customHeight="1" s="1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</row>
    <row r="629" ht="15.75" customHeight="1" s="18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</row>
    <row r="630" ht="15.75" customHeight="1" s="18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</row>
    <row r="631" ht="15.75" customHeight="1" s="18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</row>
    <row r="632" ht="15.75" customHeight="1" s="18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</row>
    <row r="633" ht="15.75" customHeight="1" s="18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</row>
    <row r="634" ht="15.75" customHeight="1" s="18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</row>
    <row r="635" ht="15.75" customHeight="1" s="18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</row>
    <row r="636" ht="15.75" customHeight="1" s="18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</row>
    <row r="637" ht="15.75" customHeight="1" s="18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</row>
    <row r="638" ht="15.75" customHeight="1" s="1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</row>
    <row r="639" ht="15.75" customHeight="1" s="18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</row>
    <row r="640" ht="15.75" customHeight="1" s="18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</row>
    <row r="641" ht="15.75" customHeight="1" s="18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</row>
    <row r="642" ht="15.75" customHeight="1" s="18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</row>
    <row r="643" ht="15.75" customHeight="1" s="18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</row>
    <row r="644" ht="15.75" customHeight="1" s="18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</row>
    <row r="645" ht="15.75" customHeight="1" s="18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</row>
    <row r="646" ht="15.75" customHeight="1" s="18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</row>
    <row r="647" ht="15.75" customHeight="1" s="18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</row>
    <row r="648" ht="15.75" customHeight="1" s="1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</row>
    <row r="649" ht="15.75" customHeight="1" s="18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</row>
    <row r="650" ht="15.75" customHeight="1" s="18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</row>
    <row r="651" ht="15.75" customHeight="1" s="18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</row>
    <row r="652" ht="15.75" customHeight="1" s="18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</row>
    <row r="653" ht="15.75" customHeight="1" s="18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</row>
    <row r="654" ht="15.75" customHeight="1" s="18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</row>
    <row r="655" ht="15.75" customHeight="1" s="18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</row>
    <row r="656" ht="15.75" customHeight="1" s="18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</row>
    <row r="657" ht="15.75" customHeight="1" s="18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</row>
    <row r="658" ht="15.75" customHeight="1" s="1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</row>
    <row r="659" ht="15.75" customHeight="1" s="18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</row>
    <row r="660" ht="15.75" customHeight="1" s="18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</row>
    <row r="661" ht="15.75" customHeight="1" s="18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</row>
    <row r="662" ht="15.75" customHeight="1" s="18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</row>
    <row r="663" ht="15.75" customHeight="1" s="18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</row>
    <row r="664" ht="15.75" customHeight="1" s="18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</row>
    <row r="665" ht="15.75" customHeight="1" s="18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</row>
    <row r="666" ht="15.75" customHeight="1" s="18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</row>
    <row r="667" ht="15.75" customHeight="1" s="18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</row>
    <row r="668" ht="15.75" customHeight="1" s="1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</row>
    <row r="669" ht="15.75" customHeight="1" s="18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</row>
    <row r="670" ht="15.75" customHeight="1" s="18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</row>
    <row r="671" ht="15.75" customHeight="1" s="18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</row>
    <row r="672" ht="15.75" customHeight="1" s="18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</row>
    <row r="673" ht="15.75" customHeight="1" s="18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</row>
    <row r="674" ht="15.75" customHeight="1" s="18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</row>
    <row r="675" ht="15.75" customHeight="1" s="18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</row>
    <row r="676" ht="15.75" customHeight="1" s="18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</row>
    <row r="677" ht="15.75" customHeight="1" s="18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</row>
    <row r="678" ht="15.75" customHeight="1" s="1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</row>
    <row r="679" ht="15.75" customHeight="1" s="18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</row>
    <row r="680" ht="15.75" customHeight="1" s="18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</row>
    <row r="681" ht="15.75" customHeight="1" s="18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</row>
    <row r="682" ht="15.75" customHeight="1" s="18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</row>
    <row r="683" ht="15.75" customHeight="1" s="18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</row>
    <row r="684" ht="15.75" customHeight="1" s="18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</row>
    <row r="685" ht="15.75" customHeight="1" s="18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</row>
    <row r="686" ht="15.75" customHeight="1" s="18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</row>
    <row r="687" ht="15.75" customHeight="1" s="18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</row>
    <row r="688" ht="15.75" customHeight="1" s="1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</row>
    <row r="689" ht="15.75" customHeight="1" s="18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</row>
    <row r="690" ht="15.75" customHeight="1" s="18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</row>
    <row r="691" ht="15.75" customHeight="1" s="18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</row>
    <row r="692" ht="15.75" customHeight="1" s="18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</row>
    <row r="693" ht="15.75" customHeight="1" s="18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</row>
    <row r="694" ht="15.75" customHeight="1" s="18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</row>
    <row r="695" ht="15.75" customHeight="1" s="18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</row>
    <row r="696" ht="15.75" customHeight="1" s="18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</row>
    <row r="697" ht="15.75" customHeight="1" s="18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</row>
    <row r="698" ht="15.75" customHeight="1" s="1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</row>
    <row r="699" ht="15.75" customHeight="1" s="18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</row>
    <row r="700" ht="15.75" customHeight="1" s="18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</row>
    <row r="701" ht="15.75" customHeight="1" s="18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</row>
    <row r="702" ht="15.75" customHeight="1" s="18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</row>
    <row r="703" ht="15.75" customHeight="1" s="18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</row>
    <row r="704" ht="15.75" customHeight="1" s="18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</row>
    <row r="705" ht="15.75" customHeight="1" s="18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</row>
    <row r="706" ht="15.75" customHeight="1" s="18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</row>
    <row r="707" ht="15.75" customHeight="1" s="18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</row>
    <row r="708" ht="15.75" customHeight="1" s="1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</row>
    <row r="709" ht="15.75" customHeight="1" s="18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</row>
    <row r="710" ht="15.75" customHeight="1" s="18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</row>
    <row r="711" ht="15.75" customHeight="1" s="18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</row>
    <row r="712" ht="15.75" customHeight="1" s="18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</row>
    <row r="713" ht="15.75" customHeight="1" s="18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</row>
    <row r="714" ht="15.75" customHeight="1" s="18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</row>
    <row r="715" ht="15.75" customHeight="1" s="18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</row>
    <row r="716" ht="15.75" customHeight="1" s="18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</row>
    <row r="717" ht="15.75" customHeight="1" s="18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</row>
    <row r="718" ht="15.75" customHeight="1" s="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</row>
    <row r="719" ht="15.75" customHeight="1" s="18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</row>
    <row r="720" ht="15.75" customHeight="1" s="18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</row>
    <row r="721" ht="15.75" customHeight="1" s="18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</row>
    <row r="722" ht="15.75" customHeight="1" s="18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</row>
    <row r="723" ht="15.75" customHeight="1" s="18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</row>
    <row r="724" ht="15.75" customHeight="1" s="18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</row>
    <row r="725" ht="15.75" customHeight="1" s="18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</row>
    <row r="726" ht="15.75" customHeight="1" s="18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</row>
    <row r="727" ht="15.75" customHeight="1" s="18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</row>
    <row r="728" ht="15.75" customHeight="1" s="1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</row>
    <row r="729" ht="15.75" customHeight="1" s="18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</row>
    <row r="730" ht="15.75" customHeight="1" s="18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</row>
    <row r="731" ht="15.75" customHeight="1" s="18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</row>
    <row r="732" ht="15.75" customHeight="1" s="18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</row>
    <row r="733" ht="15.75" customHeight="1" s="18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</row>
    <row r="734" ht="15.75" customHeight="1" s="18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</row>
    <row r="735" ht="15.75" customHeight="1" s="18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</row>
    <row r="736" ht="15.75" customHeight="1" s="18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</row>
    <row r="737" ht="15.75" customHeight="1" s="18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</row>
    <row r="738" ht="15.75" customHeight="1" s="1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</row>
    <row r="739" ht="15.75" customHeight="1" s="18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</row>
    <row r="740" ht="15.75" customHeight="1" s="18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</row>
    <row r="741" ht="15.75" customHeight="1" s="18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</row>
    <row r="742" ht="15.75" customHeight="1" s="18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</row>
    <row r="743" ht="15.75" customHeight="1" s="18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</row>
    <row r="744" ht="15.75" customHeight="1" s="18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</row>
    <row r="745" ht="15.75" customHeight="1" s="18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</row>
    <row r="746" ht="15.75" customHeight="1" s="18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</row>
    <row r="747" ht="15.75" customHeight="1" s="18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</row>
    <row r="748" ht="15.75" customHeight="1" s="1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</row>
    <row r="749" ht="15.75" customHeight="1" s="18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</row>
    <row r="750" ht="15.75" customHeight="1" s="18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</row>
    <row r="751" ht="15.75" customHeight="1" s="18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</row>
    <row r="752" ht="15.75" customHeight="1" s="18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</row>
    <row r="753" ht="15.75" customHeight="1" s="18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</row>
    <row r="754" ht="15.75" customHeight="1" s="18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</row>
    <row r="755" ht="15.75" customHeight="1" s="18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</row>
    <row r="756" ht="15.75" customHeight="1" s="18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</row>
    <row r="757" ht="15.75" customHeight="1" s="18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</row>
    <row r="758" ht="15.75" customHeight="1" s="1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</row>
    <row r="759" ht="15.75" customHeight="1" s="18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</row>
    <row r="760" ht="15.75" customHeight="1" s="18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</row>
    <row r="761" ht="15.75" customHeight="1" s="18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</row>
    <row r="762" ht="15.75" customHeight="1" s="18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</row>
    <row r="763" ht="15.75" customHeight="1" s="18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</row>
    <row r="764" ht="15.75" customHeight="1" s="18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</row>
    <row r="765" ht="15.75" customHeight="1" s="18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</row>
    <row r="766" ht="15.75" customHeight="1" s="18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</row>
    <row r="767" ht="15.75" customHeight="1" s="18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</row>
    <row r="768" ht="15.75" customHeight="1" s="1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</row>
    <row r="769" ht="15.75" customHeight="1" s="18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</row>
    <row r="770" ht="15.75" customHeight="1" s="18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</row>
    <row r="771" ht="15.75" customHeight="1" s="18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</row>
    <row r="772" ht="15.75" customHeight="1" s="18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</row>
    <row r="773" ht="15.75" customHeight="1" s="18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</row>
    <row r="774" ht="15.75" customHeight="1" s="18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</row>
    <row r="775" ht="15.75" customHeight="1" s="18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</row>
    <row r="776" ht="15.75" customHeight="1" s="18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</row>
    <row r="777" ht="15.75" customHeight="1" s="18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</row>
    <row r="778" ht="15.75" customHeight="1" s="1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</row>
    <row r="779" ht="15.75" customHeight="1" s="18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</row>
    <row r="780" ht="15.75" customHeight="1" s="18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</row>
    <row r="781" ht="15.75" customHeight="1" s="18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</row>
    <row r="782" ht="15.75" customHeight="1" s="18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</row>
    <row r="783" ht="15.75" customHeight="1" s="18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</row>
    <row r="784" ht="15.75" customHeight="1" s="18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</row>
    <row r="785" ht="15.75" customHeight="1" s="18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</row>
    <row r="786" ht="15.75" customHeight="1" s="18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</row>
    <row r="787" ht="15.75" customHeight="1" s="18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</row>
    <row r="788" ht="15.75" customHeight="1" s="1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</row>
    <row r="789" ht="15.75" customHeight="1" s="18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</row>
    <row r="790" ht="15.75" customHeight="1" s="18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</row>
    <row r="791" ht="15.75" customHeight="1" s="18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</row>
    <row r="792" ht="15.75" customHeight="1" s="18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</row>
    <row r="793" ht="15.75" customHeight="1" s="18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</row>
    <row r="794" ht="15.75" customHeight="1" s="18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</row>
    <row r="795" ht="15.75" customHeight="1" s="18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</row>
    <row r="796" ht="15.75" customHeight="1" s="18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</row>
    <row r="797" ht="15.75" customHeight="1" s="18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</row>
    <row r="798" ht="15.75" customHeight="1" s="1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</row>
    <row r="799" ht="15.75" customHeight="1" s="18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</row>
    <row r="800" ht="15.75" customHeight="1" s="18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</row>
    <row r="801" ht="15.75" customHeight="1" s="18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</row>
    <row r="802" ht="15.75" customHeight="1" s="18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</row>
    <row r="803" ht="15.75" customHeight="1" s="18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</row>
    <row r="804" ht="15.75" customHeight="1" s="18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</row>
    <row r="805" ht="15.75" customHeight="1" s="18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</row>
    <row r="806" ht="15.75" customHeight="1" s="18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</row>
    <row r="807" ht="15.75" customHeight="1" s="18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</row>
    <row r="808" ht="15.75" customHeight="1" s="1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</row>
    <row r="809" ht="15.75" customHeight="1" s="18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</row>
    <row r="810" ht="15.75" customHeight="1" s="18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</row>
    <row r="811" ht="15.75" customHeight="1" s="18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</row>
    <row r="812" ht="15.75" customHeight="1" s="18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</row>
    <row r="813" ht="15.75" customHeight="1" s="18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</row>
    <row r="814" ht="15.75" customHeight="1" s="18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</row>
    <row r="815" ht="15.75" customHeight="1" s="18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</row>
    <row r="816" ht="15.75" customHeight="1" s="18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</row>
    <row r="817" ht="15.75" customHeight="1" s="18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</row>
    <row r="818" ht="15.75" customHeight="1" s="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</row>
    <row r="819" ht="15.75" customHeight="1" s="18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</row>
    <row r="820" ht="15.75" customHeight="1" s="18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</row>
    <row r="821" ht="15.75" customHeight="1" s="18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</row>
    <row r="822" ht="15.75" customHeight="1" s="18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</row>
    <row r="823" ht="15.75" customHeight="1" s="18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</row>
    <row r="824" ht="15.75" customHeight="1" s="18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</row>
    <row r="825" ht="15.75" customHeight="1" s="18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</row>
    <row r="826" ht="15.75" customHeight="1" s="18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</row>
    <row r="827" ht="15.75" customHeight="1" s="18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</row>
    <row r="828" ht="15.75" customHeight="1" s="1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</row>
    <row r="829" ht="15.75" customHeight="1" s="18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</row>
    <row r="830" ht="15.75" customHeight="1" s="18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</row>
    <row r="831" ht="15.75" customHeight="1" s="18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</row>
    <row r="832" ht="15.75" customHeight="1" s="18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</row>
    <row r="833" ht="15.75" customHeight="1" s="18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</row>
    <row r="834" ht="15.75" customHeight="1" s="18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</row>
    <row r="835" ht="15.75" customHeight="1" s="18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</row>
    <row r="836" ht="15.75" customHeight="1" s="18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</row>
    <row r="837" ht="15.75" customHeight="1" s="18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</row>
    <row r="838" ht="15.75" customHeight="1" s="1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</row>
    <row r="839" ht="15.75" customHeight="1" s="18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</row>
    <row r="840" ht="15.75" customHeight="1" s="18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</row>
    <row r="841" ht="15.75" customHeight="1" s="18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</row>
    <row r="842" ht="15.75" customHeight="1" s="18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</row>
    <row r="843" ht="15.75" customHeight="1" s="18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</row>
    <row r="844" ht="15.75" customHeight="1" s="18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</row>
    <row r="845" ht="15.75" customHeight="1" s="18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</row>
    <row r="846" ht="15.75" customHeight="1" s="18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</row>
    <row r="847" ht="15.75" customHeight="1" s="18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</row>
    <row r="848" ht="15.75" customHeight="1" s="1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</row>
    <row r="849" ht="15.75" customHeight="1" s="18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</row>
    <row r="850" ht="15.75" customHeight="1" s="18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</row>
    <row r="851" ht="15.75" customHeight="1" s="18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</row>
    <row r="852" ht="15.75" customHeight="1" s="18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</row>
    <row r="853" ht="15.75" customHeight="1" s="18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</row>
    <row r="854" ht="15.75" customHeight="1" s="18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</row>
    <row r="855" ht="15.75" customHeight="1" s="18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</row>
    <row r="856" ht="15.75" customHeight="1" s="18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</row>
    <row r="857" ht="15.75" customHeight="1" s="18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</row>
    <row r="858" ht="15.75" customHeight="1" s="1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</row>
    <row r="859" ht="15.75" customHeight="1" s="18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</row>
    <row r="860" ht="15.75" customHeight="1" s="18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</row>
    <row r="861" ht="15.75" customHeight="1" s="18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</row>
    <row r="862" ht="15.75" customHeight="1" s="18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</row>
    <row r="863" ht="15.75" customHeight="1" s="18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</row>
    <row r="864" ht="15.75" customHeight="1" s="18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</row>
    <row r="865" ht="15.75" customHeight="1" s="18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</row>
    <row r="866" ht="15.75" customHeight="1" s="18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</row>
    <row r="867" ht="15.75" customHeight="1" s="18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</row>
    <row r="868" ht="15.75" customHeight="1" s="1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</row>
    <row r="869" ht="15.75" customHeight="1" s="18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</row>
    <row r="870" ht="15.75" customHeight="1" s="18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</row>
    <row r="871" ht="15.75" customHeight="1" s="18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</row>
    <row r="872" ht="15.75" customHeight="1" s="18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</row>
    <row r="873" ht="15.75" customHeight="1" s="18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</row>
    <row r="874" ht="15.75" customHeight="1" s="18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</row>
    <row r="875" ht="15.75" customHeight="1" s="18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</row>
    <row r="876" ht="15.75" customHeight="1" s="18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</row>
    <row r="877" ht="15.75" customHeight="1" s="18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</row>
    <row r="878" ht="15.75" customHeight="1" s="1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</row>
    <row r="879" ht="15.75" customHeight="1" s="18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</row>
    <row r="880" ht="15.75" customHeight="1" s="18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</row>
    <row r="881" ht="15.75" customHeight="1" s="18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</row>
    <row r="882" ht="15.75" customHeight="1" s="18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</row>
    <row r="883" ht="15.75" customHeight="1" s="18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</row>
    <row r="884" ht="15.75" customHeight="1" s="18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</row>
    <row r="885" ht="15.75" customHeight="1" s="18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</row>
    <row r="886" ht="15.75" customHeight="1" s="18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</row>
    <row r="887" ht="15.75" customHeight="1" s="18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</row>
    <row r="888" ht="15.75" customHeight="1" s="1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</row>
    <row r="889" ht="15.75" customHeight="1" s="18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</row>
    <row r="890" ht="15.75" customHeight="1" s="18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</row>
    <row r="891" ht="15.75" customHeight="1" s="18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</row>
    <row r="892" ht="15.75" customHeight="1" s="18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</row>
    <row r="893" ht="15.75" customHeight="1" s="18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</row>
    <row r="894" ht="15.75" customHeight="1" s="18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</row>
    <row r="895" ht="15.75" customHeight="1" s="18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</row>
    <row r="896" ht="15.75" customHeight="1" s="18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</row>
    <row r="897" ht="15.75" customHeight="1" s="18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</row>
    <row r="898" ht="15.75" customHeight="1" s="1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</row>
    <row r="899" ht="15.75" customHeight="1" s="18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</row>
    <row r="900" ht="15.75" customHeight="1" s="18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</row>
    <row r="901" ht="15.75" customHeight="1" s="18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</row>
    <row r="902" ht="15.75" customHeight="1" s="18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</row>
    <row r="903" ht="15.75" customHeight="1" s="18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</row>
    <row r="904" ht="15.75" customHeight="1" s="18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</row>
    <row r="905" ht="15.75" customHeight="1" s="18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</row>
    <row r="906" ht="15.75" customHeight="1" s="18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</row>
    <row r="907" ht="15.75" customHeight="1" s="18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</row>
    <row r="908" ht="15.75" customHeight="1" s="1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</row>
    <row r="909" ht="15.75" customHeight="1" s="18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</row>
    <row r="910" ht="15.75" customHeight="1" s="18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</row>
    <row r="911" ht="15.75" customHeight="1" s="18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</row>
    <row r="912" ht="15.75" customHeight="1" s="18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</row>
    <row r="913" ht="15.75" customHeight="1" s="18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</row>
    <row r="914" ht="15.75" customHeight="1" s="18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</row>
    <row r="915" ht="15.75" customHeight="1" s="18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</row>
    <row r="916" ht="15.75" customHeight="1" s="18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</row>
    <row r="917" ht="15.75" customHeight="1" s="18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</row>
    <row r="918" ht="15.75" customHeight="1" s="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</row>
    <row r="919" ht="15.75" customHeight="1" s="18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</row>
    <row r="920" ht="15.75" customHeight="1" s="18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</row>
    <row r="921" ht="15.75" customHeight="1" s="18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</row>
    <row r="922" ht="15.75" customHeight="1" s="18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</row>
    <row r="923" ht="15.75" customHeight="1" s="18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</row>
    <row r="924" ht="15.75" customHeight="1" s="18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</row>
    <row r="925" ht="15.75" customHeight="1" s="18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</row>
    <row r="926" ht="15.75" customHeight="1" s="18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</row>
    <row r="927" ht="15.75" customHeight="1" s="18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</row>
    <row r="928" ht="15.75" customHeight="1" s="1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</row>
    <row r="929" ht="15.75" customHeight="1" s="18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</row>
    <row r="930" ht="15.75" customHeight="1" s="18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</row>
    <row r="931" ht="15.75" customHeight="1" s="18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</row>
    <row r="932" ht="15.75" customHeight="1" s="18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</row>
    <row r="933" ht="15.75" customHeight="1" s="18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</row>
    <row r="934" ht="15.75" customHeight="1" s="18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</row>
    <row r="935" ht="15.75" customHeight="1" s="18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</row>
    <row r="936" ht="15.75" customHeight="1" s="18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</row>
    <row r="937" ht="15.75" customHeight="1" s="18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</row>
    <row r="938" ht="15.75" customHeight="1" s="1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</row>
    <row r="939" ht="15.75" customHeight="1" s="18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</row>
    <row r="940" ht="15.75" customHeight="1" s="18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</row>
    <row r="941" ht="15.75" customHeight="1" s="18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</row>
    <row r="942" ht="15.75" customHeight="1" s="18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</row>
    <row r="943" ht="15.75" customHeight="1" s="18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</row>
    <row r="944" ht="15.75" customHeight="1" s="18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</row>
    <row r="945" ht="15.75" customHeight="1" s="18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</row>
    <row r="946" ht="15.75" customHeight="1" s="18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</row>
    <row r="947" ht="15.75" customHeight="1" s="18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</row>
    <row r="948" ht="15.75" customHeight="1" s="1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</row>
    <row r="949" ht="15.75" customHeight="1" s="18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</row>
    <row r="950" ht="15.75" customHeight="1" s="18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</row>
    <row r="951" ht="15.75" customHeight="1" s="18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</row>
    <row r="952" ht="15.75" customHeight="1" s="18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</row>
    <row r="953" ht="15.75" customHeight="1" s="18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</row>
    <row r="954" ht="15.75" customHeight="1" s="18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</row>
    <row r="955" ht="15.75" customHeight="1" s="18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</row>
    <row r="956" ht="15.75" customHeight="1" s="18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</row>
    <row r="957" ht="15.75" customHeight="1" s="18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</row>
    <row r="958" ht="15.75" customHeight="1" s="1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</row>
    <row r="959" ht="15.75" customHeight="1" s="18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</row>
    <row r="960" ht="15.75" customHeight="1" s="18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</row>
    <row r="961" ht="15.75" customHeight="1" s="18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</row>
    <row r="962" ht="15.75" customHeight="1" s="18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</row>
    <row r="963" ht="15.75" customHeight="1" s="18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</row>
    <row r="964" ht="15.75" customHeight="1" s="18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</row>
    <row r="965" ht="15.75" customHeight="1" s="18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</row>
    <row r="966" ht="15.75" customHeight="1" s="18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</row>
    <row r="967" ht="15.75" customHeight="1" s="18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</row>
    <row r="968" ht="15.75" customHeight="1" s="1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</row>
    <row r="969" ht="15.75" customHeight="1" s="18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</row>
    <row r="970" ht="15.75" customHeight="1" s="18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</row>
    <row r="971" ht="15.75" customHeight="1" s="18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</row>
    <row r="972" ht="15.75" customHeight="1" s="18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</row>
    <row r="973" ht="15.75" customHeight="1" s="18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</row>
    <row r="974" ht="15.75" customHeight="1" s="18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</row>
    <row r="975" ht="15.75" customHeight="1" s="18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</row>
    <row r="976" ht="15.75" customHeight="1" s="18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</row>
    <row r="977" ht="15.75" customHeight="1" s="18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</row>
    <row r="978" ht="15.75" customHeight="1" s="1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</row>
    <row r="979" ht="15.75" customHeight="1" s="18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</row>
    <row r="980" ht="15.75" customHeight="1" s="18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</row>
    <row r="981" ht="15.75" customHeight="1" s="18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</row>
    <row r="982" ht="15.75" customHeight="1" s="18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</row>
    <row r="983" ht="15.75" customHeight="1" s="18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</row>
    <row r="984" ht="15.75" customHeight="1" s="18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</row>
    <row r="985" ht="15.75" customHeight="1" s="18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</row>
    <row r="986" ht="15.75" customHeight="1" s="18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</row>
    <row r="987" ht="15.75" customHeight="1" s="18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</row>
    <row r="988" ht="15.75" customHeight="1" s="1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</row>
    <row r="989" ht="15.75" customHeight="1" s="18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</row>
    <row r="990" ht="15.75" customHeight="1" s="18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</row>
    <row r="991" ht="15.75" customHeight="1" s="18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</row>
    <row r="992" ht="15.75" customHeight="1" s="18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</row>
    <row r="993" ht="15.75" customHeight="1" s="18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</row>
    <row r="994" ht="15.75" customHeight="1" s="18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</row>
    <row r="995" ht="15.75" customHeight="1" s="18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</row>
    <row r="996" ht="15.75" customHeight="1" s="18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</row>
    <row r="997" ht="15.75" customHeight="1" s="18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</row>
    <row r="998" ht="15.75" customHeight="1" s="1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</row>
    <row r="999" ht="15.75" customHeight="1" s="18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</row>
    <row r="1000" ht="15.75" customHeight="1" s="18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</row>
  </sheetData>
  <autoFilter ref="A1:J100"/>
  <conditionalFormatting sqref="I2:I100">
    <cfRule type="cellIs" priority="1" operator="equal" dxfId="9">
      <formula>"High"</formula>
    </cfRule>
    <cfRule type="cellIs" priority="2" operator="equal" dxfId="10">
      <formula>"Medium"</formula>
    </cfRule>
    <cfRule type="cellIs" priority="3" operator="equal" dxfId="11">
      <formula>"Low"</formula>
    </cfRule>
  </conditionalFormatting>
  <conditionalFormatting sqref="J2:J100">
    <cfRule type="cellIs" priority="4" operator="equal" dxfId="11">
      <formula>"Active"</formula>
    </cfRule>
    <cfRule type="cellIs" priority="5" operator="equal" dxfId="10">
      <formula>"On Hold"</formula>
    </cfRule>
    <cfRule type="cellIs" priority="6" operator="equal" dxfId="12">
      <formula>"Completed"</formula>
    </cfRule>
    <cfRule type="cellIs" priority="7" operator="equal" dxfId="13">
      <formula>"Cancelled"</formula>
    </cfRule>
  </conditionalFormatting>
  <dataValidations count="2">
    <dataValidation sqref="I2:I100" showDropDown="0" showInputMessage="0" showErrorMessage="0" allowBlank="1" type="list">
      <formula1>"High,Medium,Low"</formula1>
    </dataValidation>
    <dataValidation sqref="J2:J100" showDropDown="0" showInputMessage="0" showErrorMessage="0" allowBlank="1" type="list">
      <formula1>"Active,On Hold,Completed,Cancelled"</formula1>
    </dataValidation>
  </dataValidations>
  <pageMargins left="0.7" right="0.7" top="0.75" bottom="0.75" header="0" footer="0"/>
  <pageSetup orientation="portrait" paperSize="9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14.43" defaultRowHeight="15" customHeight="1"/>
  <cols>
    <col width="5" customWidth="1" style="18" min="1" max="1"/>
    <col width="13" customWidth="1" style="18" min="2" max="2"/>
    <col width="55.57" customWidth="1" style="18" min="3" max="3"/>
    <col width="73" customWidth="1" style="18" min="4" max="4"/>
    <col width="13.43" customWidth="1" style="18" min="5" max="5"/>
    <col width="10.86" customWidth="1" style="18" min="6" max="6"/>
    <col width="13" customWidth="1" style="18" min="7" max="7"/>
    <col width="14.71" customWidth="1" style="18" min="8" max="8"/>
    <col width="19" customWidth="1" style="18" min="9" max="9"/>
    <col width="86.56999999999999" customWidth="1" style="18" min="10" max="10"/>
    <col width="12" customWidth="1" style="18" min="11" max="11"/>
  </cols>
  <sheetData>
    <row r="1" ht="15" customHeight="1" s="18">
      <c r="A1" s="19" t="inlineStr">
        <is>
          <t>No</t>
        </is>
      </c>
      <c r="B1" s="19" t="inlineStr">
        <is>
          <t>Project ID</t>
        </is>
      </c>
      <c r="C1" s="19" t="inlineStr">
        <is>
          <t>Project Name</t>
        </is>
      </c>
      <c r="D1" s="19" t="inlineStr">
        <is>
          <t>Task Name</t>
        </is>
      </c>
      <c r="E1" s="19" t="inlineStr">
        <is>
          <t>Assignee</t>
        </is>
      </c>
      <c r="F1" s="19" t="inlineStr">
        <is>
          <t>Weight</t>
        </is>
      </c>
      <c r="G1" s="19" t="inlineStr">
        <is>
          <t>Status</t>
        </is>
      </c>
      <c r="H1" s="19" t="inlineStr">
        <is>
          <t>Start Date</t>
        </is>
      </c>
      <c r="I1" s="19" t="inlineStr">
        <is>
          <t>Deadline</t>
        </is>
      </c>
      <c r="J1" s="19" t="inlineStr">
        <is>
          <t>Notes</t>
        </is>
      </c>
      <c r="K1" s="19" t="inlineStr">
        <is>
          <t>Priority</t>
        </is>
      </c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</row>
    <row r="2">
      <c r="A2" s="20">
        <f>IF(AND(B2="",C2=""),"",ROW()-1)</f>
        <v/>
      </c>
      <c r="B2" s="20" t="inlineStr">
        <is>
          <t>BATERY00</t>
        </is>
      </c>
      <c r="C2" s="21">
        <f>IF(B2="","",VLOOKUP(B2,Projects!$B:$C,2,FALSE()))</f>
        <v/>
      </c>
      <c r="D2" s="21" t="inlineStr">
        <is>
          <t>Hợp tác làm mẫu pin với viện pin</t>
        </is>
      </c>
      <c r="E2" s="20" t="inlineStr">
        <is>
          <t>kienlt44</t>
        </is>
      </c>
      <c r="F2" s="20" t="n">
        <v>5</v>
      </c>
      <c r="G2" s="20" t="inlineStr">
        <is>
          <t>Doing</t>
        </is>
      </c>
      <c r="H2" s="22" t="n"/>
      <c r="I2" s="22" t="n"/>
      <c r="J2" s="21" t="n"/>
      <c r="K2" s="20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</row>
    <row r="3">
      <c r="A3" s="20">
        <f>IF(AND(B3="",C3=""),"",ROW()-1)</f>
        <v/>
      </c>
      <c r="B3" s="20" t="inlineStr">
        <is>
          <t>HOTSW00</t>
        </is>
      </c>
      <c r="C3" s="21">
        <f>IF(B3="","",VLOOKUP(B3,Projects!$B:$C,2,FALSE()))</f>
        <v/>
      </c>
      <c r="D3" s="21" t="inlineStr">
        <is>
          <t>Thiết kế nguyên lý  cho mạch Hot Swap</t>
        </is>
      </c>
      <c r="E3" s="20" t="inlineStr">
        <is>
          <t>kienlt44</t>
        </is>
      </c>
      <c r="F3" s="20" t="n">
        <v>5</v>
      </c>
      <c r="G3" s="20" t="inlineStr">
        <is>
          <t>Doing</t>
        </is>
      </c>
      <c r="H3" s="22" t="n"/>
      <c r="I3" s="22" t="n"/>
      <c r="J3" s="21" t="n"/>
      <c r="K3" s="20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</row>
    <row r="4">
      <c r="A4" s="20">
        <f>IF(AND(B4="",C4=""),"",ROW()-1)</f>
        <v/>
      </c>
      <c r="B4" s="20" t="inlineStr">
        <is>
          <t>HOTSW00</t>
        </is>
      </c>
      <c r="C4" s="21">
        <f>IF(B4="","",VLOOKUP(B4,Projects!$B:$C,2,FALSE()))</f>
        <v/>
      </c>
      <c r="D4" s="21" t="inlineStr">
        <is>
          <t>Thiết kế Layout cho mạch Hot Swap</t>
        </is>
      </c>
      <c r="E4" s="20" t="inlineStr">
        <is>
          <t>kienlt44</t>
        </is>
      </c>
      <c r="F4" s="20" t="n">
        <v>5</v>
      </c>
      <c r="G4" s="20" t="inlineStr">
        <is>
          <t>Doing</t>
        </is>
      </c>
      <c r="H4" s="22" t="n"/>
      <c r="I4" s="22" t="n"/>
      <c r="J4" s="21" t="n"/>
      <c r="K4" s="20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</row>
    <row r="5">
      <c r="A5" s="20">
        <f>IF(AND(B5="",C5=""),"",ROW()-1)</f>
        <v/>
      </c>
      <c r="B5" s="20" t="inlineStr">
        <is>
          <t>HOTSW00</t>
        </is>
      </c>
      <c r="C5" s="21">
        <f>IF(B5="","",VLOOKUP(B5,Projects!$B:$C,2,FALSE()))</f>
        <v/>
      </c>
      <c r="D5" s="21" t="inlineStr">
        <is>
          <t>Lập trình firmware cho mạch Hot Swap</t>
        </is>
      </c>
      <c r="E5" s="20" t="inlineStr">
        <is>
          <t>hienpn2</t>
        </is>
      </c>
      <c r="F5" s="20" t="n">
        <v>5</v>
      </c>
      <c r="G5" s="20" t="inlineStr">
        <is>
          <t>Open</t>
        </is>
      </c>
      <c r="H5" s="22" t="n"/>
      <c r="I5" s="22" t="n"/>
      <c r="J5" s="21" t="n"/>
      <c r="K5" s="20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</row>
    <row r="6">
      <c r="A6" s="20">
        <f>IF(AND(B6="",C6=""),"",ROW()-1)</f>
        <v/>
      </c>
      <c r="B6" s="20" t="inlineStr">
        <is>
          <t>EMBPC00</t>
        </is>
      </c>
      <c r="C6" s="21">
        <f>IF(B6="","",VLOOKUP(B6,Projects!$B:$C,2,FALSE()))</f>
        <v/>
      </c>
      <c r="D6" s="21" t="inlineStr">
        <is>
          <t>Hợp tác với đối tác ADC của QC thiết kế máy tính nhúng</t>
        </is>
      </c>
      <c r="E6" s="20" t="inlineStr">
        <is>
          <t>phudh2</t>
        </is>
      </c>
      <c r="F6" s="20" t="n">
        <v>5</v>
      </c>
      <c r="G6" s="20" t="inlineStr">
        <is>
          <t>Pending</t>
        </is>
      </c>
      <c r="H6" s="22" t="n"/>
      <c r="I6" s="22" t="n"/>
      <c r="J6" s="21" t="n"/>
      <c r="K6" s="20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</row>
    <row r="7">
      <c r="A7" s="20">
        <f>IF(AND(B7="",C7=""),"",ROW()-1)</f>
        <v/>
      </c>
      <c r="B7" s="20" t="inlineStr">
        <is>
          <t>EMBPC00</t>
        </is>
      </c>
      <c r="C7" s="21">
        <f>IF(B7="","",VLOOKUP(B7,Projects!$B:$C,2,FALSE()))</f>
        <v/>
      </c>
      <c r="D7" s="21" t="inlineStr">
        <is>
          <t>Hoàn thành thiết kế schematic và PCB layout</t>
        </is>
      </c>
      <c r="E7" s="20" t="inlineStr">
        <is>
          <t>phudh2</t>
        </is>
      </c>
      <c r="F7" s="20" t="n">
        <v>5</v>
      </c>
      <c r="G7" s="20" t="inlineStr">
        <is>
          <t>Doing</t>
        </is>
      </c>
      <c r="H7" s="22" t="n"/>
      <c r="I7" s="22" t="n"/>
      <c r="J7" s="21" t="n"/>
      <c r="K7" s="20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</row>
    <row r="8">
      <c r="A8" s="20">
        <f>IF(AND(B8="",C8=""),"",ROW()-1)</f>
        <v/>
      </c>
      <c r="B8" s="20" t="inlineStr">
        <is>
          <t>EMBPC00</t>
        </is>
      </c>
      <c r="C8" s="21">
        <f>IF(B8="","",VLOOKUP(B8,Projects!$B:$C,2,FALSE()))</f>
        <v/>
      </c>
      <c r="D8" s="21" t="inlineStr">
        <is>
          <t>Làm việc với đối tác EMS( Meiko) để sản xuất PCBA</t>
        </is>
      </c>
      <c r="E8" s="20" t="inlineStr">
        <is>
          <t>phudh2</t>
        </is>
      </c>
      <c r="F8" s="20" t="n">
        <v>5</v>
      </c>
      <c r="G8" s="20" t="inlineStr">
        <is>
          <t>Doing</t>
        </is>
      </c>
      <c r="H8" s="22" t="n"/>
      <c r="I8" s="22" t="n"/>
      <c r="J8" s="21" t="n"/>
      <c r="K8" s="20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</row>
    <row r="9">
      <c r="A9" s="20">
        <f>IF(AND(B9="",C9=""),"",ROW()-1)</f>
        <v/>
      </c>
      <c r="B9" s="20" t="inlineStr">
        <is>
          <t>PDU00</t>
        </is>
      </c>
      <c r="C9" s="21">
        <f>IF(B9="","",VLOOKUP(B9,Projects!$B:$C,2,FALSE()))</f>
        <v/>
      </c>
      <c r="D9" s="21" t="inlineStr">
        <is>
          <t>Hoàn thành thiết kế schematic và PCB layout, SOR, FCT test</t>
        </is>
      </c>
      <c r="E9" s="20" t="inlineStr">
        <is>
          <t>kienlt44</t>
        </is>
      </c>
      <c r="F9" s="20" t="n">
        <v>5</v>
      </c>
      <c r="G9" s="20" t="inlineStr">
        <is>
          <t>Done</t>
        </is>
      </c>
      <c r="H9" s="22" t="n"/>
      <c r="I9" s="22" t="n"/>
      <c r="J9" s="21" t="n"/>
      <c r="K9" s="20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</row>
    <row r="10">
      <c r="A10" s="20">
        <f>IF(AND(B10="",C10=""),"",ROW()-1)</f>
        <v/>
      </c>
      <c r="B10" s="20" t="inlineStr">
        <is>
          <t>PDU00</t>
        </is>
      </c>
      <c r="C10" s="21">
        <f>IF(B10="","",VLOOKUP(B10,Projects!$B:$C,2,FALSE()))</f>
        <v/>
      </c>
      <c r="D10" s="21" t="inlineStr">
        <is>
          <t>Upload dữ liệu lên server</t>
        </is>
      </c>
      <c r="E10" s="20" t="inlineStr">
        <is>
          <t>kienlt44</t>
        </is>
      </c>
      <c r="F10" s="20" t="n">
        <v>1</v>
      </c>
      <c r="G10" s="20" t="inlineStr">
        <is>
          <t>Done</t>
        </is>
      </c>
      <c r="H10" s="22" t="n"/>
      <c r="I10" s="22" t="n"/>
      <c r="J10" s="21" t="n"/>
      <c r="K10" s="20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</row>
    <row r="11">
      <c r="A11" s="20">
        <f>IF(AND(B11="",C11=""),"",ROW()-1)</f>
        <v/>
      </c>
      <c r="B11" s="20" t="inlineStr">
        <is>
          <t>PDU00</t>
        </is>
      </c>
      <c r="C11" s="21">
        <f>IF(B11="","",VLOOKUP(B11,Projects!$B:$C,2,FALSE()))</f>
        <v/>
      </c>
      <c r="D11" s="21" t="inlineStr">
        <is>
          <t>Bàn giao dữ liệu cho Kiên</t>
        </is>
      </c>
      <c r="E11" s="20" t="inlineStr">
        <is>
          <t>kienlt44</t>
        </is>
      </c>
      <c r="F11" s="20" t="n">
        <v>1</v>
      </c>
      <c r="G11" s="20" t="inlineStr">
        <is>
          <t>Done</t>
        </is>
      </c>
      <c r="H11" s="22" t="n"/>
      <c r="I11" s="22" t="n"/>
      <c r="J11" s="21" t="n"/>
      <c r="K11" s="20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</row>
    <row r="12">
      <c r="A12" s="20">
        <f>IF(AND(B12="",C12=""),"",ROW()-1)</f>
        <v/>
      </c>
      <c r="B12" s="20" t="inlineStr">
        <is>
          <t>PDU00</t>
        </is>
      </c>
      <c r="C12" s="21">
        <f>IF(B12="","",VLOOKUP(B12,Projects!$B:$C,2,FALSE()))</f>
        <v/>
      </c>
      <c r="D12" s="21" t="inlineStr">
        <is>
          <t>Làm việc với đối tác để sản xuất PCBA</t>
        </is>
      </c>
      <c r="E12" s="20" t="inlineStr">
        <is>
          <t>kienlt44</t>
        </is>
      </c>
      <c r="F12" s="20" t="n">
        <v>5</v>
      </c>
      <c r="G12" s="20" t="inlineStr">
        <is>
          <t>Doing</t>
        </is>
      </c>
      <c r="H12" s="22" t="n"/>
      <c r="I12" s="22" t="n"/>
      <c r="J12" s="21" t="n"/>
      <c r="K12" s="20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</row>
    <row r="13">
      <c r="A13" s="20">
        <f>IF(AND(B13="",C13=""),"",ROW()-1)</f>
        <v/>
      </c>
      <c r="B13" s="20" t="inlineStr">
        <is>
          <t>LLB00</t>
        </is>
      </c>
      <c r="C13" s="21">
        <f>IF(B13="","",VLOOKUP(B13,Projects!$B:$C,2,FALSE()))</f>
        <v/>
      </c>
      <c r="D13" s="21" t="inlineStr">
        <is>
          <t>Hoàn thành thiết kế schematic và PCB layout, SOR, FCT test</t>
        </is>
      </c>
      <c r="E13" s="20" t="inlineStr">
        <is>
          <t>phudh2</t>
        </is>
      </c>
      <c r="F13" s="20" t="n">
        <v>5</v>
      </c>
      <c r="G13" s="20" t="inlineStr">
        <is>
          <t>Done</t>
        </is>
      </c>
      <c r="H13" s="22" t="n"/>
      <c r="I13" s="22" t="n"/>
      <c r="J13" s="21" t="n"/>
      <c r="K13" s="20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</row>
    <row r="14">
      <c r="A14" s="20">
        <f>IF(AND(B14="",C14=""),"",ROW()-1)</f>
        <v/>
      </c>
      <c r="B14" s="20" t="inlineStr">
        <is>
          <t>LLB00</t>
        </is>
      </c>
      <c r="C14" s="21">
        <f>IF(B14="","",VLOOKUP(B14,Projects!$B:$C,2,FALSE()))</f>
        <v/>
      </c>
      <c r="D14" s="21" t="inlineStr">
        <is>
          <t>Upload dữ liệu lên server</t>
        </is>
      </c>
      <c r="E14" s="20" t="inlineStr">
        <is>
          <t>phudh2</t>
        </is>
      </c>
      <c r="F14" s="20" t="n">
        <v>1</v>
      </c>
      <c r="G14" s="20" t="inlineStr">
        <is>
          <t>Done</t>
        </is>
      </c>
      <c r="H14" s="22" t="n"/>
      <c r="I14" s="22" t="n"/>
      <c r="J14" s="21" t="n"/>
      <c r="K14" s="20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</row>
    <row r="15">
      <c r="A15" s="20">
        <f>IF(AND(B15="",C15=""),"",ROW()-1)</f>
        <v/>
      </c>
      <c r="B15" s="20" t="inlineStr">
        <is>
          <t>LLB00</t>
        </is>
      </c>
      <c r="C15" s="21">
        <f>IF(B15="","",VLOOKUP(B15,Projects!$B:$C,2,FALSE()))</f>
        <v/>
      </c>
      <c r="D15" s="21" t="inlineStr">
        <is>
          <t>Bàn giao dữ liệu cho Phú</t>
        </is>
      </c>
      <c r="E15" s="20" t="inlineStr">
        <is>
          <t>phudh2</t>
        </is>
      </c>
      <c r="F15" s="20" t="n">
        <v>1</v>
      </c>
      <c r="G15" s="20" t="inlineStr">
        <is>
          <t>Done</t>
        </is>
      </c>
      <c r="H15" s="22" t="n"/>
      <c r="I15" s="22" t="n"/>
      <c r="J15" s="21" t="n"/>
      <c r="K15" s="20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</row>
    <row r="16">
      <c r="A16" s="20">
        <f>IF(AND(B16="",C16=""),"",ROW()-1)</f>
        <v/>
      </c>
      <c r="B16" s="20" t="inlineStr">
        <is>
          <t>LLB00</t>
        </is>
      </c>
      <c r="C16" s="21">
        <f>IF(B16="","",VLOOKUP(B16,Projects!$B:$C,2,FALSE()))</f>
        <v/>
      </c>
      <c r="D16" s="21" t="inlineStr">
        <is>
          <t>Làm việc với đối tác để sản xuất PCBA</t>
        </is>
      </c>
      <c r="E16" s="20" t="inlineStr">
        <is>
          <t>phudh2</t>
        </is>
      </c>
      <c r="F16" s="20" t="n">
        <v>5</v>
      </c>
      <c r="G16" s="20" t="inlineStr">
        <is>
          <t>Doing</t>
        </is>
      </c>
      <c r="H16" s="22" t="n"/>
      <c r="I16" s="22" t="n"/>
      <c r="J16" s="21" t="n"/>
      <c r="K16" s="20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</row>
    <row r="17">
      <c r="A17" s="20">
        <f>IF(AND(B17="",C17=""),"",ROW()-1)</f>
        <v/>
      </c>
      <c r="B17" s="20" t="inlineStr">
        <is>
          <t>HUB00</t>
        </is>
      </c>
      <c r="C17" s="21">
        <f>IF(B17="","",VLOOKUP(B17,Projects!$B:$C,2,FALSE()))</f>
        <v/>
      </c>
      <c r="D17" s="21" t="inlineStr">
        <is>
          <t>Hoàn thành thiết kế schematic và layout PCB</t>
        </is>
      </c>
      <c r="E17" s="20" t="inlineStr">
        <is>
          <t>phudh2</t>
        </is>
      </c>
      <c r="F17" s="20" t="n">
        <v>5</v>
      </c>
      <c r="G17" s="20" t="inlineStr">
        <is>
          <t>Doing</t>
        </is>
      </c>
      <c r="H17" s="22" t="n"/>
      <c r="I17" s="22" t="n"/>
      <c r="J17" s="21" t="n"/>
      <c r="K17" s="20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</row>
    <row r="18">
      <c r="A18" s="20">
        <f>IF(AND(B18="",C18=""),"",ROW()-1)</f>
        <v/>
      </c>
      <c r="B18" s="20" t="inlineStr">
        <is>
          <t>HUB00</t>
        </is>
      </c>
      <c r="C18" s="21">
        <f>IF(B18="","",VLOOKUP(B18,Projects!$B:$C,2,FALSE()))</f>
        <v/>
      </c>
      <c r="D18" s="21" t="inlineStr">
        <is>
          <t>Xuất BOM, dữ liệu làm PCBA, SOR, FCT test</t>
        </is>
      </c>
      <c r="E18" s="20" t="inlineStr">
        <is>
          <t>phudh2</t>
        </is>
      </c>
      <c r="F18" s="20" t="n">
        <v>5</v>
      </c>
      <c r="G18" s="20" t="inlineStr">
        <is>
          <t>Doing</t>
        </is>
      </c>
      <c r="H18" s="22" t="n"/>
      <c r="I18" s="22" t="n"/>
      <c r="J18" s="21" t="n"/>
      <c r="K18" s="20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</row>
    <row r="19">
      <c r="A19" s="20">
        <f>IF(AND(B19="",C19=""),"",ROW()-1)</f>
        <v/>
      </c>
      <c r="B19" s="20" t="inlineStr">
        <is>
          <t>HUB00</t>
        </is>
      </c>
      <c r="C19" s="21">
        <f>IF(B19="","",VLOOKUP(B19,Projects!$B:$C,2,FALSE()))</f>
        <v/>
      </c>
      <c r="D19" s="21" t="inlineStr">
        <is>
          <t>Làm việc với đối tác để sản xuất PCBA</t>
        </is>
      </c>
      <c r="E19" s="20" t="inlineStr">
        <is>
          <t>phudh2</t>
        </is>
      </c>
      <c r="F19" s="20" t="n">
        <v>5</v>
      </c>
      <c r="G19" s="20" t="inlineStr">
        <is>
          <t>Doing</t>
        </is>
      </c>
      <c r="H19" s="22" t="n"/>
      <c r="I19" s="22" t="n"/>
      <c r="J19" s="21" t="n"/>
      <c r="K19" s="20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</row>
    <row r="20">
      <c r="A20" s="20">
        <f>IF(AND(B20="",C20=""),"",ROW()-1)</f>
        <v/>
      </c>
      <c r="B20" s="20" t="inlineStr">
        <is>
          <t>WHR00</t>
        </is>
      </c>
      <c r="C20" s="21">
        <f>IF(B20="","",VLOOKUP(B20,Projects!$B:$C,2,FALSE()))</f>
        <v/>
      </c>
      <c r="D20" s="21" t="inlineStr">
        <is>
          <t>Tìm và làm việc với đối tác sản xuất dây cáp điện cho Robot</t>
        </is>
      </c>
      <c r="E20" s="20" t="inlineStr">
        <is>
          <t>anhlt25</t>
        </is>
      </c>
      <c r="F20" s="20" t="n">
        <v>10</v>
      </c>
      <c r="G20" s="20" t="inlineStr">
        <is>
          <t>Doing</t>
        </is>
      </c>
      <c r="H20" s="22" t="n"/>
      <c r="I20" s="22" t="n"/>
      <c r="J20" s="21" t="n"/>
      <c r="K20" s="20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</row>
    <row r="21" ht="15.75" customHeight="1" s="18">
      <c r="A21" s="20">
        <f>IF(AND(B21="",C21=""),"",ROW()-1)</f>
        <v/>
      </c>
      <c r="B21" s="20" t="n"/>
      <c r="C21" s="21">
        <f>IF(B21="","",VLOOKUP(B21,Projects!$B:$C,2,FALSE()))</f>
        <v/>
      </c>
      <c r="D21" s="21" t="n"/>
      <c r="E21" s="20" t="n"/>
      <c r="F21" s="20" t="n"/>
      <c r="G21" s="20" t="n"/>
      <c r="H21" s="22" t="n"/>
      <c r="I21" s="22" t="n"/>
      <c r="J21" s="21" t="n"/>
      <c r="K21" s="20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</row>
    <row r="22" ht="15.75" customHeight="1" s="18">
      <c r="A22" s="20">
        <f>IF(AND(B22="",C22=""),"",ROW()-1)</f>
        <v/>
      </c>
      <c r="B22" s="20" t="n"/>
      <c r="C22" s="21">
        <f>IF(B22="","",VLOOKUP(B22,Projects!$B:$C,2,FALSE()))</f>
        <v/>
      </c>
      <c r="D22" s="21" t="n"/>
      <c r="E22" s="20" t="n"/>
      <c r="F22" s="20" t="n"/>
      <c r="G22" s="20" t="n"/>
      <c r="H22" s="22" t="n"/>
      <c r="I22" s="22" t="n"/>
      <c r="J22" s="21" t="n"/>
      <c r="K22" s="20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</row>
    <row r="23" ht="15.75" customHeight="1" s="18">
      <c r="A23" s="20">
        <f>IF(AND(B23="",C23=""),"",ROW()-1)</f>
        <v/>
      </c>
      <c r="B23" s="20" t="n"/>
      <c r="C23" s="21">
        <f>IF(B23="","",VLOOKUP(B23,Projects!$B:$C,2,FALSE()))</f>
        <v/>
      </c>
      <c r="D23" s="21" t="n"/>
      <c r="E23" s="20" t="n"/>
      <c r="F23" s="20" t="n"/>
      <c r="G23" s="20" t="n"/>
      <c r="H23" s="22" t="n"/>
      <c r="I23" s="22" t="n"/>
      <c r="J23" s="21" t="n"/>
      <c r="K23" s="20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</row>
    <row r="24" ht="15.75" customHeight="1" s="18">
      <c r="A24" s="20">
        <f>IF(AND(B24="",C24=""),"",ROW()-1)</f>
        <v/>
      </c>
      <c r="B24" s="20" t="n"/>
      <c r="C24" s="21">
        <f>IF(B24="","",VLOOKUP(B24,Projects!$B:$C,2,FALSE()))</f>
        <v/>
      </c>
      <c r="D24" s="21" t="n"/>
      <c r="E24" s="20" t="n"/>
      <c r="F24" s="20" t="n"/>
      <c r="G24" s="20" t="n"/>
      <c r="H24" s="22" t="n"/>
      <c r="I24" s="22" t="n"/>
      <c r="J24" s="21" t="n"/>
      <c r="K24" s="20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</row>
    <row r="25" ht="15.75" customHeight="1" s="18">
      <c r="A25" s="20">
        <f>IF(AND(B25="",C25=""),"",ROW()-1)</f>
        <v/>
      </c>
      <c r="B25" s="20" t="n"/>
      <c r="C25" s="21">
        <f>IF(B25="","",VLOOKUP(B25,Projects!$B:$C,2,FALSE()))</f>
        <v/>
      </c>
      <c r="D25" s="21" t="n"/>
      <c r="E25" s="20" t="n"/>
      <c r="F25" s="20" t="n"/>
      <c r="G25" s="20" t="n"/>
      <c r="H25" s="22" t="n"/>
      <c r="I25" s="22" t="n"/>
      <c r="J25" s="21" t="n"/>
      <c r="K25" s="20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</row>
    <row r="26" ht="15.75" customHeight="1" s="18">
      <c r="A26" s="20">
        <f>IF(AND(B26="",C26=""),"",ROW()-1)</f>
        <v/>
      </c>
      <c r="B26" s="20" t="n"/>
      <c r="C26" s="21">
        <f>IF(B26="","",VLOOKUP(B26,Projects!$B:$C,2,FALSE()))</f>
        <v/>
      </c>
      <c r="D26" s="21" t="n"/>
      <c r="E26" s="20" t="n"/>
      <c r="F26" s="20" t="n"/>
      <c r="G26" s="20" t="n"/>
      <c r="H26" s="22" t="n"/>
      <c r="I26" s="22" t="n"/>
      <c r="J26" s="21" t="n"/>
      <c r="K26" s="20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</row>
    <row r="27" ht="15.75" customHeight="1" s="18">
      <c r="A27" s="20">
        <f>IF(AND(B27="",C27=""),"",ROW()-1)</f>
        <v/>
      </c>
      <c r="B27" s="20" t="n"/>
      <c r="C27" s="21">
        <f>IF(B27="","",VLOOKUP(B27,Projects!$B:$C,2,FALSE()))</f>
        <v/>
      </c>
      <c r="D27" s="21" t="n"/>
      <c r="E27" s="20" t="n"/>
      <c r="F27" s="20" t="n"/>
      <c r="G27" s="20" t="n"/>
      <c r="H27" s="22" t="n"/>
      <c r="I27" s="22" t="n"/>
      <c r="J27" s="21" t="n"/>
      <c r="K27" s="20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</row>
    <row r="28" ht="15.75" customHeight="1" s="18">
      <c r="A28" s="20">
        <f>IF(AND(B28="",C28=""),"",ROW()-1)</f>
        <v/>
      </c>
      <c r="B28" s="20" t="n"/>
      <c r="C28" s="21">
        <f>IF(B28="","",VLOOKUP(B28,Projects!$B:$C,2,FALSE()))</f>
        <v/>
      </c>
      <c r="D28" s="21" t="n"/>
      <c r="E28" s="20" t="n"/>
      <c r="F28" s="20" t="n"/>
      <c r="G28" s="20" t="n"/>
      <c r="H28" s="22" t="n"/>
      <c r="I28" s="22" t="n"/>
      <c r="J28" s="21" t="n"/>
      <c r="K28" s="20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</row>
    <row r="29" ht="15.75" customHeight="1" s="18">
      <c r="A29" s="20">
        <f>IF(AND(B29="",C29=""),"",ROW()-1)</f>
        <v/>
      </c>
      <c r="B29" s="20" t="n"/>
      <c r="C29" s="21">
        <f>IF(B29="","",VLOOKUP(B29,Projects!$B:$C,2,FALSE()))</f>
        <v/>
      </c>
      <c r="D29" s="21" t="n"/>
      <c r="E29" s="20" t="n"/>
      <c r="F29" s="20" t="n"/>
      <c r="G29" s="20" t="n"/>
      <c r="H29" s="22" t="n"/>
      <c r="I29" s="22" t="n"/>
      <c r="J29" s="21" t="n"/>
      <c r="K29" s="20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</row>
    <row r="30" ht="15.75" customHeight="1" s="18">
      <c r="A30" s="20">
        <f>IF(AND(B30="",C30=""),"",ROW()-1)</f>
        <v/>
      </c>
      <c r="B30" s="20" t="n"/>
      <c r="C30" s="21">
        <f>IF(B30="","",VLOOKUP(B30,Projects!$B:$C,2,FALSE()))</f>
        <v/>
      </c>
      <c r="D30" s="21" t="n"/>
      <c r="E30" s="20" t="n"/>
      <c r="F30" s="20" t="n"/>
      <c r="G30" s="20" t="n"/>
      <c r="H30" s="22" t="n"/>
      <c r="I30" s="22" t="n"/>
      <c r="J30" s="21" t="n"/>
      <c r="K30" s="20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</row>
    <row r="31" ht="15.75" customHeight="1" s="18">
      <c r="A31" s="20">
        <f>IF(AND(B31="",C31=""),"",ROW()-1)</f>
        <v/>
      </c>
      <c r="B31" s="20" t="n"/>
      <c r="C31" s="21">
        <f>IF(B31="","",VLOOKUP(B31,Projects!$B:$C,2,FALSE()))</f>
        <v/>
      </c>
      <c r="D31" s="21" t="n"/>
      <c r="E31" s="20" t="n"/>
      <c r="F31" s="20" t="n"/>
      <c r="G31" s="20" t="n"/>
      <c r="H31" s="22" t="n"/>
      <c r="I31" s="22" t="n"/>
      <c r="J31" s="21" t="n"/>
      <c r="K31" s="20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</row>
    <row r="32" ht="15.75" customHeight="1" s="18">
      <c r="A32" s="20">
        <f>IF(AND(B32="",C32=""),"",ROW()-1)</f>
        <v/>
      </c>
      <c r="B32" s="20" t="n"/>
      <c r="C32" s="21">
        <f>IF(B32="","",VLOOKUP(B32,Projects!$B:$C,2,FALSE()))</f>
        <v/>
      </c>
      <c r="D32" s="21" t="n"/>
      <c r="E32" s="20" t="n"/>
      <c r="F32" s="20" t="n"/>
      <c r="G32" s="20" t="n"/>
      <c r="H32" s="22" t="n"/>
      <c r="I32" s="22" t="n"/>
      <c r="J32" s="21" t="n"/>
      <c r="K32" s="20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</row>
    <row r="33" ht="15.75" customHeight="1" s="18">
      <c r="A33" s="20">
        <f>IF(AND(B33="",C33=""),"",ROW()-1)</f>
        <v/>
      </c>
      <c r="B33" s="20" t="n"/>
      <c r="C33" s="21">
        <f>IF(B33="","",VLOOKUP(B33,Projects!$B:$C,2,FALSE()))</f>
        <v/>
      </c>
      <c r="D33" s="21" t="n"/>
      <c r="E33" s="20" t="n"/>
      <c r="F33" s="20" t="n"/>
      <c r="G33" s="20" t="n"/>
      <c r="H33" s="22" t="n"/>
      <c r="I33" s="22" t="n"/>
      <c r="J33" s="21" t="n"/>
      <c r="K33" s="20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</row>
    <row r="34" ht="15.75" customHeight="1" s="18">
      <c r="A34" s="20">
        <f>IF(AND(B34="",C34=""),"",ROW()-1)</f>
        <v/>
      </c>
      <c r="B34" s="20" t="n"/>
      <c r="C34" s="21">
        <f>IF(B34="","",VLOOKUP(B34,Projects!$B:$C,2,FALSE()))</f>
        <v/>
      </c>
      <c r="D34" s="21" t="n"/>
      <c r="E34" s="20" t="n"/>
      <c r="F34" s="20" t="n"/>
      <c r="G34" s="20" t="n"/>
      <c r="H34" s="22" t="n"/>
      <c r="I34" s="22" t="n"/>
      <c r="J34" s="21" t="n"/>
      <c r="K34" s="20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</row>
    <row r="35" ht="15.75" customHeight="1" s="18">
      <c r="A35" s="20">
        <f>IF(AND(B35="",C35=""),"",ROW()-1)</f>
        <v/>
      </c>
      <c r="B35" s="20" t="n"/>
      <c r="C35" s="21">
        <f>IF(B35="","",VLOOKUP(B35,Projects!$B:$C,2,FALSE()))</f>
        <v/>
      </c>
      <c r="D35" s="21" t="n"/>
      <c r="E35" s="20" t="n"/>
      <c r="F35" s="20" t="n"/>
      <c r="G35" s="20" t="n"/>
      <c r="H35" s="22" t="n"/>
      <c r="I35" s="22" t="n"/>
      <c r="J35" s="21" t="n"/>
      <c r="K35" s="20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</row>
    <row r="36" ht="15.75" customHeight="1" s="18">
      <c r="A36" s="20">
        <f>IF(AND(B36="",C36=""),"",ROW()-1)</f>
        <v/>
      </c>
      <c r="B36" s="20" t="n"/>
      <c r="C36" s="21">
        <f>IF(B36="","",VLOOKUP(B36,Projects!$B:$C,2,FALSE()))</f>
        <v/>
      </c>
      <c r="D36" s="21" t="n"/>
      <c r="E36" s="20" t="n"/>
      <c r="F36" s="20" t="n"/>
      <c r="G36" s="20" t="n"/>
      <c r="H36" s="22" t="n"/>
      <c r="I36" s="22" t="n"/>
      <c r="J36" s="21" t="n"/>
      <c r="K36" s="20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</row>
    <row r="37" ht="15.75" customHeight="1" s="18">
      <c r="A37" s="20">
        <f>IF(AND(B37="",C37=""),"",ROW()-1)</f>
        <v/>
      </c>
      <c r="B37" s="20" t="n"/>
      <c r="C37" s="21">
        <f>IF(B37="","",VLOOKUP(B37,Projects!$B:$C,2,FALSE()))</f>
        <v/>
      </c>
      <c r="D37" s="21" t="n"/>
      <c r="E37" s="20" t="n"/>
      <c r="F37" s="20" t="n"/>
      <c r="G37" s="20" t="n"/>
      <c r="H37" s="22" t="n"/>
      <c r="I37" s="22" t="n"/>
      <c r="J37" s="21" t="n"/>
      <c r="K37" s="20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</row>
    <row r="38" ht="15.75" customHeight="1" s="18">
      <c r="A38" s="20">
        <f>IF(AND(B38="",C38=""),"",ROW()-1)</f>
        <v/>
      </c>
      <c r="B38" s="20" t="n"/>
      <c r="C38" s="21">
        <f>IF(B38="","",VLOOKUP(B38,Projects!$B:$C,2,FALSE()))</f>
        <v/>
      </c>
      <c r="D38" s="21" t="n"/>
      <c r="E38" s="20" t="n"/>
      <c r="F38" s="20" t="n"/>
      <c r="G38" s="20" t="n"/>
      <c r="H38" s="22" t="n"/>
      <c r="I38" s="22" t="n"/>
      <c r="J38" s="21" t="n"/>
      <c r="K38" s="20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</row>
    <row r="39" ht="15.75" customHeight="1" s="18">
      <c r="A39" s="20">
        <f>IF(AND(B39="",C39=""),"",ROW()-1)</f>
        <v/>
      </c>
      <c r="B39" s="20" t="n"/>
      <c r="C39" s="21">
        <f>IF(B39="","",VLOOKUP(B39,Projects!$B:$C,2,FALSE()))</f>
        <v/>
      </c>
      <c r="D39" s="21" t="n"/>
      <c r="E39" s="20" t="n"/>
      <c r="F39" s="20" t="n"/>
      <c r="G39" s="20" t="n"/>
      <c r="H39" s="22" t="n"/>
      <c r="I39" s="22" t="n"/>
      <c r="J39" s="21" t="n"/>
      <c r="K39" s="20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</row>
    <row r="40" ht="15.75" customHeight="1" s="18">
      <c r="A40" s="20">
        <f>IF(AND(B40="",C40=""),"",ROW()-1)</f>
        <v/>
      </c>
      <c r="B40" s="20" t="n"/>
      <c r="C40" s="21">
        <f>IF(B40="","",VLOOKUP(B40,Projects!$B:$C,2,FALSE()))</f>
        <v/>
      </c>
      <c r="D40" s="21" t="n"/>
      <c r="E40" s="20" t="n"/>
      <c r="F40" s="20" t="n"/>
      <c r="G40" s="20" t="n"/>
      <c r="H40" s="22" t="n"/>
      <c r="I40" s="22" t="n"/>
      <c r="J40" s="21" t="n"/>
      <c r="K40" s="20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</row>
    <row r="41" ht="15.75" customHeight="1" s="18">
      <c r="A41" s="20">
        <f>IF(AND(B41="",C41=""),"",ROW()-1)</f>
        <v/>
      </c>
      <c r="B41" s="20" t="n"/>
      <c r="C41" s="21">
        <f>IF(B41="","",VLOOKUP(B41,Projects!$B:$C,2,FALSE()))</f>
        <v/>
      </c>
      <c r="D41" s="21" t="n"/>
      <c r="E41" s="20" t="n"/>
      <c r="F41" s="20" t="n"/>
      <c r="G41" s="20" t="n"/>
      <c r="H41" s="22" t="n"/>
      <c r="I41" s="22" t="n"/>
      <c r="J41" s="21" t="n"/>
      <c r="K41" s="20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</row>
    <row r="42" ht="15.75" customHeight="1" s="18">
      <c r="A42" s="20">
        <f>IF(AND(B42="",C42=""),"",ROW()-1)</f>
        <v/>
      </c>
      <c r="B42" s="20" t="n"/>
      <c r="C42" s="21">
        <f>IF(B42="","",VLOOKUP(B42,Projects!$B:$C,2,FALSE()))</f>
        <v/>
      </c>
      <c r="D42" s="21" t="n"/>
      <c r="E42" s="20" t="n"/>
      <c r="F42" s="20" t="n"/>
      <c r="G42" s="20" t="n"/>
      <c r="H42" s="22" t="n"/>
      <c r="I42" s="22" t="n"/>
      <c r="J42" s="21" t="n"/>
      <c r="K42" s="20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</row>
    <row r="43" ht="15.75" customHeight="1" s="18">
      <c r="A43" s="20">
        <f>IF(AND(B43="",C43=""),"",ROW()-1)</f>
        <v/>
      </c>
      <c r="B43" s="20" t="n"/>
      <c r="C43" s="21">
        <f>IF(B43="","",VLOOKUP(B43,Projects!$B:$C,2,FALSE()))</f>
        <v/>
      </c>
      <c r="D43" s="21" t="n"/>
      <c r="E43" s="20" t="n"/>
      <c r="F43" s="20" t="n"/>
      <c r="G43" s="20" t="n"/>
      <c r="H43" s="22" t="n"/>
      <c r="I43" s="22" t="n"/>
      <c r="J43" s="21" t="n"/>
      <c r="K43" s="20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</row>
    <row r="44" ht="15.75" customHeight="1" s="18">
      <c r="A44" s="20">
        <f>IF(AND(B44="",C44=""),"",ROW()-1)</f>
        <v/>
      </c>
      <c r="B44" s="20" t="n"/>
      <c r="C44" s="21">
        <f>IF(B44="","",VLOOKUP(B44,Projects!$B:$C,2,FALSE()))</f>
        <v/>
      </c>
      <c r="D44" s="21" t="n"/>
      <c r="E44" s="20" t="n"/>
      <c r="F44" s="20" t="n"/>
      <c r="G44" s="20" t="n"/>
      <c r="H44" s="22" t="n"/>
      <c r="I44" s="22" t="n"/>
      <c r="J44" s="21" t="n"/>
      <c r="K44" s="20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</row>
    <row r="45" ht="15.75" customHeight="1" s="18">
      <c r="A45" s="20">
        <f>IF(AND(B45="",C45=""),"",ROW()-1)</f>
        <v/>
      </c>
      <c r="B45" s="20" t="n"/>
      <c r="C45" s="21">
        <f>IF(B45="","",VLOOKUP(B45,Projects!$B:$C,2,FALSE()))</f>
        <v/>
      </c>
      <c r="D45" s="21" t="n"/>
      <c r="E45" s="20" t="n"/>
      <c r="F45" s="20" t="n"/>
      <c r="G45" s="20" t="n"/>
      <c r="H45" s="22" t="n"/>
      <c r="I45" s="22" t="n"/>
      <c r="J45" s="21" t="n"/>
      <c r="K45" s="20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</row>
    <row r="46" ht="15.75" customHeight="1" s="18">
      <c r="A46" s="20">
        <f>IF(AND(B46="",C46=""),"",ROW()-1)</f>
        <v/>
      </c>
      <c r="B46" s="20" t="n"/>
      <c r="C46" s="21">
        <f>IF(B46="","",VLOOKUP(B46,Projects!$B:$C,2,FALSE()))</f>
        <v/>
      </c>
      <c r="D46" s="21" t="n"/>
      <c r="E46" s="20" t="n"/>
      <c r="F46" s="20" t="n"/>
      <c r="G46" s="20" t="n"/>
      <c r="H46" s="22" t="n"/>
      <c r="I46" s="22" t="n"/>
      <c r="J46" s="21" t="n"/>
      <c r="K46" s="20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</row>
    <row r="47" ht="15.75" customHeight="1" s="18">
      <c r="A47" s="20">
        <f>IF(AND(B47="",C47=""),"",ROW()-1)</f>
        <v/>
      </c>
      <c r="B47" s="20" t="n"/>
      <c r="C47" s="21">
        <f>IF(B47="","",VLOOKUP(B47,Projects!$B:$C,2,FALSE()))</f>
        <v/>
      </c>
      <c r="D47" s="21" t="n"/>
      <c r="E47" s="20" t="n"/>
      <c r="F47" s="20" t="n"/>
      <c r="G47" s="20" t="n"/>
      <c r="H47" s="22" t="n"/>
      <c r="I47" s="22" t="n"/>
      <c r="J47" s="21" t="n"/>
      <c r="K47" s="20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</row>
    <row r="48" ht="15.75" customHeight="1" s="18">
      <c r="A48" s="20">
        <f>IF(AND(B48="",C48=""),"",ROW()-1)</f>
        <v/>
      </c>
      <c r="B48" s="20" t="n"/>
      <c r="C48" s="21">
        <f>IF(B48="","",VLOOKUP(B48,Projects!$B:$C,2,FALSE()))</f>
        <v/>
      </c>
      <c r="D48" s="21" t="n"/>
      <c r="E48" s="20" t="n"/>
      <c r="F48" s="20" t="n"/>
      <c r="G48" s="20" t="n"/>
      <c r="H48" s="22" t="n"/>
      <c r="I48" s="22" t="n"/>
      <c r="J48" s="21" t="n"/>
      <c r="K48" s="20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</row>
    <row r="49" ht="15.75" customHeight="1" s="18">
      <c r="A49" s="20">
        <f>IF(AND(B49="",C49=""),"",ROW()-1)</f>
        <v/>
      </c>
      <c r="B49" s="20" t="n"/>
      <c r="C49" s="21">
        <f>IF(B49="","",VLOOKUP(B49,Projects!$B:$C,2,FALSE()))</f>
        <v/>
      </c>
      <c r="D49" s="21" t="n"/>
      <c r="E49" s="20" t="n"/>
      <c r="F49" s="20" t="n"/>
      <c r="G49" s="20" t="n"/>
      <c r="H49" s="22" t="n"/>
      <c r="I49" s="22" t="n"/>
      <c r="J49" s="21" t="n"/>
      <c r="K49" s="20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</row>
    <row r="50" ht="15.75" customHeight="1" s="18">
      <c r="A50" s="20">
        <f>IF(AND(B50="",C50=""),"",ROW()-1)</f>
        <v/>
      </c>
      <c r="B50" s="20" t="n"/>
      <c r="C50" s="21">
        <f>IF(B50="","",VLOOKUP(B50,Projects!$B:$C,2,FALSE()))</f>
        <v/>
      </c>
      <c r="D50" s="21" t="n"/>
      <c r="E50" s="20" t="n"/>
      <c r="F50" s="20" t="n"/>
      <c r="G50" s="20" t="n"/>
      <c r="H50" s="22" t="n"/>
      <c r="I50" s="22" t="n"/>
      <c r="J50" s="21" t="n"/>
      <c r="K50" s="20" t="n"/>
      <c r="L50" s="9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</row>
    <row r="51" ht="15.75" customHeight="1" s="18">
      <c r="A51" s="20">
        <f>IF(AND(B51="",C51=""),"",ROW()-1)</f>
        <v/>
      </c>
      <c r="B51" s="20" t="n"/>
      <c r="C51" s="21">
        <f>IF(B51="","",VLOOKUP(B51,Projects!$B:$C,2,FALSE()))</f>
        <v/>
      </c>
      <c r="D51" s="21" t="n"/>
      <c r="E51" s="20" t="n"/>
      <c r="F51" s="20" t="n"/>
      <c r="G51" s="20" t="n"/>
      <c r="H51" s="22" t="n"/>
      <c r="I51" s="22" t="n"/>
      <c r="J51" s="21" t="n"/>
      <c r="K51" s="20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</row>
    <row r="52" ht="15.75" customHeight="1" s="18">
      <c r="A52" s="20">
        <f>IF(AND(B52="",C52=""),"",ROW()-1)</f>
        <v/>
      </c>
      <c r="B52" s="20" t="n"/>
      <c r="C52" s="21">
        <f>IF(B52="","",VLOOKUP(B52,Projects!$B:$C,2,FALSE()))</f>
        <v/>
      </c>
      <c r="D52" s="21" t="n"/>
      <c r="E52" s="20" t="n"/>
      <c r="F52" s="20" t="n"/>
      <c r="G52" s="20" t="n"/>
      <c r="H52" s="22" t="n"/>
      <c r="I52" s="22" t="n"/>
      <c r="J52" s="21" t="n"/>
      <c r="K52" s="20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</row>
    <row r="53" ht="15.75" customHeight="1" s="18">
      <c r="A53" s="20">
        <f>IF(AND(B53="",C53=""),"",ROW()-1)</f>
        <v/>
      </c>
      <c r="B53" s="20" t="n"/>
      <c r="C53" s="21">
        <f>IF(B53="","",VLOOKUP(B53,Projects!$B:$C,2,FALSE()))</f>
        <v/>
      </c>
      <c r="D53" s="21" t="n"/>
      <c r="E53" s="20" t="n"/>
      <c r="F53" s="20" t="n"/>
      <c r="G53" s="20" t="n"/>
      <c r="H53" s="22" t="n"/>
      <c r="I53" s="22" t="n"/>
      <c r="J53" s="21" t="n"/>
      <c r="K53" s="20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</row>
    <row r="54" ht="15.75" customHeight="1" s="18">
      <c r="A54" s="20">
        <f>IF(AND(B54="",C54=""),"",ROW()-1)</f>
        <v/>
      </c>
      <c r="B54" s="20" t="n"/>
      <c r="C54" s="21">
        <f>IF(B54="","",VLOOKUP(B54,Projects!$B:$C,2,FALSE()))</f>
        <v/>
      </c>
      <c r="D54" s="21" t="n"/>
      <c r="E54" s="20" t="n"/>
      <c r="F54" s="20" t="n"/>
      <c r="G54" s="20" t="n"/>
      <c r="H54" s="22" t="n"/>
      <c r="I54" s="22" t="n"/>
      <c r="J54" s="21" t="n"/>
      <c r="K54" s="20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</row>
    <row r="55" ht="15.75" customHeight="1" s="18">
      <c r="A55" s="20">
        <f>IF(AND(B55="",C55=""),"",ROW()-1)</f>
        <v/>
      </c>
      <c r="B55" s="20" t="n"/>
      <c r="C55" s="21">
        <f>IF(B55="","",VLOOKUP(B55,Projects!$B:$C,2,FALSE()))</f>
        <v/>
      </c>
      <c r="D55" s="21" t="n"/>
      <c r="E55" s="20" t="n"/>
      <c r="F55" s="20" t="n"/>
      <c r="G55" s="20" t="n"/>
      <c r="H55" s="22" t="n"/>
      <c r="I55" s="22" t="n"/>
      <c r="J55" s="21" t="n"/>
      <c r="K55" s="20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</row>
    <row r="56" ht="15.75" customHeight="1" s="18">
      <c r="A56" s="20">
        <f>IF(AND(B56="",C56=""),"",ROW()-1)</f>
        <v/>
      </c>
      <c r="B56" s="20" t="n"/>
      <c r="C56" s="21">
        <f>IF(B56="","",VLOOKUP(B56,Projects!$B:$C,2,FALSE()))</f>
        <v/>
      </c>
      <c r="D56" s="21" t="n"/>
      <c r="E56" s="20" t="n"/>
      <c r="F56" s="20" t="n"/>
      <c r="G56" s="20" t="n"/>
      <c r="H56" s="22" t="n"/>
      <c r="I56" s="22" t="n"/>
      <c r="J56" s="21" t="n"/>
      <c r="K56" s="20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</row>
    <row r="57" ht="15.75" customHeight="1" s="18">
      <c r="A57" s="20">
        <f>IF(AND(B57="",C57=""),"",ROW()-1)</f>
        <v/>
      </c>
      <c r="B57" s="20" t="n"/>
      <c r="C57" s="21">
        <f>IF(B57="","",VLOOKUP(B57,Projects!$B:$C,2,FALSE()))</f>
        <v/>
      </c>
      <c r="D57" s="21" t="n"/>
      <c r="E57" s="20" t="n"/>
      <c r="F57" s="20" t="n"/>
      <c r="G57" s="20" t="n"/>
      <c r="H57" s="22" t="n"/>
      <c r="I57" s="22" t="n"/>
      <c r="J57" s="21" t="n"/>
      <c r="K57" s="20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</row>
    <row r="58" ht="15.75" customHeight="1" s="18">
      <c r="A58" s="20">
        <f>IF(AND(B58="",C58=""),"",ROW()-1)</f>
        <v/>
      </c>
      <c r="B58" s="20" t="n"/>
      <c r="C58" s="21">
        <f>IF(B58="","",VLOOKUP(B58,Projects!$B:$C,2,FALSE()))</f>
        <v/>
      </c>
      <c r="D58" s="21" t="n"/>
      <c r="E58" s="20" t="n"/>
      <c r="F58" s="20" t="n"/>
      <c r="G58" s="20" t="n"/>
      <c r="H58" s="22" t="n"/>
      <c r="I58" s="22" t="n"/>
      <c r="J58" s="21" t="n"/>
      <c r="K58" s="20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</row>
    <row r="59" ht="15.75" customHeight="1" s="18">
      <c r="A59" s="20">
        <f>IF(AND(B59="",C59=""),"",ROW()-1)</f>
        <v/>
      </c>
      <c r="B59" s="20" t="n"/>
      <c r="C59" s="21">
        <f>IF(B59="","",VLOOKUP(B59,Projects!$B:$C,2,FALSE()))</f>
        <v/>
      </c>
      <c r="D59" s="21" t="n"/>
      <c r="E59" s="20" t="n"/>
      <c r="F59" s="20" t="n"/>
      <c r="G59" s="20" t="n"/>
      <c r="H59" s="22" t="n"/>
      <c r="I59" s="22" t="n"/>
      <c r="J59" s="21" t="n"/>
      <c r="K59" s="20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</row>
    <row r="60" ht="15.75" customHeight="1" s="18">
      <c r="A60" s="20">
        <f>IF(AND(B60="",C60=""),"",ROW()-1)</f>
        <v/>
      </c>
      <c r="B60" s="20" t="n"/>
      <c r="C60" s="21">
        <f>IF(B60="","",VLOOKUP(B60,Projects!$B:$C,2,FALSE()))</f>
        <v/>
      </c>
      <c r="D60" s="21" t="n"/>
      <c r="E60" s="20" t="n"/>
      <c r="F60" s="20" t="n"/>
      <c r="G60" s="20" t="n"/>
      <c r="H60" s="22" t="n"/>
      <c r="I60" s="22" t="n"/>
      <c r="J60" s="21" t="n"/>
      <c r="K60" s="20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</row>
    <row r="61" ht="15.75" customHeight="1" s="18">
      <c r="A61" s="20">
        <f>IF(AND(B61="",C61=""),"",ROW()-1)</f>
        <v/>
      </c>
      <c r="B61" s="20" t="n"/>
      <c r="C61" s="21">
        <f>IF(B61="","",VLOOKUP(B61,Projects!$B:$C,2,FALSE()))</f>
        <v/>
      </c>
      <c r="D61" s="21" t="n"/>
      <c r="E61" s="20" t="n"/>
      <c r="F61" s="20" t="n"/>
      <c r="G61" s="20" t="n"/>
      <c r="H61" s="22" t="n"/>
      <c r="I61" s="22" t="n"/>
      <c r="J61" s="21" t="n"/>
      <c r="K61" s="20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</row>
    <row r="62" ht="15.75" customHeight="1" s="18">
      <c r="A62" s="20">
        <f>IF(AND(B62="",C62=""),"",ROW()-1)</f>
        <v/>
      </c>
      <c r="B62" s="20" t="n"/>
      <c r="C62" s="21">
        <f>IF(B62="","",VLOOKUP(B62,Projects!$B:$C,2,FALSE()))</f>
        <v/>
      </c>
      <c r="D62" s="21" t="n"/>
      <c r="E62" s="20" t="n"/>
      <c r="F62" s="20" t="n"/>
      <c r="G62" s="20" t="n"/>
      <c r="H62" s="22" t="n"/>
      <c r="I62" s="22" t="n"/>
      <c r="J62" s="21" t="n"/>
      <c r="K62" s="20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</row>
    <row r="63" ht="15.75" customHeight="1" s="18">
      <c r="A63" s="20">
        <f>IF(AND(B63="",C63=""),"",ROW()-1)</f>
        <v/>
      </c>
      <c r="B63" s="20" t="n"/>
      <c r="C63" s="21">
        <f>IF(B63="","",VLOOKUP(B63,Projects!$B:$C,2,FALSE()))</f>
        <v/>
      </c>
      <c r="D63" s="21" t="n"/>
      <c r="E63" s="20" t="n"/>
      <c r="F63" s="20" t="n"/>
      <c r="G63" s="20" t="n"/>
      <c r="H63" s="22" t="n"/>
      <c r="I63" s="22" t="n"/>
      <c r="J63" s="21" t="n"/>
      <c r="K63" s="20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</row>
    <row r="64" ht="15.75" customHeight="1" s="18">
      <c r="A64" s="20">
        <f>IF(AND(B64="",C64=""),"",ROW()-1)</f>
        <v/>
      </c>
      <c r="B64" s="20" t="n"/>
      <c r="C64" s="21">
        <f>IF(B64="","",VLOOKUP(B64,Projects!$B:$C,2,FALSE()))</f>
        <v/>
      </c>
      <c r="D64" s="21" t="n"/>
      <c r="E64" s="20" t="n"/>
      <c r="F64" s="20" t="n"/>
      <c r="G64" s="20" t="n"/>
      <c r="H64" s="22" t="n"/>
      <c r="I64" s="22" t="n"/>
      <c r="J64" s="21" t="n"/>
      <c r="K64" s="20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</row>
    <row r="65" ht="15.75" customHeight="1" s="18">
      <c r="A65" s="20">
        <f>IF(AND(B65="",C65=""),"",ROW()-1)</f>
        <v/>
      </c>
      <c r="B65" s="20" t="n"/>
      <c r="C65" s="21">
        <f>IF(B65="","",VLOOKUP(B65,Projects!$B:$C,2,FALSE()))</f>
        <v/>
      </c>
      <c r="D65" s="21" t="n"/>
      <c r="E65" s="20" t="n"/>
      <c r="F65" s="20" t="n"/>
      <c r="G65" s="20" t="n"/>
      <c r="H65" s="22" t="n"/>
      <c r="I65" s="22" t="n"/>
      <c r="J65" s="21" t="n"/>
      <c r="K65" s="20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</row>
    <row r="66" ht="15.75" customHeight="1" s="18">
      <c r="A66" s="20">
        <f>IF(AND(B66="",C66=""),"",ROW()-1)</f>
        <v/>
      </c>
      <c r="B66" s="20" t="n"/>
      <c r="C66" s="21">
        <f>IF(B66="","",VLOOKUP(B66,Projects!$B:$C,2,FALSE()))</f>
        <v/>
      </c>
      <c r="D66" s="21" t="n"/>
      <c r="E66" s="20" t="n"/>
      <c r="F66" s="20" t="n"/>
      <c r="G66" s="20" t="n"/>
      <c r="H66" s="22" t="n"/>
      <c r="I66" s="22" t="n"/>
      <c r="J66" s="21" t="n"/>
      <c r="K66" s="20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</row>
    <row r="67" ht="15.75" customHeight="1" s="18">
      <c r="A67" s="20">
        <f>IF(AND(B67="",C67=""),"",ROW()-1)</f>
        <v/>
      </c>
      <c r="B67" s="20" t="n"/>
      <c r="C67" s="21">
        <f>IF(B67="","",VLOOKUP(B67,Projects!$B:$C,2,FALSE()))</f>
        <v/>
      </c>
      <c r="D67" s="21" t="n"/>
      <c r="E67" s="20" t="n"/>
      <c r="F67" s="20" t="n"/>
      <c r="G67" s="20" t="n"/>
      <c r="H67" s="22" t="n"/>
      <c r="I67" s="22" t="n"/>
      <c r="J67" s="21" t="n"/>
      <c r="K67" s="20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</row>
    <row r="68" ht="15.75" customHeight="1" s="18">
      <c r="A68" s="20">
        <f>IF(AND(B68="",C68=""),"",ROW()-1)</f>
        <v/>
      </c>
      <c r="B68" s="20" t="n"/>
      <c r="C68" s="21">
        <f>IF(B68="","",VLOOKUP(B68,Projects!$B:$C,2,FALSE()))</f>
        <v/>
      </c>
      <c r="D68" s="21" t="n"/>
      <c r="E68" s="20" t="n"/>
      <c r="F68" s="20" t="n"/>
      <c r="G68" s="20" t="n"/>
      <c r="H68" s="22" t="n"/>
      <c r="I68" s="22" t="n"/>
      <c r="J68" s="21" t="n"/>
      <c r="K68" s="20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</row>
    <row r="69" ht="15.75" customHeight="1" s="18">
      <c r="A69" s="20">
        <f>IF(AND(B69="",C69=""),"",ROW()-1)</f>
        <v/>
      </c>
      <c r="B69" s="20" t="n"/>
      <c r="C69" s="21">
        <f>IF(B69="","",VLOOKUP(B69,Projects!$B:$C,2,FALSE()))</f>
        <v/>
      </c>
      <c r="D69" s="21" t="n"/>
      <c r="E69" s="20" t="n"/>
      <c r="F69" s="20" t="n"/>
      <c r="G69" s="20" t="n"/>
      <c r="H69" s="22" t="n"/>
      <c r="I69" s="22" t="n"/>
      <c r="J69" s="21" t="n"/>
      <c r="K69" s="20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</row>
    <row r="70" ht="15.75" customHeight="1" s="18">
      <c r="A70" s="20">
        <f>IF(AND(B70="",C70=""),"",ROW()-1)</f>
        <v/>
      </c>
      <c r="B70" s="20" t="n"/>
      <c r="C70" s="21">
        <f>IF(B70="","",VLOOKUP(B70,Projects!$B:$C,2,FALSE()))</f>
        <v/>
      </c>
      <c r="D70" s="21" t="n"/>
      <c r="E70" s="20" t="n"/>
      <c r="F70" s="20" t="n"/>
      <c r="G70" s="20" t="n"/>
      <c r="H70" s="22" t="n"/>
      <c r="I70" s="22" t="n"/>
      <c r="J70" s="21" t="n"/>
      <c r="K70" s="20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</row>
    <row r="71" ht="15.75" customHeight="1" s="18">
      <c r="A71" s="20">
        <f>IF(AND(B71="",C71=""),"",ROW()-1)</f>
        <v/>
      </c>
      <c r="B71" s="20" t="n"/>
      <c r="C71" s="21">
        <f>IF(B71="","",VLOOKUP(B71,Projects!$B:$C,2,FALSE()))</f>
        <v/>
      </c>
      <c r="D71" s="21" t="n"/>
      <c r="E71" s="20" t="n"/>
      <c r="F71" s="20" t="n"/>
      <c r="G71" s="20" t="n"/>
      <c r="H71" s="22" t="n"/>
      <c r="I71" s="22" t="n"/>
      <c r="J71" s="21" t="n"/>
      <c r="K71" s="20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</row>
    <row r="72" ht="15.75" customHeight="1" s="18">
      <c r="A72" s="20">
        <f>IF(AND(B72="",C72=""),"",ROW()-1)</f>
        <v/>
      </c>
      <c r="B72" s="20" t="n"/>
      <c r="C72" s="21">
        <f>IF(B72="","",VLOOKUP(B72,Projects!$B:$C,2,FALSE()))</f>
        <v/>
      </c>
      <c r="D72" s="21" t="n"/>
      <c r="E72" s="20" t="n"/>
      <c r="F72" s="20" t="n"/>
      <c r="G72" s="20" t="n"/>
      <c r="H72" s="22" t="n"/>
      <c r="I72" s="22" t="n"/>
      <c r="J72" s="21" t="n"/>
      <c r="K72" s="20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</row>
    <row r="73" ht="15.75" customHeight="1" s="18">
      <c r="A73" s="20">
        <f>IF(AND(B73="",C73=""),"",ROW()-1)</f>
        <v/>
      </c>
      <c r="B73" s="20" t="n"/>
      <c r="C73" s="21">
        <f>IF(B73="","",VLOOKUP(B73,Projects!$B:$C,2,FALSE()))</f>
        <v/>
      </c>
      <c r="D73" s="21" t="n"/>
      <c r="E73" s="20" t="n"/>
      <c r="F73" s="20" t="n"/>
      <c r="G73" s="20" t="n"/>
      <c r="H73" s="22" t="n"/>
      <c r="I73" s="22" t="n"/>
      <c r="J73" s="21" t="n"/>
      <c r="K73" s="20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</row>
    <row r="74" ht="15.75" customHeight="1" s="18">
      <c r="A74" s="20">
        <f>IF(AND(B74="",C74=""),"",ROW()-1)</f>
        <v/>
      </c>
      <c r="B74" s="20" t="n"/>
      <c r="C74" s="21">
        <f>IF(B74="","",VLOOKUP(B74,Projects!$B:$C,2,FALSE()))</f>
        <v/>
      </c>
      <c r="D74" s="21" t="n"/>
      <c r="E74" s="20" t="n"/>
      <c r="F74" s="20" t="n"/>
      <c r="G74" s="20" t="n"/>
      <c r="H74" s="22" t="n"/>
      <c r="I74" s="22" t="n"/>
      <c r="J74" s="21" t="n"/>
      <c r="K74" s="20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</row>
    <row r="75" ht="15.75" customHeight="1" s="18">
      <c r="A75" s="20">
        <f>IF(AND(B75="",C75=""),"",ROW()-1)</f>
        <v/>
      </c>
      <c r="B75" s="20" t="n"/>
      <c r="C75" s="21">
        <f>IF(B75="","",VLOOKUP(B75,Projects!$B:$C,2,FALSE()))</f>
        <v/>
      </c>
      <c r="D75" s="21" t="n"/>
      <c r="E75" s="20" t="n"/>
      <c r="F75" s="20" t="n"/>
      <c r="G75" s="20" t="n"/>
      <c r="H75" s="22" t="n"/>
      <c r="I75" s="22" t="n"/>
      <c r="J75" s="21" t="n"/>
      <c r="K75" s="20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</row>
    <row r="76" ht="15.75" customHeight="1" s="18">
      <c r="A76" s="20">
        <f>IF(AND(B76="",C76=""),"",ROW()-1)</f>
        <v/>
      </c>
      <c r="B76" s="20" t="n"/>
      <c r="C76" s="21">
        <f>IF(B76="","",VLOOKUP(B76,Projects!$B:$C,2,FALSE()))</f>
        <v/>
      </c>
      <c r="D76" s="21" t="n"/>
      <c r="E76" s="20" t="n"/>
      <c r="F76" s="20" t="n"/>
      <c r="G76" s="20" t="n"/>
      <c r="H76" s="22" t="n"/>
      <c r="I76" s="22" t="n"/>
      <c r="J76" s="21" t="n"/>
      <c r="K76" s="20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</row>
    <row r="77" ht="15.75" customHeight="1" s="18">
      <c r="A77" s="20">
        <f>IF(AND(B77="",C77=""),"",ROW()-1)</f>
        <v/>
      </c>
      <c r="B77" s="20" t="n"/>
      <c r="C77" s="21">
        <f>IF(B77="","",VLOOKUP(B77,Projects!$B:$C,2,FALSE()))</f>
        <v/>
      </c>
      <c r="D77" s="21" t="n"/>
      <c r="E77" s="20" t="n"/>
      <c r="F77" s="20" t="n"/>
      <c r="G77" s="20" t="n"/>
      <c r="H77" s="22" t="n"/>
      <c r="I77" s="22" t="n"/>
      <c r="J77" s="21" t="n"/>
      <c r="K77" s="20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</row>
    <row r="78" ht="15.75" customHeight="1" s="18">
      <c r="A78" s="20">
        <f>IF(AND(B78="",C78=""),"",ROW()-1)</f>
        <v/>
      </c>
      <c r="B78" s="20" t="n"/>
      <c r="C78" s="21">
        <f>IF(B78="","",VLOOKUP(B78,Projects!$B:$C,2,FALSE()))</f>
        <v/>
      </c>
      <c r="D78" s="21" t="n"/>
      <c r="E78" s="20" t="n"/>
      <c r="F78" s="20" t="n"/>
      <c r="G78" s="20" t="n"/>
      <c r="H78" s="22" t="n"/>
      <c r="I78" s="22" t="n"/>
      <c r="J78" s="21" t="n"/>
      <c r="K78" s="20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</row>
    <row r="79" ht="15.75" customHeight="1" s="18">
      <c r="A79" s="20">
        <f>IF(AND(B79="",C79=""),"",ROW()-1)</f>
        <v/>
      </c>
      <c r="B79" s="20" t="n"/>
      <c r="C79" s="21">
        <f>IF(B79="","",VLOOKUP(B79,Projects!$B:$C,2,FALSE()))</f>
        <v/>
      </c>
      <c r="D79" s="21" t="n"/>
      <c r="E79" s="20" t="n"/>
      <c r="F79" s="20" t="n"/>
      <c r="G79" s="20" t="n"/>
      <c r="H79" s="22" t="n"/>
      <c r="I79" s="22" t="n"/>
      <c r="J79" s="21" t="n"/>
      <c r="K79" s="20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</row>
    <row r="80" ht="15.75" customHeight="1" s="18">
      <c r="A80" s="20">
        <f>IF(AND(B80="",C80=""),"",ROW()-1)</f>
        <v/>
      </c>
      <c r="B80" s="20" t="n"/>
      <c r="C80" s="21">
        <f>IF(B80="","",VLOOKUP(B80,Projects!$B:$C,2,FALSE()))</f>
        <v/>
      </c>
      <c r="D80" s="21" t="n"/>
      <c r="E80" s="20" t="n"/>
      <c r="F80" s="20" t="n"/>
      <c r="G80" s="20" t="n"/>
      <c r="H80" s="22" t="n"/>
      <c r="I80" s="22" t="n"/>
      <c r="J80" s="21" t="n"/>
      <c r="K80" s="20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</row>
    <row r="81" ht="15.75" customHeight="1" s="18">
      <c r="A81" s="20">
        <f>IF(AND(B81="",C81=""),"",ROW()-1)</f>
        <v/>
      </c>
      <c r="B81" s="20" t="n"/>
      <c r="C81" s="21">
        <f>IF(B81="","",VLOOKUP(B81,Projects!$B:$C,2,FALSE()))</f>
        <v/>
      </c>
      <c r="D81" s="21" t="n"/>
      <c r="E81" s="20" t="n"/>
      <c r="F81" s="20" t="n"/>
      <c r="G81" s="20" t="n"/>
      <c r="H81" s="22" t="n"/>
      <c r="I81" s="22" t="n"/>
      <c r="J81" s="21" t="n"/>
      <c r="K81" s="20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</row>
    <row r="82" ht="15.75" customHeight="1" s="18">
      <c r="A82" s="20">
        <f>IF(AND(B82="",C82=""),"",ROW()-1)</f>
        <v/>
      </c>
      <c r="B82" s="20" t="n"/>
      <c r="C82" s="21">
        <f>IF(B82="","",VLOOKUP(B82,Projects!$B:$C,2,FALSE()))</f>
        <v/>
      </c>
      <c r="D82" s="21" t="n"/>
      <c r="E82" s="20" t="n"/>
      <c r="F82" s="20" t="n"/>
      <c r="G82" s="20" t="n"/>
      <c r="H82" s="22" t="n"/>
      <c r="I82" s="22" t="n"/>
      <c r="J82" s="21" t="n"/>
      <c r="K82" s="20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</row>
    <row r="83" ht="15.75" customHeight="1" s="18">
      <c r="A83" s="20">
        <f>IF(AND(B83="",C83=""),"",ROW()-1)</f>
        <v/>
      </c>
      <c r="B83" s="20" t="n"/>
      <c r="C83" s="21">
        <f>IF(B83="","",VLOOKUP(B83,Projects!$B:$C,2,FALSE()))</f>
        <v/>
      </c>
      <c r="D83" s="21" t="n"/>
      <c r="E83" s="20" t="n"/>
      <c r="F83" s="20" t="n"/>
      <c r="G83" s="20" t="n"/>
      <c r="H83" s="22" t="n"/>
      <c r="I83" s="22" t="n"/>
      <c r="J83" s="21" t="n"/>
      <c r="K83" s="20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</row>
    <row r="84" ht="15.75" customHeight="1" s="18">
      <c r="A84" s="20">
        <f>IF(AND(B84="",C84=""),"",ROW()-1)</f>
        <v/>
      </c>
      <c r="B84" s="20" t="n"/>
      <c r="C84" s="21">
        <f>IF(B84="","",VLOOKUP(B84,Projects!$B:$C,2,FALSE()))</f>
        <v/>
      </c>
      <c r="D84" s="21" t="n"/>
      <c r="E84" s="20" t="n"/>
      <c r="F84" s="20" t="n"/>
      <c r="G84" s="20" t="n"/>
      <c r="H84" s="22" t="n"/>
      <c r="I84" s="22" t="n"/>
      <c r="J84" s="21" t="n"/>
      <c r="K84" s="20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</row>
    <row r="85" ht="15.75" customHeight="1" s="18">
      <c r="A85" s="20">
        <f>IF(AND(B85="",C85=""),"",ROW()-1)</f>
        <v/>
      </c>
      <c r="B85" s="20" t="n"/>
      <c r="C85" s="21">
        <f>IF(B85="","",VLOOKUP(B85,Projects!$B:$C,2,FALSE()))</f>
        <v/>
      </c>
      <c r="D85" s="21" t="n"/>
      <c r="E85" s="20" t="n"/>
      <c r="F85" s="20" t="n"/>
      <c r="G85" s="20" t="n"/>
      <c r="H85" s="22" t="n"/>
      <c r="I85" s="22" t="n"/>
      <c r="J85" s="21" t="n"/>
      <c r="K85" s="20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</row>
    <row r="86" ht="15.75" customHeight="1" s="18">
      <c r="A86" s="20">
        <f>IF(AND(B86="",C86=""),"",ROW()-1)</f>
        <v/>
      </c>
      <c r="B86" s="20" t="n"/>
      <c r="C86" s="21">
        <f>IF(B86="","",VLOOKUP(B86,Projects!$B:$C,2,FALSE()))</f>
        <v/>
      </c>
      <c r="D86" s="21" t="n"/>
      <c r="E86" s="20" t="n"/>
      <c r="F86" s="20" t="n"/>
      <c r="G86" s="20" t="n"/>
      <c r="H86" s="22" t="n"/>
      <c r="I86" s="22" t="n"/>
      <c r="J86" s="21" t="n"/>
      <c r="K86" s="20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</row>
    <row r="87" ht="15.75" customHeight="1" s="18">
      <c r="A87" s="20">
        <f>IF(AND(B87="",C87=""),"",ROW()-1)</f>
        <v/>
      </c>
      <c r="B87" s="20" t="n"/>
      <c r="C87" s="21">
        <f>IF(B87="","",VLOOKUP(B87,Projects!$B:$C,2,FALSE()))</f>
        <v/>
      </c>
      <c r="D87" s="21" t="n"/>
      <c r="E87" s="20" t="n"/>
      <c r="F87" s="20" t="n"/>
      <c r="G87" s="20" t="n"/>
      <c r="H87" s="22" t="n"/>
      <c r="I87" s="22" t="n"/>
      <c r="J87" s="21" t="n"/>
      <c r="K87" s="20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</row>
    <row r="88" ht="15.75" customHeight="1" s="18">
      <c r="A88" s="20">
        <f>IF(AND(B88="",C88=""),"",ROW()-1)</f>
        <v/>
      </c>
      <c r="B88" s="20" t="n"/>
      <c r="C88" s="21">
        <f>IF(B88="","",VLOOKUP(B88,Projects!$B:$C,2,FALSE()))</f>
        <v/>
      </c>
      <c r="D88" s="21" t="n"/>
      <c r="E88" s="20" t="n"/>
      <c r="F88" s="20" t="n"/>
      <c r="G88" s="20" t="n"/>
      <c r="H88" s="22" t="n"/>
      <c r="I88" s="22" t="n"/>
      <c r="J88" s="21" t="n"/>
      <c r="K88" s="20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</row>
    <row r="89" ht="15.75" customHeight="1" s="18">
      <c r="A89" s="20">
        <f>IF(AND(B89="",C89=""),"",ROW()-1)</f>
        <v/>
      </c>
      <c r="B89" s="20" t="n"/>
      <c r="C89" s="21">
        <f>IF(B89="","",VLOOKUP(B89,Projects!$B:$C,2,FALSE()))</f>
        <v/>
      </c>
      <c r="D89" s="21" t="n"/>
      <c r="E89" s="20" t="n"/>
      <c r="F89" s="20" t="n"/>
      <c r="G89" s="20" t="n"/>
      <c r="H89" s="22" t="n"/>
      <c r="I89" s="22" t="n"/>
      <c r="J89" s="21" t="n"/>
      <c r="K89" s="20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</row>
    <row r="90" ht="15.75" customHeight="1" s="18">
      <c r="A90" s="20">
        <f>IF(AND(B90="",C90=""),"",ROW()-1)</f>
        <v/>
      </c>
      <c r="B90" s="20" t="n"/>
      <c r="C90" s="21">
        <f>IF(B90="","",VLOOKUP(B90,Projects!$B:$C,2,FALSE()))</f>
        <v/>
      </c>
      <c r="D90" s="21" t="n"/>
      <c r="E90" s="20" t="n"/>
      <c r="F90" s="20" t="n"/>
      <c r="G90" s="20" t="n"/>
      <c r="H90" s="22" t="n"/>
      <c r="I90" s="22" t="n"/>
      <c r="J90" s="21" t="n"/>
      <c r="K90" s="20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</row>
    <row r="91" ht="15.75" customHeight="1" s="18">
      <c r="A91" s="20">
        <f>IF(AND(B91="",C91=""),"",ROW()-1)</f>
        <v/>
      </c>
      <c r="B91" s="20" t="n"/>
      <c r="C91" s="21">
        <f>IF(B91="","",VLOOKUP(B91,Projects!$B:$C,2,FALSE()))</f>
        <v/>
      </c>
      <c r="D91" s="21" t="n"/>
      <c r="E91" s="20" t="n"/>
      <c r="F91" s="20" t="n"/>
      <c r="G91" s="20" t="n"/>
      <c r="H91" s="22" t="n"/>
      <c r="I91" s="22" t="n"/>
      <c r="J91" s="21" t="n"/>
      <c r="K91" s="20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</row>
    <row r="92" ht="15.75" customHeight="1" s="18">
      <c r="A92" s="20">
        <f>IF(AND(B92="",C92=""),"",ROW()-1)</f>
        <v/>
      </c>
      <c r="B92" s="20" t="n"/>
      <c r="C92" s="21">
        <f>IF(B92="","",VLOOKUP(B92,Projects!$B:$C,2,FALSE()))</f>
        <v/>
      </c>
      <c r="D92" s="21" t="n"/>
      <c r="E92" s="20" t="n"/>
      <c r="F92" s="20" t="n"/>
      <c r="G92" s="20" t="n"/>
      <c r="H92" s="22" t="n"/>
      <c r="I92" s="22" t="n"/>
      <c r="J92" s="21" t="n"/>
      <c r="K92" s="20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</row>
    <row r="93" ht="15.75" customHeight="1" s="18">
      <c r="A93" s="20">
        <f>IF(AND(B93="",C93=""),"",ROW()-1)</f>
        <v/>
      </c>
      <c r="B93" s="20" t="n"/>
      <c r="C93" s="21">
        <f>IF(B93="","",VLOOKUP(B93,Projects!$B:$C,2,FALSE()))</f>
        <v/>
      </c>
      <c r="D93" s="21" t="n"/>
      <c r="E93" s="20" t="n"/>
      <c r="F93" s="20" t="n"/>
      <c r="G93" s="20" t="n"/>
      <c r="H93" s="22" t="n"/>
      <c r="I93" s="22" t="n"/>
      <c r="J93" s="21" t="n"/>
      <c r="K93" s="20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</row>
    <row r="94" ht="15.75" customHeight="1" s="18">
      <c r="A94" s="20">
        <f>IF(AND(B94="",C94=""),"",ROW()-1)</f>
        <v/>
      </c>
      <c r="B94" s="20" t="n"/>
      <c r="C94" s="21">
        <f>IF(B94="","",VLOOKUP(B94,Projects!$B:$C,2,FALSE()))</f>
        <v/>
      </c>
      <c r="D94" s="21" t="n"/>
      <c r="E94" s="20" t="n"/>
      <c r="F94" s="20" t="n"/>
      <c r="G94" s="20" t="n"/>
      <c r="H94" s="22" t="n"/>
      <c r="I94" s="22" t="n"/>
      <c r="J94" s="21" t="n"/>
      <c r="K94" s="20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</row>
    <row r="95" ht="15.75" customHeight="1" s="18">
      <c r="A95" s="20">
        <f>IF(AND(B95="",C95=""),"",ROW()-1)</f>
        <v/>
      </c>
      <c r="B95" s="20" t="n"/>
      <c r="C95" s="21">
        <f>IF(B95="","",VLOOKUP(B95,Projects!$B:$C,2,FALSE()))</f>
        <v/>
      </c>
      <c r="D95" s="21" t="n"/>
      <c r="E95" s="20" t="n"/>
      <c r="F95" s="20" t="n"/>
      <c r="G95" s="20" t="n"/>
      <c r="H95" s="22" t="n"/>
      <c r="I95" s="22" t="n"/>
      <c r="J95" s="21" t="n"/>
      <c r="K95" s="20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</row>
    <row r="96" ht="15.75" customHeight="1" s="18">
      <c r="A96" s="20">
        <f>IF(AND(B96="",C96=""),"",ROW()-1)</f>
        <v/>
      </c>
      <c r="B96" s="20" t="n"/>
      <c r="C96" s="21">
        <f>IF(B96="","",VLOOKUP(B96,Projects!$B:$C,2,FALSE()))</f>
        <v/>
      </c>
      <c r="D96" s="21" t="n"/>
      <c r="E96" s="20" t="n"/>
      <c r="F96" s="20" t="n"/>
      <c r="G96" s="20" t="n"/>
      <c r="H96" s="22" t="n"/>
      <c r="I96" s="22" t="n"/>
      <c r="J96" s="21" t="n"/>
      <c r="K96" s="20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</row>
    <row r="97" ht="15.75" customHeight="1" s="18">
      <c r="A97" s="20">
        <f>IF(AND(B97="",C97=""),"",ROW()-1)</f>
        <v/>
      </c>
      <c r="B97" s="20" t="n"/>
      <c r="C97" s="21">
        <f>IF(B97="","",VLOOKUP(B97,Projects!$B:$C,2,FALSE()))</f>
        <v/>
      </c>
      <c r="D97" s="21" t="n"/>
      <c r="E97" s="20" t="n"/>
      <c r="F97" s="20" t="n"/>
      <c r="G97" s="20" t="n"/>
      <c r="H97" s="22" t="n"/>
      <c r="I97" s="22" t="n"/>
      <c r="J97" s="21" t="n"/>
      <c r="K97" s="20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</row>
    <row r="98" ht="15.75" customHeight="1" s="18">
      <c r="A98" s="20">
        <f>IF(AND(B98="",C98=""),"",ROW()-1)</f>
        <v/>
      </c>
      <c r="B98" s="20" t="n"/>
      <c r="C98" s="21">
        <f>IF(B98="","",VLOOKUP(B98,Projects!$B:$C,2,FALSE()))</f>
        <v/>
      </c>
      <c r="D98" s="21" t="n"/>
      <c r="E98" s="20" t="n"/>
      <c r="F98" s="20" t="n"/>
      <c r="G98" s="20" t="n"/>
      <c r="H98" s="22" t="n"/>
      <c r="I98" s="22" t="n"/>
      <c r="J98" s="21" t="n"/>
      <c r="K98" s="20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</row>
    <row r="99" ht="15.75" customHeight="1" s="18">
      <c r="A99" s="20">
        <f>IF(AND(B99="",C99=""),"",ROW()-1)</f>
        <v/>
      </c>
      <c r="B99" s="20" t="n"/>
      <c r="C99" s="21">
        <f>IF(B99="","",VLOOKUP(B99,Projects!$B:$C,2,FALSE()))</f>
        <v/>
      </c>
      <c r="D99" s="21" t="n"/>
      <c r="E99" s="20" t="n"/>
      <c r="F99" s="20" t="n"/>
      <c r="G99" s="20" t="n"/>
      <c r="H99" s="22" t="n"/>
      <c r="I99" s="22" t="n"/>
      <c r="J99" s="21" t="n"/>
      <c r="K99" s="20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</row>
    <row r="100" ht="15.75" customHeight="1" s="18">
      <c r="A100" s="20">
        <f>IF(AND(B100="",C100=""),"",ROW()-1)</f>
        <v/>
      </c>
      <c r="B100" s="20" t="n"/>
      <c r="C100" s="21">
        <f>IF(B100="","",VLOOKUP(B100,Projects!$B:$C,2,FALSE()))</f>
        <v/>
      </c>
      <c r="D100" s="21" t="n"/>
      <c r="E100" s="20" t="n"/>
      <c r="F100" s="20" t="n"/>
      <c r="G100" s="20" t="n"/>
      <c r="H100" s="22" t="n"/>
      <c r="I100" s="22" t="n"/>
      <c r="J100" s="21" t="n"/>
      <c r="K100" s="20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</row>
    <row r="101" ht="15.75" customHeight="1" s="18">
      <c r="A101" s="20">
        <f>IF(AND(B101="",C101=""),"",ROW()-1)</f>
        <v/>
      </c>
      <c r="B101" s="20" t="n"/>
      <c r="C101" s="21">
        <f>IF(B101="","",VLOOKUP(B101,Projects!$B:$C,2,FALSE()))</f>
        <v/>
      </c>
      <c r="D101" s="21" t="n"/>
      <c r="E101" s="20" t="n"/>
      <c r="F101" s="20" t="n"/>
      <c r="G101" s="20" t="n"/>
      <c r="H101" s="22" t="n"/>
      <c r="I101" s="22" t="n"/>
      <c r="J101" s="21" t="n"/>
      <c r="K101" s="20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</row>
    <row r="102" ht="15.75" customHeight="1" s="18">
      <c r="A102" s="20">
        <f>IF(AND(B102="",C102=""),"",ROW()-1)</f>
        <v/>
      </c>
      <c r="B102" s="20" t="n"/>
      <c r="C102" s="21">
        <f>IF(B102="","",VLOOKUP(B102,Projects!$B:$C,2,FALSE()))</f>
        <v/>
      </c>
      <c r="D102" s="21" t="n"/>
      <c r="E102" s="20" t="n"/>
      <c r="F102" s="20" t="n"/>
      <c r="G102" s="20" t="n"/>
      <c r="H102" s="22" t="n"/>
      <c r="I102" s="22" t="n"/>
      <c r="J102" s="21" t="n"/>
      <c r="K102" s="20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</row>
    <row r="103" ht="15.75" customHeight="1" s="18">
      <c r="A103" s="20">
        <f>IF(AND(B103="",C103=""),"",ROW()-1)</f>
        <v/>
      </c>
      <c r="B103" s="20" t="n"/>
      <c r="C103" s="21">
        <f>IF(B103="","",VLOOKUP(B103,Projects!$B:$C,2,FALSE()))</f>
        <v/>
      </c>
      <c r="D103" s="21" t="n"/>
      <c r="E103" s="20" t="n"/>
      <c r="F103" s="20" t="n"/>
      <c r="G103" s="20" t="n"/>
      <c r="H103" s="22" t="n"/>
      <c r="I103" s="22" t="n"/>
      <c r="J103" s="21" t="n"/>
      <c r="K103" s="20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</row>
    <row r="104" ht="15.75" customHeight="1" s="18">
      <c r="A104" s="20">
        <f>IF(AND(B104="",C104=""),"",ROW()-1)</f>
        <v/>
      </c>
      <c r="B104" s="20" t="n"/>
      <c r="C104" s="21">
        <f>IF(B104="","",VLOOKUP(B104,Projects!$B:$C,2,FALSE()))</f>
        <v/>
      </c>
      <c r="D104" s="21" t="n"/>
      <c r="E104" s="20" t="n"/>
      <c r="F104" s="20" t="n"/>
      <c r="G104" s="20" t="n"/>
      <c r="H104" s="22" t="n"/>
      <c r="I104" s="22" t="n"/>
      <c r="J104" s="21" t="n"/>
      <c r="K104" s="20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</row>
    <row r="105" ht="15.75" customHeight="1" s="18">
      <c r="A105" s="20">
        <f>IF(AND(B105="",C105=""),"",ROW()-1)</f>
        <v/>
      </c>
      <c r="B105" s="20" t="n"/>
      <c r="C105" s="21">
        <f>IF(B105="","",VLOOKUP(B105,Projects!$B:$C,2,FALSE()))</f>
        <v/>
      </c>
      <c r="D105" s="21" t="n"/>
      <c r="E105" s="20" t="n"/>
      <c r="F105" s="20" t="n"/>
      <c r="G105" s="20" t="n"/>
      <c r="H105" s="22" t="n"/>
      <c r="I105" s="22" t="n"/>
      <c r="J105" s="21" t="n"/>
      <c r="K105" s="20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</row>
    <row r="106" ht="15.75" customHeight="1" s="18">
      <c r="A106" s="20">
        <f>IF(AND(B106="",C106=""),"",ROW()-1)</f>
        <v/>
      </c>
      <c r="B106" s="20" t="n"/>
      <c r="C106" s="21">
        <f>IF(B106="","",VLOOKUP(B106,Projects!$B:$C,2,FALSE()))</f>
        <v/>
      </c>
      <c r="D106" s="21" t="n"/>
      <c r="E106" s="20" t="n"/>
      <c r="F106" s="20" t="n"/>
      <c r="G106" s="20" t="n"/>
      <c r="H106" s="22" t="n"/>
      <c r="I106" s="22" t="n"/>
      <c r="J106" s="21" t="n"/>
      <c r="K106" s="20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</row>
    <row r="107" ht="15.75" customHeight="1" s="18">
      <c r="A107" s="20">
        <f>IF(AND(B107="",C107=""),"",ROW()-1)</f>
        <v/>
      </c>
      <c r="B107" s="20" t="n"/>
      <c r="C107" s="21">
        <f>IF(B107="","",VLOOKUP(B107,Projects!$B:$C,2,FALSE()))</f>
        <v/>
      </c>
      <c r="D107" s="21" t="n"/>
      <c r="E107" s="20" t="n"/>
      <c r="F107" s="20" t="n"/>
      <c r="G107" s="20" t="n"/>
      <c r="H107" s="22" t="n"/>
      <c r="I107" s="22" t="n"/>
      <c r="J107" s="21" t="n"/>
      <c r="K107" s="20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</row>
    <row r="108" ht="15.75" customHeight="1" s="18">
      <c r="A108" s="20">
        <f>IF(AND(B108="",C108=""),"",ROW()-1)</f>
        <v/>
      </c>
      <c r="B108" s="20" t="n"/>
      <c r="C108" s="21">
        <f>IF(B108="","",VLOOKUP(B108,Projects!$B:$C,2,FALSE()))</f>
        <v/>
      </c>
      <c r="D108" s="21" t="n"/>
      <c r="E108" s="20" t="n"/>
      <c r="F108" s="20" t="n"/>
      <c r="G108" s="20" t="n"/>
      <c r="H108" s="22" t="n"/>
      <c r="I108" s="22" t="n"/>
      <c r="J108" s="21" t="n"/>
      <c r="K108" s="20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</row>
    <row r="109" ht="15.75" customHeight="1" s="18">
      <c r="A109" s="20">
        <f>IF(AND(B109="",C109=""),"",ROW()-1)</f>
        <v/>
      </c>
      <c r="B109" s="20" t="n"/>
      <c r="C109" s="21">
        <f>IF(B109="","",VLOOKUP(B109,Projects!$B:$C,2,FALSE()))</f>
        <v/>
      </c>
      <c r="D109" s="21" t="n"/>
      <c r="E109" s="20" t="n"/>
      <c r="F109" s="20" t="n"/>
      <c r="G109" s="20" t="n"/>
      <c r="H109" s="22" t="n"/>
      <c r="I109" s="22" t="n"/>
      <c r="J109" s="21" t="n"/>
      <c r="K109" s="20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</row>
    <row r="110" ht="15.75" customHeight="1" s="18">
      <c r="A110" s="20">
        <f>IF(AND(B110="",C110=""),"",ROW()-1)</f>
        <v/>
      </c>
      <c r="B110" s="20" t="n"/>
      <c r="C110" s="21">
        <f>IF(B110="","",VLOOKUP(B110,Projects!$B:$C,2,FALSE()))</f>
        <v/>
      </c>
      <c r="D110" s="21" t="n"/>
      <c r="E110" s="20" t="n"/>
      <c r="F110" s="20" t="n"/>
      <c r="G110" s="20" t="n"/>
      <c r="H110" s="22" t="n"/>
      <c r="I110" s="22" t="n"/>
      <c r="J110" s="21" t="n"/>
      <c r="K110" s="20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</row>
    <row r="111" ht="15.75" customHeight="1" s="18">
      <c r="A111" s="20">
        <f>IF(AND(B111="",C111=""),"",ROW()-1)</f>
        <v/>
      </c>
      <c r="B111" s="20" t="n"/>
      <c r="C111" s="21">
        <f>IF(B111="","",VLOOKUP(B111,Projects!$B:$C,2,FALSE()))</f>
        <v/>
      </c>
      <c r="D111" s="21" t="n"/>
      <c r="E111" s="20" t="n"/>
      <c r="F111" s="20" t="n"/>
      <c r="G111" s="20" t="n"/>
      <c r="H111" s="22" t="n"/>
      <c r="I111" s="22" t="n"/>
      <c r="J111" s="21" t="n"/>
      <c r="K111" s="20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</row>
    <row r="112" ht="15.75" customHeight="1" s="18">
      <c r="A112" s="20">
        <f>IF(AND(B112="",C112=""),"",ROW()-1)</f>
        <v/>
      </c>
      <c r="B112" s="20" t="n"/>
      <c r="C112" s="21">
        <f>IF(B112="","",VLOOKUP(B112,Projects!$B:$C,2,FALSE()))</f>
        <v/>
      </c>
      <c r="D112" s="21" t="n"/>
      <c r="E112" s="20" t="n"/>
      <c r="F112" s="20" t="n"/>
      <c r="G112" s="20" t="n"/>
      <c r="H112" s="22" t="n"/>
      <c r="I112" s="22" t="n"/>
      <c r="J112" s="21" t="n"/>
      <c r="K112" s="20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</row>
    <row r="113" ht="15.75" customHeight="1" s="18">
      <c r="A113" s="20">
        <f>IF(AND(B113="",C113=""),"",ROW()-1)</f>
        <v/>
      </c>
      <c r="B113" s="20" t="n"/>
      <c r="C113" s="21">
        <f>IF(B113="","",VLOOKUP(B113,Projects!$B:$C,2,FALSE()))</f>
        <v/>
      </c>
      <c r="D113" s="21" t="n"/>
      <c r="E113" s="20" t="n"/>
      <c r="F113" s="20" t="n"/>
      <c r="G113" s="20" t="n"/>
      <c r="H113" s="22" t="n"/>
      <c r="I113" s="22" t="n"/>
      <c r="J113" s="21" t="n"/>
      <c r="K113" s="20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</row>
    <row r="114" ht="15.75" customHeight="1" s="18">
      <c r="A114" s="20">
        <f>IF(AND(B114="",C114=""),"",ROW()-1)</f>
        <v/>
      </c>
      <c r="B114" s="20" t="n"/>
      <c r="C114" s="21">
        <f>IF(B114="","",VLOOKUP(B114,Projects!$B:$C,2,FALSE()))</f>
        <v/>
      </c>
      <c r="D114" s="21" t="n"/>
      <c r="E114" s="20" t="n"/>
      <c r="F114" s="20" t="n"/>
      <c r="G114" s="20" t="n"/>
      <c r="H114" s="22" t="n"/>
      <c r="I114" s="22" t="n"/>
      <c r="J114" s="21" t="n"/>
      <c r="K114" s="20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</row>
    <row r="115" ht="15.75" customHeight="1" s="18">
      <c r="A115" s="20">
        <f>IF(AND(B115="",C115=""),"",ROW()-1)</f>
        <v/>
      </c>
      <c r="B115" s="20" t="n"/>
      <c r="C115" s="21">
        <f>IF(B115="","",VLOOKUP(B115,Projects!$B:$C,2,FALSE()))</f>
        <v/>
      </c>
      <c r="D115" s="21" t="n"/>
      <c r="E115" s="20" t="n"/>
      <c r="F115" s="20" t="n"/>
      <c r="G115" s="20" t="n"/>
      <c r="H115" s="22" t="n"/>
      <c r="I115" s="22" t="n"/>
      <c r="J115" s="21" t="n"/>
      <c r="K115" s="20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</row>
    <row r="116" ht="15.75" customHeight="1" s="18">
      <c r="A116" s="20">
        <f>IF(AND(B116="",C116=""),"",ROW()-1)</f>
        <v/>
      </c>
      <c r="B116" s="20" t="n"/>
      <c r="C116" s="21">
        <f>IF(B116="","",VLOOKUP(B116,Projects!$B:$C,2,FALSE()))</f>
        <v/>
      </c>
      <c r="D116" s="21" t="n"/>
      <c r="E116" s="20" t="n"/>
      <c r="F116" s="20" t="n"/>
      <c r="G116" s="20" t="n"/>
      <c r="H116" s="22" t="n"/>
      <c r="I116" s="22" t="n"/>
      <c r="J116" s="21" t="n"/>
      <c r="K116" s="20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</row>
    <row r="117" ht="15.75" customHeight="1" s="18">
      <c r="A117" s="20">
        <f>IF(AND(B117="",C117=""),"",ROW()-1)</f>
        <v/>
      </c>
      <c r="B117" s="20" t="n"/>
      <c r="C117" s="21">
        <f>IF(B117="","",VLOOKUP(B117,Projects!$B:$C,2,FALSE()))</f>
        <v/>
      </c>
      <c r="D117" s="21" t="n"/>
      <c r="E117" s="20" t="n"/>
      <c r="F117" s="20" t="n"/>
      <c r="G117" s="20" t="n"/>
      <c r="H117" s="22" t="n"/>
      <c r="I117" s="22" t="n"/>
      <c r="J117" s="21" t="n"/>
      <c r="K117" s="20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</row>
    <row r="118" ht="15.75" customHeight="1" s="18">
      <c r="A118" s="20">
        <f>IF(AND(B118="",C118=""),"",ROW()-1)</f>
        <v/>
      </c>
      <c r="B118" s="20" t="n"/>
      <c r="C118" s="21">
        <f>IF(B118="","",VLOOKUP(B118,Projects!$B:$C,2,FALSE()))</f>
        <v/>
      </c>
      <c r="D118" s="21" t="n"/>
      <c r="E118" s="20" t="n"/>
      <c r="F118" s="20" t="n"/>
      <c r="G118" s="20" t="n"/>
      <c r="H118" s="22" t="n"/>
      <c r="I118" s="22" t="n"/>
      <c r="J118" s="21" t="n"/>
      <c r="K118" s="20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</row>
    <row r="119" ht="15.75" customHeight="1" s="18">
      <c r="A119" s="20">
        <f>IF(AND(B119="",C119=""),"",ROW()-1)</f>
        <v/>
      </c>
      <c r="B119" s="20" t="n"/>
      <c r="C119" s="21">
        <f>IF(B119="","",VLOOKUP(B119,Projects!$B:$C,2,FALSE()))</f>
        <v/>
      </c>
      <c r="D119" s="21" t="n"/>
      <c r="E119" s="20" t="n"/>
      <c r="F119" s="20" t="n"/>
      <c r="G119" s="20" t="n"/>
      <c r="H119" s="22" t="n"/>
      <c r="I119" s="22" t="n"/>
      <c r="J119" s="21" t="n"/>
      <c r="K119" s="20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</row>
    <row r="120" ht="15.75" customHeight="1" s="18">
      <c r="A120" s="20">
        <f>IF(AND(B120="",C120=""),"",ROW()-1)</f>
        <v/>
      </c>
      <c r="B120" s="20" t="n"/>
      <c r="C120" s="21">
        <f>IF(B120="","",VLOOKUP(B120,Projects!$B:$C,2,FALSE()))</f>
        <v/>
      </c>
      <c r="D120" s="21" t="n"/>
      <c r="E120" s="20" t="n"/>
      <c r="F120" s="20" t="n"/>
      <c r="G120" s="20" t="n"/>
      <c r="H120" s="22" t="n"/>
      <c r="I120" s="22" t="n"/>
      <c r="J120" s="21" t="n"/>
      <c r="K120" s="20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</row>
    <row r="121" ht="15.75" customHeight="1" s="18">
      <c r="A121" s="20">
        <f>IF(AND(B121="",C121=""),"",ROW()-1)</f>
        <v/>
      </c>
      <c r="B121" s="20" t="n"/>
      <c r="C121" s="21">
        <f>IF(B121="","",VLOOKUP(B121,Projects!$B:$C,2,FALSE()))</f>
        <v/>
      </c>
      <c r="D121" s="21" t="n"/>
      <c r="E121" s="20" t="n"/>
      <c r="F121" s="20" t="n"/>
      <c r="G121" s="20" t="n"/>
      <c r="H121" s="22" t="n"/>
      <c r="I121" s="22" t="n"/>
      <c r="J121" s="21" t="n"/>
      <c r="K121" s="20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</row>
    <row r="122" ht="15.75" customHeight="1" s="18">
      <c r="A122" s="20">
        <f>IF(AND(B122="",C122=""),"",ROW()-1)</f>
        <v/>
      </c>
      <c r="B122" s="20" t="n"/>
      <c r="C122" s="21">
        <f>IF(B122="","",VLOOKUP(B122,Projects!$B:$C,2,FALSE()))</f>
        <v/>
      </c>
      <c r="D122" s="21" t="n"/>
      <c r="E122" s="20" t="n"/>
      <c r="F122" s="20" t="n"/>
      <c r="G122" s="20" t="n"/>
      <c r="H122" s="22" t="n"/>
      <c r="I122" s="22" t="n"/>
      <c r="J122" s="21" t="n"/>
      <c r="K122" s="20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</row>
    <row r="123" ht="15.75" customHeight="1" s="18">
      <c r="A123" s="20">
        <f>IF(AND(B123="",C123=""),"",ROW()-1)</f>
        <v/>
      </c>
      <c r="B123" s="20" t="n"/>
      <c r="C123" s="21">
        <f>IF(B123="","",VLOOKUP(B123,Projects!$B:$C,2,FALSE()))</f>
        <v/>
      </c>
      <c r="D123" s="21" t="n"/>
      <c r="E123" s="20" t="n"/>
      <c r="F123" s="20" t="n"/>
      <c r="G123" s="20" t="n"/>
      <c r="H123" s="22" t="n"/>
      <c r="I123" s="22" t="n"/>
      <c r="J123" s="21" t="n"/>
      <c r="K123" s="20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</row>
    <row r="124" ht="15.75" customHeight="1" s="18">
      <c r="A124" s="20">
        <f>IF(AND(B124="",C124=""),"",ROW()-1)</f>
        <v/>
      </c>
      <c r="B124" s="20" t="n"/>
      <c r="C124" s="21">
        <f>IF(B124="","",VLOOKUP(B124,Projects!$B:$C,2,FALSE()))</f>
        <v/>
      </c>
      <c r="D124" s="21" t="n"/>
      <c r="E124" s="20" t="n"/>
      <c r="F124" s="20" t="n"/>
      <c r="G124" s="20" t="n"/>
      <c r="H124" s="22" t="n"/>
      <c r="I124" s="22" t="n"/>
      <c r="J124" s="21" t="n"/>
      <c r="K124" s="20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</row>
    <row r="125" ht="15.75" customHeight="1" s="18">
      <c r="A125" s="20">
        <f>IF(AND(B125="",C125=""),"",ROW()-1)</f>
        <v/>
      </c>
      <c r="B125" s="20" t="n"/>
      <c r="C125" s="21">
        <f>IF(B125="","",VLOOKUP(B125,Projects!$B:$C,2,FALSE()))</f>
        <v/>
      </c>
      <c r="D125" s="21" t="n"/>
      <c r="E125" s="20" t="n"/>
      <c r="F125" s="20" t="n"/>
      <c r="G125" s="20" t="n"/>
      <c r="H125" s="22" t="n"/>
      <c r="I125" s="22" t="n"/>
      <c r="J125" s="21" t="n"/>
      <c r="K125" s="20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</row>
    <row r="126" ht="15.75" customHeight="1" s="18">
      <c r="A126" s="20">
        <f>IF(AND(B126="",C126=""),"",ROW()-1)</f>
        <v/>
      </c>
      <c r="B126" s="20" t="n"/>
      <c r="C126" s="21">
        <f>IF(B126="","",VLOOKUP(B126,Projects!$B:$C,2,FALSE()))</f>
        <v/>
      </c>
      <c r="D126" s="21" t="n"/>
      <c r="E126" s="20" t="n"/>
      <c r="F126" s="20" t="n"/>
      <c r="G126" s="20" t="n"/>
      <c r="H126" s="22" t="n"/>
      <c r="I126" s="22" t="n"/>
      <c r="J126" s="21" t="n"/>
      <c r="K126" s="20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</row>
    <row r="127" ht="15.75" customHeight="1" s="18">
      <c r="A127" s="20">
        <f>IF(AND(B127="",C127=""),"",ROW()-1)</f>
        <v/>
      </c>
      <c r="B127" s="20" t="n"/>
      <c r="C127" s="21">
        <f>IF(B127="","",VLOOKUP(B127,Projects!$B:$C,2,FALSE()))</f>
        <v/>
      </c>
      <c r="D127" s="21" t="n"/>
      <c r="E127" s="20" t="n"/>
      <c r="F127" s="20" t="n"/>
      <c r="G127" s="20" t="n"/>
      <c r="H127" s="22" t="n"/>
      <c r="I127" s="22" t="n"/>
      <c r="J127" s="21" t="n"/>
      <c r="K127" s="20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</row>
    <row r="128" ht="15.75" customHeight="1" s="18">
      <c r="A128" s="20">
        <f>IF(AND(B128="",C128=""),"",ROW()-1)</f>
        <v/>
      </c>
      <c r="B128" s="20" t="n"/>
      <c r="C128" s="21">
        <f>IF(B128="","",VLOOKUP(B128,Projects!$B:$C,2,FALSE()))</f>
        <v/>
      </c>
      <c r="D128" s="21" t="n"/>
      <c r="E128" s="20" t="n"/>
      <c r="F128" s="20" t="n"/>
      <c r="G128" s="20" t="n"/>
      <c r="H128" s="22" t="n"/>
      <c r="I128" s="22" t="n"/>
      <c r="J128" s="21" t="n"/>
      <c r="K128" s="20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</row>
    <row r="129" ht="15.75" customHeight="1" s="18">
      <c r="A129" s="20">
        <f>IF(AND(B129="",C129=""),"",ROW()-1)</f>
        <v/>
      </c>
      <c r="B129" s="20" t="n"/>
      <c r="C129" s="21">
        <f>IF(B129="","",VLOOKUP(B129,Projects!$B:$C,2,FALSE()))</f>
        <v/>
      </c>
      <c r="D129" s="21" t="n"/>
      <c r="E129" s="20" t="n"/>
      <c r="F129" s="20" t="n"/>
      <c r="G129" s="20" t="n"/>
      <c r="H129" s="22" t="n"/>
      <c r="I129" s="22" t="n"/>
      <c r="J129" s="21" t="n"/>
      <c r="K129" s="20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</row>
    <row r="130" ht="15.75" customHeight="1" s="18">
      <c r="A130" s="20">
        <f>IF(AND(B130="",C130=""),"",ROW()-1)</f>
        <v/>
      </c>
      <c r="B130" s="20" t="n"/>
      <c r="C130" s="21">
        <f>IF(B130="","",VLOOKUP(B130,Projects!$B:$C,2,FALSE()))</f>
        <v/>
      </c>
      <c r="D130" s="21" t="n"/>
      <c r="E130" s="20" t="n"/>
      <c r="F130" s="20" t="n"/>
      <c r="G130" s="20" t="n"/>
      <c r="H130" s="22" t="n"/>
      <c r="I130" s="22" t="n"/>
      <c r="J130" s="21" t="n"/>
      <c r="K130" s="20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</row>
    <row r="131" ht="15.75" customHeight="1" s="18">
      <c r="A131" s="20">
        <f>IF(AND(B131="",C131=""),"",ROW()-1)</f>
        <v/>
      </c>
      <c r="B131" s="20" t="n"/>
      <c r="C131" s="21">
        <f>IF(B131="","",VLOOKUP(B131,Projects!$B:$C,2,FALSE()))</f>
        <v/>
      </c>
      <c r="D131" s="21" t="n"/>
      <c r="E131" s="20" t="n"/>
      <c r="F131" s="20" t="n"/>
      <c r="G131" s="20" t="n"/>
      <c r="H131" s="22" t="n"/>
      <c r="I131" s="22" t="n"/>
      <c r="J131" s="21" t="n"/>
      <c r="K131" s="20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</row>
    <row r="132" ht="15.75" customHeight="1" s="18">
      <c r="A132" s="20">
        <f>IF(AND(B132="",C132=""),"",ROW()-1)</f>
        <v/>
      </c>
      <c r="B132" s="20" t="n"/>
      <c r="C132" s="21">
        <f>IF(B132="","",VLOOKUP(B132,Projects!$B:$C,2,FALSE()))</f>
        <v/>
      </c>
      <c r="D132" s="21" t="n"/>
      <c r="E132" s="20" t="n"/>
      <c r="F132" s="20" t="n"/>
      <c r="G132" s="20" t="n"/>
      <c r="H132" s="22" t="n"/>
      <c r="I132" s="22" t="n"/>
      <c r="J132" s="21" t="n"/>
      <c r="K132" s="20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</row>
    <row r="133" ht="15.75" customHeight="1" s="18">
      <c r="A133" s="20">
        <f>IF(AND(B133="",C133=""),"",ROW()-1)</f>
        <v/>
      </c>
      <c r="B133" s="20" t="n"/>
      <c r="C133" s="21">
        <f>IF(B133="","",VLOOKUP(B133,Projects!$B:$C,2,FALSE()))</f>
        <v/>
      </c>
      <c r="D133" s="21" t="n"/>
      <c r="E133" s="20" t="n"/>
      <c r="F133" s="20" t="n"/>
      <c r="G133" s="20" t="n"/>
      <c r="H133" s="22" t="n"/>
      <c r="I133" s="22" t="n"/>
      <c r="J133" s="21" t="n"/>
      <c r="K133" s="20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</row>
    <row r="134" ht="15.75" customHeight="1" s="18">
      <c r="A134" s="20">
        <f>IF(AND(B134="",C134=""),"",ROW()-1)</f>
        <v/>
      </c>
      <c r="B134" s="20" t="n"/>
      <c r="C134" s="21">
        <f>IF(B134="","",VLOOKUP(B134,Projects!$B:$C,2,FALSE()))</f>
        <v/>
      </c>
      <c r="D134" s="21" t="n"/>
      <c r="E134" s="20" t="n"/>
      <c r="F134" s="20" t="n"/>
      <c r="G134" s="20" t="n"/>
      <c r="H134" s="22" t="n"/>
      <c r="I134" s="22" t="n"/>
      <c r="J134" s="21" t="n"/>
      <c r="K134" s="20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</row>
    <row r="135" ht="15.75" customHeight="1" s="18">
      <c r="A135" s="20">
        <f>IF(AND(B135="",C135=""),"",ROW()-1)</f>
        <v/>
      </c>
      <c r="B135" s="20" t="n"/>
      <c r="C135" s="21">
        <f>IF(B135="","",VLOOKUP(B135,Projects!$B:$C,2,FALSE()))</f>
        <v/>
      </c>
      <c r="D135" s="21" t="n"/>
      <c r="E135" s="20" t="n"/>
      <c r="F135" s="20" t="n"/>
      <c r="G135" s="20" t="n"/>
      <c r="H135" s="22" t="n"/>
      <c r="I135" s="22" t="n"/>
      <c r="J135" s="21" t="n"/>
      <c r="K135" s="20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</row>
    <row r="136" ht="15.75" customHeight="1" s="18">
      <c r="A136" s="20">
        <f>IF(AND(B136="",C136=""),"",ROW()-1)</f>
        <v/>
      </c>
      <c r="B136" s="20" t="n"/>
      <c r="C136" s="21">
        <f>IF(B136="","",VLOOKUP(B136,Projects!$B:$C,2,FALSE()))</f>
        <v/>
      </c>
      <c r="D136" s="21" t="n"/>
      <c r="E136" s="20" t="n"/>
      <c r="F136" s="20" t="n"/>
      <c r="G136" s="20" t="n"/>
      <c r="H136" s="22" t="n"/>
      <c r="I136" s="22" t="n"/>
      <c r="J136" s="21" t="n"/>
      <c r="K136" s="20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</row>
    <row r="137" ht="15.75" customHeight="1" s="18">
      <c r="A137" s="20">
        <f>IF(AND(B137="",C137=""),"",ROW()-1)</f>
        <v/>
      </c>
      <c r="B137" s="20" t="n"/>
      <c r="C137" s="21">
        <f>IF(B137="","",VLOOKUP(B137,Projects!$B:$C,2,FALSE()))</f>
        <v/>
      </c>
      <c r="D137" s="21" t="n"/>
      <c r="E137" s="20" t="n"/>
      <c r="F137" s="20" t="n"/>
      <c r="G137" s="20" t="n"/>
      <c r="H137" s="22" t="n"/>
      <c r="I137" s="22" t="n"/>
      <c r="J137" s="21" t="n"/>
      <c r="K137" s="20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</row>
    <row r="138" ht="15.75" customHeight="1" s="18">
      <c r="A138" s="20">
        <f>IF(AND(B138="",C138=""),"",ROW()-1)</f>
        <v/>
      </c>
      <c r="B138" s="20" t="n"/>
      <c r="C138" s="21">
        <f>IF(B138="","",VLOOKUP(B138,Projects!$B:$C,2,FALSE()))</f>
        <v/>
      </c>
      <c r="D138" s="21" t="n"/>
      <c r="E138" s="20" t="n"/>
      <c r="F138" s="20" t="n"/>
      <c r="G138" s="20" t="n"/>
      <c r="H138" s="22" t="n"/>
      <c r="I138" s="22" t="n"/>
      <c r="J138" s="21" t="n"/>
      <c r="K138" s="20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</row>
    <row r="139" ht="15.75" customHeight="1" s="18">
      <c r="A139" s="20">
        <f>IF(AND(B139="",C139=""),"",ROW()-1)</f>
        <v/>
      </c>
      <c r="B139" s="20" t="n"/>
      <c r="C139" s="21">
        <f>IF(B139="","",VLOOKUP(B139,Projects!$B:$C,2,FALSE()))</f>
        <v/>
      </c>
      <c r="D139" s="21" t="n"/>
      <c r="E139" s="20" t="n"/>
      <c r="F139" s="20" t="n"/>
      <c r="G139" s="20" t="n"/>
      <c r="H139" s="22" t="n"/>
      <c r="I139" s="22" t="n"/>
      <c r="J139" s="21" t="n"/>
      <c r="K139" s="20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</row>
    <row r="140" ht="15.75" customHeight="1" s="18">
      <c r="A140" s="20">
        <f>IF(AND(B140="",C140=""),"",ROW()-1)</f>
        <v/>
      </c>
      <c r="B140" s="20" t="n"/>
      <c r="C140" s="21">
        <f>IF(B140="","",VLOOKUP(B140,Projects!$B:$C,2,FALSE()))</f>
        <v/>
      </c>
      <c r="D140" s="21" t="n"/>
      <c r="E140" s="20" t="n"/>
      <c r="F140" s="20" t="n"/>
      <c r="G140" s="20" t="n"/>
      <c r="H140" s="22" t="n"/>
      <c r="I140" s="22" t="n"/>
      <c r="J140" s="21" t="n"/>
      <c r="K140" s="20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</row>
    <row r="141" ht="15.75" customHeight="1" s="18">
      <c r="A141" s="20">
        <f>IF(AND(B141="",C141=""),"",ROW()-1)</f>
        <v/>
      </c>
      <c r="B141" s="20" t="n"/>
      <c r="C141" s="21">
        <f>IF(B141="","",VLOOKUP(B141,Projects!$B:$C,2,FALSE()))</f>
        <v/>
      </c>
      <c r="D141" s="21" t="n"/>
      <c r="E141" s="20" t="n"/>
      <c r="F141" s="20" t="n"/>
      <c r="G141" s="20" t="n"/>
      <c r="H141" s="22" t="n"/>
      <c r="I141" s="22" t="n"/>
      <c r="J141" s="21" t="n"/>
      <c r="K141" s="20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</row>
    <row r="142" ht="15.75" customHeight="1" s="18">
      <c r="A142" s="20">
        <f>IF(AND(B142="",C142=""),"",ROW()-1)</f>
        <v/>
      </c>
      <c r="B142" s="20" t="n"/>
      <c r="C142" s="21">
        <f>IF(B142="","",VLOOKUP(B142,Projects!$B:$C,2,FALSE()))</f>
        <v/>
      </c>
      <c r="D142" s="21" t="n"/>
      <c r="E142" s="20" t="n"/>
      <c r="F142" s="20" t="n"/>
      <c r="G142" s="20" t="n"/>
      <c r="H142" s="22" t="n"/>
      <c r="I142" s="22" t="n"/>
      <c r="J142" s="21" t="n"/>
      <c r="K142" s="20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</row>
    <row r="143" ht="15.75" customHeight="1" s="18">
      <c r="A143" s="20">
        <f>IF(AND(B143="",C143=""),"",ROW()-1)</f>
        <v/>
      </c>
      <c r="B143" s="20" t="n"/>
      <c r="C143" s="21">
        <f>IF(B143="","",VLOOKUP(B143,Projects!$B:$C,2,FALSE()))</f>
        <v/>
      </c>
      <c r="D143" s="21" t="n"/>
      <c r="E143" s="20" t="n"/>
      <c r="F143" s="20" t="n"/>
      <c r="G143" s="20" t="n"/>
      <c r="H143" s="22" t="n"/>
      <c r="I143" s="22" t="n"/>
      <c r="J143" s="21" t="n"/>
      <c r="K143" s="20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</row>
    <row r="144" ht="15.75" customHeight="1" s="18">
      <c r="A144" s="20">
        <f>IF(AND(B144="",C144=""),"",ROW()-1)</f>
        <v/>
      </c>
      <c r="B144" s="20" t="n"/>
      <c r="C144" s="21">
        <f>IF(B144="","",VLOOKUP(B144,Projects!$B:$C,2,FALSE()))</f>
        <v/>
      </c>
      <c r="D144" s="21" t="n"/>
      <c r="E144" s="20" t="n"/>
      <c r="F144" s="20" t="n"/>
      <c r="G144" s="20" t="n"/>
      <c r="H144" s="22" t="n"/>
      <c r="I144" s="22" t="n"/>
      <c r="J144" s="21" t="n"/>
      <c r="K144" s="20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</row>
    <row r="145" ht="15.75" customHeight="1" s="18">
      <c r="A145" s="20">
        <f>IF(AND(B145="",C145=""),"",ROW()-1)</f>
        <v/>
      </c>
      <c r="B145" s="20" t="n"/>
      <c r="C145" s="21">
        <f>IF(B145="","",VLOOKUP(B145,Projects!$B:$C,2,FALSE()))</f>
        <v/>
      </c>
      <c r="D145" s="21" t="n"/>
      <c r="E145" s="20" t="n"/>
      <c r="F145" s="20" t="n"/>
      <c r="G145" s="20" t="n"/>
      <c r="H145" s="22" t="n"/>
      <c r="I145" s="22" t="n"/>
      <c r="J145" s="21" t="n"/>
      <c r="K145" s="20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</row>
    <row r="146" ht="15.75" customHeight="1" s="18">
      <c r="A146" s="20">
        <f>IF(AND(B146="",C146=""),"",ROW()-1)</f>
        <v/>
      </c>
      <c r="B146" s="20" t="n"/>
      <c r="C146" s="21">
        <f>IF(B146="","",VLOOKUP(B146,Projects!$B:$C,2,FALSE()))</f>
        <v/>
      </c>
      <c r="D146" s="21" t="n"/>
      <c r="E146" s="20" t="n"/>
      <c r="F146" s="20" t="n"/>
      <c r="G146" s="20" t="n"/>
      <c r="H146" s="22" t="n"/>
      <c r="I146" s="22" t="n"/>
      <c r="J146" s="21" t="n"/>
      <c r="K146" s="20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</row>
    <row r="147" ht="15.75" customHeight="1" s="18">
      <c r="A147" s="20">
        <f>IF(AND(B147="",C147=""),"",ROW()-1)</f>
        <v/>
      </c>
      <c r="B147" s="20" t="n"/>
      <c r="C147" s="21">
        <f>IF(B147="","",VLOOKUP(B147,Projects!$B:$C,2,FALSE()))</f>
        <v/>
      </c>
      <c r="D147" s="21" t="n"/>
      <c r="E147" s="20" t="n"/>
      <c r="F147" s="20" t="n"/>
      <c r="G147" s="20" t="n"/>
      <c r="H147" s="22" t="n"/>
      <c r="I147" s="22" t="n"/>
      <c r="J147" s="21" t="n"/>
      <c r="K147" s="20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</row>
    <row r="148" ht="15.75" customHeight="1" s="18">
      <c r="A148" s="20">
        <f>IF(AND(B148="",C148=""),"",ROW()-1)</f>
        <v/>
      </c>
      <c r="B148" s="20" t="n"/>
      <c r="C148" s="21">
        <f>IF(B148="","",VLOOKUP(B148,Projects!$B:$C,2,FALSE()))</f>
        <v/>
      </c>
      <c r="D148" s="21" t="n"/>
      <c r="E148" s="20" t="n"/>
      <c r="F148" s="20" t="n"/>
      <c r="G148" s="20" t="n"/>
      <c r="H148" s="22" t="n"/>
      <c r="I148" s="22" t="n"/>
      <c r="J148" s="21" t="n"/>
      <c r="K148" s="20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</row>
    <row r="149" ht="15.75" customHeight="1" s="18">
      <c r="A149" s="20">
        <f>IF(AND(B149="",C149=""),"",ROW()-1)</f>
        <v/>
      </c>
      <c r="B149" s="20" t="n"/>
      <c r="C149" s="21">
        <f>IF(B149="","",VLOOKUP(B149,Projects!$B:$C,2,FALSE()))</f>
        <v/>
      </c>
      <c r="D149" s="21" t="n"/>
      <c r="E149" s="20" t="n"/>
      <c r="F149" s="20" t="n"/>
      <c r="G149" s="20" t="n"/>
      <c r="H149" s="22" t="n"/>
      <c r="I149" s="22" t="n"/>
      <c r="J149" s="21" t="n"/>
      <c r="K149" s="20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</row>
    <row r="150" ht="15.75" customHeight="1" s="18">
      <c r="A150" s="20">
        <f>IF(AND(B150="",C150=""),"",ROW()-1)</f>
        <v/>
      </c>
      <c r="B150" s="20" t="n"/>
      <c r="C150" s="21">
        <f>IF(B150="","",VLOOKUP(B150,Projects!$B:$C,2,FALSE()))</f>
        <v/>
      </c>
      <c r="D150" s="21" t="n"/>
      <c r="E150" s="20" t="n"/>
      <c r="F150" s="20" t="n"/>
      <c r="G150" s="20" t="n"/>
      <c r="H150" s="22" t="n"/>
      <c r="I150" s="22" t="n"/>
      <c r="J150" s="21" t="n"/>
      <c r="K150" s="20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</row>
    <row r="151" ht="15.75" customHeight="1" s="18">
      <c r="A151" s="20">
        <f>IF(AND(B151="",C151=""),"",ROW()-1)</f>
        <v/>
      </c>
      <c r="B151" s="20" t="n"/>
      <c r="C151" s="21">
        <f>IF(B151="","",VLOOKUP(B151,Projects!$B:$C,2,FALSE()))</f>
        <v/>
      </c>
      <c r="D151" s="21" t="n"/>
      <c r="E151" s="20" t="n"/>
      <c r="F151" s="20" t="n"/>
      <c r="G151" s="20" t="n"/>
      <c r="H151" s="22" t="n"/>
      <c r="I151" s="22" t="n"/>
      <c r="J151" s="21" t="n"/>
      <c r="K151" s="20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</row>
    <row r="152" ht="15.75" customHeight="1" s="18">
      <c r="A152" s="20">
        <f>IF(AND(B152="",C152=""),"",ROW()-1)</f>
        <v/>
      </c>
      <c r="B152" s="20" t="n"/>
      <c r="C152" s="21">
        <f>IF(B152="","",VLOOKUP(B152,Projects!$B:$C,2,FALSE()))</f>
        <v/>
      </c>
      <c r="D152" s="21" t="n"/>
      <c r="E152" s="20" t="n"/>
      <c r="F152" s="20" t="n"/>
      <c r="G152" s="20" t="n"/>
      <c r="H152" s="22" t="n"/>
      <c r="I152" s="22" t="n"/>
      <c r="J152" s="21" t="n"/>
      <c r="K152" s="20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</row>
    <row r="153" ht="15.75" customHeight="1" s="18">
      <c r="A153" s="20">
        <f>IF(AND(B153="",C153=""),"",ROW()-1)</f>
        <v/>
      </c>
      <c r="B153" s="20" t="n"/>
      <c r="C153" s="21">
        <f>IF(B153="","",VLOOKUP(B153,Projects!$B:$C,2,FALSE()))</f>
        <v/>
      </c>
      <c r="D153" s="21" t="n"/>
      <c r="E153" s="20" t="n"/>
      <c r="F153" s="20" t="n"/>
      <c r="G153" s="20" t="n"/>
      <c r="H153" s="22" t="n"/>
      <c r="I153" s="22" t="n"/>
      <c r="J153" s="21" t="n"/>
      <c r="K153" s="20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</row>
    <row r="154" ht="15.75" customHeight="1" s="18">
      <c r="A154" s="20">
        <f>IF(AND(B154="",C154=""),"",ROW()-1)</f>
        <v/>
      </c>
      <c r="B154" s="20" t="n"/>
      <c r="C154" s="21">
        <f>IF(B154="","",VLOOKUP(B154,Projects!$B:$C,2,FALSE()))</f>
        <v/>
      </c>
      <c r="D154" s="21" t="n"/>
      <c r="E154" s="20" t="n"/>
      <c r="F154" s="20" t="n"/>
      <c r="G154" s="20" t="n"/>
      <c r="H154" s="22" t="n"/>
      <c r="I154" s="22" t="n"/>
      <c r="J154" s="21" t="n"/>
      <c r="K154" s="20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</row>
    <row r="155" ht="15.75" customHeight="1" s="18">
      <c r="A155" s="20">
        <f>IF(AND(B155="",C155=""),"",ROW()-1)</f>
        <v/>
      </c>
      <c r="B155" s="20" t="n"/>
      <c r="C155" s="21">
        <f>IF(B155="","",VLOOKUP(B155,Projects!$B:$C,2,FALSE()))</f>
        <v/>
      </c>
      <c r="D155" s="21" t="n"/>
      <c r="E155" s="20" t="n"/>
      <c r="F155" s="20" t="n"/>
      <c r="G155" s="20" t="n"/>
      <c r="H155" s="22" t="n"/>
      <c r="I155" s="22" t="n"/>
      <c r="J155" s="21" t="n"/>
      <c r="K155" s="20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</row>
    <row r="156" ht="15.75" customHeight="1" s="18">
      <c r="A156" s="20">
        <f>IF(AND(B156="",C156=""),"",ROW()-1)</f>
        <v/>
      </c>
      <c r="B156" s="20" t="n"/>
      <c r="C156" s="21">
        <f>IF(B156="","",VLOOKUP(B156,Projects!$B:$C,2,FALSE()))</f>
        <v/>
      </c>
      <c r="D156" s="21" t="n"/>
      <c r="E156" s="20" t="n"/>
      <c r="F156" s="20" t="n"/>
      <c r="G156" s="20" t="n"/>
      <c r="H156" s="22" t="n"/>
      <c r="I156" s="22" t="n"/>
      <c r="J156" s="21" t="n"/>
      <c r="K156" s="20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</row>
    <row r="157" ht="15.75" customHeight="1" s="18">
      <c r="A157" s="20">
        <f>IF(AND(B157="",C157=""),"",ROW()-1)</f>
        <v/>
      </c>
      <c r="B157" s="20" t="n"/>
      <c r="C157" s="21">
        <f>IF(B157="","",VLOOKUP(B157,Projects!$B:$C,2,FALSE()))</f>
        <v/>
      </c>
      <c r="D157" s="21" t="n"/>
      <c r="E157" s="20" t="n"/>
      <c r="F157" s="20" t="n"/>
      <c r="G157" s="20" t="n"/>
      <c r="H157" s="22" t="n"/>
      <c r="I157" s="22" t="n"/>
      <c r="J157" s="21" t="n"/>
      <c r="K157" s="20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</row>
    <row r="158" ht="15.75" customHeight="1" s="18">
      <c r="A158" s="20">
        <f>IF(AND(B158="",C158=""),"",ROW()-1)</f>
        <v/>
      </c>
      <c r="B158" s="20" t="n"/>
      <c r="C158" s="21">
        <f>IF(B158="","",VLOOKUP(B158,Projects!$B:$C,2,FALSE()))</f>
        <v/>
      </c>
      <c r="D158" s="21" t="n"/>
      <c r="E158" s="20" t="n"/>
      <c r="F158" s="20" t="n"/>
      <c r="G158" s="20" t="n"/>
      <c r="H158" s="22" t="n"/>
      <c r="I158" s="22" t="n"/>
      <c r="J158" s="21" t="n"/>
      <c r="K158" s="20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</row>
    <row r="159" ht="15.75" customHeight="1" s="18">
      <c r="A159" s="20">
        <f>IF(AND(B159="",C159=""),"",ROW()-1)</f>
        <v/>
      </c>
      <c r="B159" s="20" t="n"/>
      <c r="C159" s="21">
        <f>IF(B159="","",VLOOKUP(B159,Projects!$B:$C,2,FALSE()))</f>
        <v/>
      </c>
      <c r="D159" s="21" t="n"/>
      <c r="E159" s="20" t="n"/>
      <c r="F159" s="20" t="n"/>
      <c r="G159" s="20" t="n"/>
      <c r="H159" s="22" t="n"/>
      <c r="I159" s="22" t="n"/>
      <c r="J159" s="21" t="n"/>
      <c r="K159" s="20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</row>
    <row r="160" ht="15.75" customHeight="1" s="18">
      <c r="A160" s="20">
        <f>IF(AND(B160="",C160=""),"",ROW()-1)</f>
        <v/>
      </c>
      <c r="B160" s="20" t="n"/>
      <c r="C160" s="21">
        <f>IF(B160="","",VLOOKUP(B160,Projects!$B:$C,2,FALSE()))</f>
        <v/>
      </c>
      <c r="D160" s="21" t="n"/>
      <c r="E160" s="20" t="n"/>
      <c r="F160" s="20" t="n"/>
      <c r="G160" s="20" t="n"/>
      <c r="H160" s="22" t="n"/>
      <c r="I160" s="22" t="n"/>
      <c r="J160" s="21" t="n"/>
      <c r="K160" s="20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</row>
    <row r="161" ht="15.75" customHeight="1" s="18">
      <c r="A161" s="20">
        <f>IF(AND(B161="",C161=""),"",ROW()-1)</f>
        <v/>
      </c>
      <c r="B161" s="20" t="n"/>
      <c r="C161" s="21">
        <f>IF(B161="","",VLOOKUP(B161,Projects!$B:$C,2,FALSE()))</f>
        <v/>
      </c>
      <c r="D161" s="21" t="n"/>
      <c r="E161" s="20" t="n"/>
      <c r="F161" s="20" t="n"/>
      <c r="G161" s="20" t="n"/>
      <c r="H161" s="22" t="n"/>
      <c r="I161" s="22" t="n"/>
      <c r="J161" s="21" t="n"/>
      <c r="K161" s="20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</row>
    <row r="162" ht="15.75" customHeight="1" s="18">
      <c r="A162" s="20">
        <f>IF(AND(B162="",C162=""),"",ROW()-1)</f>
        <v/>
      </c>
      <c r="B162" s="20" t="n"/>
      <c r="C162" s="21">
        <f>IF(B162="","",VLOOKUP(B162,Projects!$B:$C,2,FALSE()))</f>
        <v/>
      </c>
      <c r="D162" s="21" t="n"/>
      <c r="E162" s="20" t="n"/>
      <c r="F162" s="20" t="n"/>
      <c r="G162" s="20" t="n"/>
      <c r="H162" s="22" t="n"/>
      <c r="I162" s="22" t="n"/>
      <c r="J162" s="21" t="n"/>
      <c r="K162" s="20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</row>
    <row r="163" ht="15.75" customHeight="1" s="18">
      <c r="A163" s="20">
        <f>IF(AND(B163="",C163=""),"",ROW()-1)</f>
        <v/>
      </c>
      <c r="B163" s="20" t="n"/>
      <c r="C163" s="21">
        <f>IF(B163="","",VLOOKUP(B163,Projects!$B:$C,2,FALSE()))</f>
        <v/>
      </c>
      <c r="D163" s="21" t="n"/>
      <c r="E163" s="20" t="n"/>
      <c r="F163" s="20" t="n"/>
      <c r="G163" s="20" t="n"/>
      <c r="H163" s="22" t="n"/>
      <c r="I163" s="22" t="n"/>
      <c r="J163" s="21" t="n"/>
      <c r="K163" s="20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</row>
    <row r="164" ht="15.75" customHeight="1" s="18">
      <c r="A164" s="20">
        <f>IF(AND(B164="",C164=""),"",ROW()-1)</f>
        <v/>
      </c>
      <c r="B164" s="20" t="n"/>
      <c r="C164" s="21">
        <f>IF(B164="","",VLOOKUP(B164,Projects!$B:$C,2,FALSE()))</f>
        <v/>
      </c>
      <c r="D164" s="21" t="n"/>
      <c r="E164" s="20" t="n"/>
      <c r="F164" s="20" t="n"/>
      <c r="G164" s="20" t="n"/>
      <c r="H164" s="22" t="n"/>
      <c r="I164" s="22" t="n"/>
      <c r="J164" s="21" t="n"/>
      <c r="K164" s="20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</row>
    <row r="165" ht="15.75" customHeight="1" s="18">
      <c r="A165" s="20">
        <f>IF(AND(B165="",C165=""),"",ROW()-1)</f>
        <v/>
      </c>
      <c r="B165" s="20" t="n"/>
      <c r="C165" s="21">
        <f>IF(B165="","",VLOOKUP(B165,Projects!$B:$C,2,FALSE()))</f>
        <v/>
      </c>
      <c r="D165" s="21" t="n"/>
      <c r="E165" s="20" t="n"/>
      <c r="F165" s="20" t="n"/>
      <c r="G165" s="20" t="n"/>
      <c r="H165" s="22" t="n"/>
      <c r="I165" s="22" t="n"/>
      <c r="J165" s="21" t="n"/>
      <c r="K165" s="20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</row>
    <row r="166" ht="15.75" customHeight="1" s="18">
      <c r="A166" s="20">
        <f>IF(AND(B166="",C166=""),"",ROW()-1)</f>
        <v/>
      </c>
      <c r="B166" s="20" t="n"/>
      <c r="C166" s="21">
        <f>IF(B166="","",VLOOKUP(B166,Projects!$B:$C,2,FALSE()))</f>
        <v/>
      </c>
      <c r="D166" s="21" t="n"/>
      <c r="E166" s="20" t="n"/>
      <c r="F166" s="20" t="n"/>
      <c r="G166" s="20" t="n"/>
      <c r="H166" s="22" t="n"/>
      <c r="I166" s="22" t="n"/>
      <c r="J166" s="21" t="n"/>
      <c r="K166" s="20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</row>
    <row r="167" ht="15.75" customHeight="1" s="18">
      <c r="A167" s="20">
        <f>IF(AND(B167="",C167=""),"",ROW()-1)</f>
        <v/>
      </c>
      <c r="B167" s="20" t="n"/>
      <c r="C167" s="21">
        <f>IF(B167="","",VLOOKUP(B167,Projects!$B:$C,2,FALSE()))</f>
        <v/>
      </c>
      <c r="D167" s="21" t="n"/>
      <c r="E167" s="20" t="n"/>
      <c r="F167" s="20" t="n"/>
      <c r="G167" s="20" t="n"/>
      <c r="H167" s="22" t="n"/>
      <c r="I167" s="22" t="n"/>
      <c r="J167" s="21" t="n"/>
      <c r="K167" s="20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</row>
    <row r="168" ht="15.75" customHeight="1" s="18">
      <c r="A168" s="20">
        <f>IF(AND(B168="",C168=""),"",ROW()-1)</f>
        <v/>
      </c>
      <c r="B168" s="20" t="n"/>
      <c r="C168" s="21">
        <f>IF(B168="","",VLOOKUP(B168,Projects!$B:$C,2,FALSE()))</f>
        <v/>
      </c>
      <c r="D168" s="21" t="n"/>
      <c r="E168" s="20" t="n"/>
      <c r="F168" s="20" t="n"/>
      <c r="G168" s="20" t="n"/>
      <c r="H168" s="22" t="n"/>
      <c r="I168" s="22" t="n"/>
      <c r="J168" s="21" t="n"/>
      <c r="K168" s="20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</row>
    <row r="169" ht="15.75" customHeight="1" s="18">
      <c r="A169" s="20">
        <f>IF(AND(B169="",C169=""),"",ROW()-1)</f>
        <v/>
      </c>
      <c r="B169" s="20" t="n"/>
      <c r="C169" s="21">
        <f>IF(B169="","",VLOOKUP(B169,Projects!$B:$C,2,FALSE()))</f>
        <v/>
      </c>
      <c r="D169" s="21" t="n"/>
      <c r="E169" s="20" t="n"/>
      <c r="F169" s="20" t="n"/>
      <c r="G169" s="20" t="n"/>
      <c r="H169" s="22" t="n"/>
      <c r="I169" s="22" t="n"/>
      <c r="J169" s="21" t="n"/>
      <c r="K169" s="20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</row>
    <row r="170" ht="15.75" customHeight="1" s="18">
      <c r="A170" s="20">
        <f>IF(AND(B170="",C170=""),"",ROW()-1)</f>
        <v/>
      </c>
      <c r="B170" s="20" t="n"/>
      <c r="C170" s="21">
        <f>IF(B170="","",VLOOKUP(B170,Projects!$B:$C,2,FALSE()))</f>
        <v/>
      </c>
      <c r="D170" s="21" t="n"/>
      <c r="E170" s="20" t="n"/>
      <c r="F170" s="20" t="n"/>
      <c r="G170" s="20" t="n"/>
      <c r="H170" s="22" t="n"/>
      <c r="I170" s="22" t="n"/>
      <c r="J170" s="21" t="n"/>
      <c r="K170" s="20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</row>
    <row r="171" ht="15.75" customHeight="1" s="18">
      <c r="A171" s="20">
        <f>IF(AND(B171="",C171=""),"",ROW()-1)</f>
        <v/>
      </c>
      <c r="B171" s="20" t="n"/>
      <c r="C171" s="21">
        <f>IF(B171="","",VLOOKUP(B171,Projects!$B:$C,2,FALSE()))</f>
        <v/>
      </c>
      <c r="D171" s="21" t="n"/>
      <c r="E171" s="20" t="n"/>
      <c r="F171" s="20" t="n"/>
      <c r="G171" s="20" t="n"/>
      <c r="H171" s="22" t="n"/>
      <c r="I171" s="22" t="n"/>
      <c r="J171" s="21" t="n"/>
      <c r="K171" s="20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</row>
    <row r="172" ht="15.75" customHeight="1" s="18">
      <c r="A172" s="20">
        <f>IF(AND(B172="",C172=""),"",ROW()-1)</f>
        <v/>
      </c>
      <c r="B172" s="20" t="n"/>
      <c r="C172" s="21">
        <f>IF(B172="","",VLOOKUP(B172,Projects!$B:$C,2,FALSE()))</f>
        <v/>
      </c>
      <c r="D172" s="21" t="n"/>
      <c r="E172" s="20" t="n"/>
      <c r="F172" s="20" t="n"/>
      <c r="G172" s="20" t="n"/>
      <c r="H172" s="22" t="n"/>
      <c r="I172" s="22" t="n"/>
      <c r="J172" s="21" t="n"/>
      <c r="K172" s="20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</row>
    <row r="173" ht="15.75" customHeight="1" s="18">
      <c r="A173" s="20">
        <f>IF(AND(B173="",C173=""),"",ROW()-1)</f>
        <v/>
      </c>
      <c r="B173" s="20" t="n"/>
      <c r="C173" s="21">
        <f>IF(B173="","",VLOOKUP(B173,Projects!$B:$C,2,FALSE()))</f>
        <v/>
      </c>
      <c r="D173" s="21" t="n"/>
      <c r="E173" s="20" t="n"/>
      <c r="F173" s="20" t="n"/>
      <c r="G173" s="20" t="n"/>
      <c r="H173" s="22" t="n"/>
      <c r="I173" s="22" t="n"/>
      <c r="J173" s="21" t="n"/>
      <c r="K173" s="20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</row>
    <row r="174" ht="15.75" customHeight="1" s="18">
      <c r="A174" s="20">
        <f>IF(AND(B174="",C174=""),"",ROW()-1)</f>
        <v/>
      </c>
      <c r="B174" s="20" t="n"/>
      <c r="C174" s="21">
        <f>IF(B174="","",VLOOKUP(B174,Projects!$B:$C,2,FALSE()))</f>
        <v/>
      </c>
      <c r="D174" s="21" t="n"/>
      <c r="E174" s="20" t="n"/>
      <c r="F174" s="20" t="n"/>
      <c r="G174" s="20" t="n"/>
      <c r="H174" s="22" t="n"/>
      <c r="I174" s="22" t="n"/>
      <c r="J174" s="21" t="n"/>
      <c r="K174" s="20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</row>
    <row r="175" ht="15.75" customHeight="1" s="18">
      <c r="A175" s="20">
        <f>IF(AND(B175="",C175=""),"",ROW()-1)</f>
        <v/>
      </c>
      <c r="B175" s="20" t="n"/>
      <c r="C175" s="21">
        <f>IF(B175="","",VLOOKUP(B175,Projects!$B:$C,2,FALSE()))</f>
        <v/>
      </c>
      <c r="D175" s="21" t="n"/>
      <c r="E175" s="20" t="n"/>
      <c r="F175" s="20" t="n"/>
      <c r="G175" s="20" t="n"/>
      <c r="H175" s="22" t="n"/>
      <c r="I175" s="22" t="n"/>
      <c r="J175" s="21" t="n"/>
      <c r="K175" s="20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</row>
    <row r="176" ht="15.75" customHeight="1" s="18">
      <c r="A176" s="20">
        <f>IF(AND(B176="",C176=""),"",ROW()-1)</f>
        <v/>
      </c>
      <c r="B176" s="20" t="n"/>
      <c r="C176" s="21">
        <f>IF(B176="","",VLOOKUP(B176,Projects!$B:$C,2,FALSE()))</f>
        <v/>
      </c>
      <c r="D176" s="21" t="n"/>
      <c r="E176" s="20" t="n"/>
      <c r="F176" s="20" t="n"/>
      <c r="G176" s="20" t="n"/>
      <c r="H176" s="22" t="n"/>
      <c r="I176" s="22" t="n"/>
      <c r="J176" s="21" t="n"/>
      <c r="K176" s="20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</row>
    <row r="177" ht="15.75" customHeight="1" s="18">
      <c r="A177" s="20">
        <f>IF(AND(B177="",C177=""),"",ROW()-1)</f>
        <v/>
      </c>
      <c r="B177" s="20" t="n"/>
      <c r="C177" s="21">
        <f>IF(B177="","",VLOOKUP(B177,Projects!$B:$C,2,FALSE()))</f>
        <v/>
      </c>
      <c r="D177" s="21" t="n"/>
      <c r="E177" s="20" t="n"/>
      <c r="F177" s="20" t="n"/>
      <c r="G177" s="20" t="n"/>
      <c r="H177" s="22" t="n"/>
      <c r="I177" s="22" t="n"/>
      <c r="J177" s="21" t="n"/>
      <c r="K177" s="20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</row>
    <row r="178" ht="15.75" customHeight="1" s="18">
      <c r="A178" s="20">
        <f>IF(AND(B178="",C178=""),"",ROW()-1)</f>
        <v/>
      </c>
      <c r="B178" s="20" t="n"/>
      <c r="C178" s="21">
        <f>IF(B178="","",VLOOKUP(B178,Projects!$B:$C,2,FALSE()))</f>
        <v/>
      </c>
      <c r="D178" s="21" t="n"/>
      <c r="E178" s="20" t="n"/>
      <c r="F178" s="20" t="n"/>
      <c r="G178" s="20" t="n"/>
      <c r="H178" s="22" t="n"/>
      <c r="I178" s="22" t="n"/>
      <c r="J178" s="21" t="n"/>
      <c r="K178" s="20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</row>
    <row r="179" ht="15.75" customHeight="1" s="18">
      <c r="A179" s="20">
        <f>IF(AND(B179="",C179=""),"",ROW()-1)</f>
        <v/>
      </c>
      <c r="B179" s="20" t="n"/>
      <c r="C179" s="21">
        <f>IF(B179="","",VLOOKUP(B179,Projects!$B:$C,2,FALSE()))</f>
        <v/>
      </c>
      <c r="D179" s="21" t="n"/>
      <c r="E179" s="20" t="n"/>
      <c r="F179" s="20" t="n"/>
      <c r="G179" s="20" t="n"/>
      <c r="H179" s="22" t="n"/>
      <c r="I179" s="22" t="n"/>
      <c r="J179" s="21" t="n"/>
      <c r="K179" s="20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</row>
    <row r="180" ht="15.75" customHeight="1" s="18">
      <c r="A180" s="20">
        <f>IF(AND(B180="",C180=""),"",ROW()-1)</f>
        <v/>
      </c>
      <c r="B180" s="20" t="n"/>
      <c r="C180" s="21">
        <f>IF(B180="","",VLOOKUP(B180,Projects!$B:$C,2,FALSE()))</f>
        <v/>
      </c>
      <c r="D180" s="21" t="n"/>
      <c r="E180" s="20" t="n"/>
      <c r="F180" s="20" t="n"/>
      <c r="G180" s="20" t="n"/>
      <c r="H180" s="22" t="n"/>
      <c r="I180" s="22" t="n"/>
      <c r="J180" s="21" t="n"/>
      <c r="K180" s="20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</row>
    <row r="181" ht="15.75" customHeight="1" s="18">
      <c r="A181" s="20">
        <f>IF(AND(B181="",C181=""),"",ROW()-1)</f>
        <v/>
      </c>
      <c r="B181" s="20" t="n"/>
      <c r="C181" s="21">
        <f>IF(B181="","",VLOOKUP(B181,Projects!$B:$C,2,FALSE()))</f>
        <v/>
      </c>
      <c r="D181" s="21" t="n"/>
      <c r="E181" s="20" t="n"/>
      <c r="F181" s="20" t="n"/>
      <c r="G181" s="20" t="n"/>
      <c r="H181" s="22" t="n"/>
      <c r="I181" s="22" t="n"/>
      <c r="J181" s="21" t="n"/>
      <c r="K181" s="20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</row>
    <row r="182" ht="15.75" customHeight="1" s="18">
      <c r="A182" s="20">
        <f>IF(AND(B182="",C182=""),"",ROW()-1)</f>
        <v/>
      </c>
      <c r="B182" s="20" t="n"/>
      <c r="C182" s="21">
        <f>IF(B182="","",VLOOKUP(B182,Projects!$B:$C,2,FALSE()))</f>
        <v/>
      </c>
      <c r="D182" s="21" t="n"/>
      <c r="E182" s="20" t="n"/>
      <c r="F182" s="20" t="n"/>
      <c r="G182" s="20" t="n"/>
      <c r="H182" s="22" t="n"/>
      <c r="I182" s="22" t="n"/>
      <c r="J182" s="21" t="n"/>
      <c r="K182" s="20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</row>
    <row r="183" ht="15.75" customHeight="1" s="18">
      <c r="A183" s="20">
        <f>IF(AND(B183="",C183=""),"",ROW()-1)</f>
        <v/>
      </c>
      <c r="B183" s="20" t="n"/>
      <c r="C183" s="21">
        <f>IF(B183="","",VLOOKUP(B183,Projects!$B:$C,2,FALSE()))</f>
        <v/>
      </c>
      <c r="D183" s="21" t="n"/>
      <c r="E183" s="20" t="n"/>
      <c r="F183" s="20" t="n"/>
      <c r="G183" s="20" t="n"/>
      <c r="H183" s="22" t="n"/>
      <c r="I183" s="22" t="n"/>
      <c r="J183" s="21" t="n"/>
      <c r="K183" s="20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</row>
    <row r="184" ht="15.75" customHeight="1" s="18">
      <c r="A184" s="20">
        <f>IF(AND(B184="",C184=""),"",ROW()-1)</f>
        <v/>
      </c>
      <c r="B184" s="20" t="n"/>
      <c r="C184" s="21">
        <f>IF(B184="","",VLOOKUP(B184,Projects!$B:$C,2,FALSE()))</f>
        <v/>
      </c>
      <c r="D184" s="21" t="n"/>
      <c r="E184" s="20" t="n"/>
      <c r="F184" s="20" t="n"/>
      <c r="G184" s="20" t="n"/>
      <c r="H184" s="22" t="n"/>
      <c r="I184" s="22" t="n"/>
      <c r="J184" s="21" t="n"/>
      <c r="K184" s="20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</row>
    <row r="185" ht="15.75" customHeight="1" s="18">
      <c r="A185" s="20">
        <f>IF(AND(B185="",C185=""),"",ROW()-1)</f>
        <v/>
      </c>
      <c r="B185" s="20" t="n"/>
      <c r="C185" s="21">
        <f>IF(B185="","",VLOOKUP(B185,Projects!$B:$C,2,FALSE()))</f>
        <v/>
      </c>
      <c r="D185" s="21" t="n"/>
      <c r="E185" s="20" t="n"/>
      <c r="F185" s="20" t="n"/>
      <c r="G185" s="20" t="n"/>
      <c r="H185" s="22" t="n"/>
      <c r="I185" s="22" t="n"/>
      <c r="J185" s="21" t="n"/>
      <c r="K185" s="20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</row>
    <row r="186" ht="15.75" customHeight="1" s="18">
      <c r="A186" s="20">
        <f>IF(AND(B186="",C186=""),"",ROW()-1)</f>
        <v/>
      </c>
      <c r="B186" s="20" t="n"/>
      <c r="C186" s="21">
        <f>IF(B186="","",VLOOKUP(B186,Projects!$B:$C,2,FALSE()))</f>
        <v/>
      </c>
      <c r="D186" s="21" t="n"/>
      <c r="E186" s="20" t="n"/>
      <c r="F186" s="20" t="n"/>
      <c r="G186" s="20" t="n"/>
      <c r="H186" s="22" t="n"/>
      <c r="I186" s="22" t="n"/>
      <c r="J186" s="21" t="n"/>
      <c r="K186" s="20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</row>
    <row r="187" ht="15.75" customHeight="1" s="18">
      <c r="A187" s="20">
        <f>IF(AND(B187="",C187=""),"",ROW()-1)</f>
        <v/>
      </c>
      <c r="B187" s="20" t="n"/>
      <c r="C187" s="21">
        <f>IF(B187="","",VLOOKUP(B187,Projects!$B:$C,2,FALSE()))</f>
        <v/>
      </c>
      <c r="D187" s="21" t="n"/>
      <c r="E187" s="20" t="n"/>
      <c r="F187" s="20" t="n"/>
      <c r="G187" s="20" t="n"/>
      <c r="H187" s="22" t="n"/>
      <c r="I187" s="22" t="n"/>
      <c r="J187" s="21" t="n"/>
      <c r="K187" s="20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</row>
    <row r="188" ht="15.75" customHeight="1" s="18">
      <c r="A188" s="20">
        <f>IF(AND(B188="",C188=""),"",ROW()-1)</f>
        <v/>
      </c>
      <c r="B188" s="20" t="n"/>
      <c r="C188" s="21">
        <f>IF(B188="","",VLOOKUP(B188,Projects!$B:$C,2,FALSE()))</f>
        <v/>
      </c>
      <c r="D188" s="21" t="n"/>
      <c r="E188" s="20" t="n"/>
      <c r="F188" s="20" t="n"/>
      <c r="G188" s="20" t="n"/>
      <c r="H188" s="22" t="n"/>
      <c r="I188" s="22" t="n"/>
      <c r="J188" s="21" t="n"/>
      <c r="K188" s="20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</row>
    <row r="189" ht="15.75" customHeight="1" s="18">
      <c r="A189" s="20">
        <f>IF(AND(B189="",C189=""),"",ROW()-1)</f>
        <v/>
      </c>
      <c r="B189" s="20" t="n"/>
      <c r="C189" s="21">
        <f>IF(B189="","",VLOOKUP(B189,Projects!$B:$C,2,FALSE()))</f>
        <v/>
      </c>
      <c r="D189" s="21" t="n"/>
      <c r="E189" s="20" t="n"/>
      <c r="F189" s="20" t="n"/>
      <c r="G189" s="20" t="n"/>
      <c r="H189" s="22" t="n"/>
      <c r="I189" s="22" t="n"/>
      <c r="J189" s="21" t="n"/>
      <c r="K189" s="20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</row>
    <row r="190" ht="15.75" customHeight="1" s="18">
      <c r="A190" s="20">
        <f>IF(AND(B190="",C190=""),"",ROW()-1)</f>
        <v/>
      </c>
      <c r="B190" s="20" t="n"/>
      <c r="C190" s="21">
        <f>IF(B190="","",VLOOKUP(B190,Projects!$B:$C,2,FALSE()))</f>
        <v/>
      </c>
      <c r="D190" s="21" t="n"/>
      <c r="E190" s="20" t="n"/>
      <c r="F190" s="20" t="n"/>
      <c r="G190" s="20" t="n"/>
      <c r="H190" s="22" t="n"/>
      <c r="I190" s="22" t="n"/>
      <c r="J190" s="21" t="n"/>
      <c r="K190" s="20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</row>
    <row r="191" ht="15.75" customHeight="1" s="18">
      <c r="A191" s="20">
        <f>IF(AND(B191="",C191=""),"",ROW()-1)</f>
        <v/>
      </c>
      <c r="B191" s="20" t="n"/>
      <c r="C191" s="21">
        <f>IF(B191="","",VLOOKUP(B191,Projects!$B:$C,2,FALSE()))</f>
        <v/>
      </c>
      <c r="D191" s="21" t="n"/>
      <c r="E191" s="20" t="n"/>
      <c r="F191" s="20" t="n"/>
      <c r="G191" s="20" t="n"/>
      <c r="H191" s="22" t="n"/>
      <c r="I191" s="22" t="n"/>
      <c r="J191" s="21" t="n"/>
      <c r="K191" s="20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</row>
    <row r="192" ht="15.75" customHeight="1" s="18">
      <c r="A192" s="20">
        <f>IF(AND(B192="",C192=""),"",ROW()-1)</f>
        <v/>
      </c>
      <c r="B192" s="20" t="n"/>
      <c r="C192" s="21">
        <f>IF(B192="","",VLOOKUP(B192,Projects!$B:$C,2,FALSE()))</f>
        <v/>
      </c>
      <c r="D192" s="21" t="n"/>
      <c r="E192" s="20" t="n"/>
      <c r="F192" s="20" t="n"/>
      <c r="G192" s="20" t="n"/>
      <c r="H192" s="22" t="n"/>
      <c r="I192" s="22" t="n"/>
      <c r="J192" s="21" t="n"/>
      <c r="K192" s="20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</row>
    <row r="193" ht="15.75" customHeight="1" s="18">
      <c r="A193" s="20">
        <f>IF(AND(B193="",C193=""),"",ROW()-1)</f>
        <v/>
      </c>
      <c r="B193" s="20" t="n"/>
      <c r="C193" s="21">
        <f>IF(B193="","",VLOOKUP(B193,Projects!$B:$C,2,FALSE()))</f>
        <v/>
      </c>
      <c r="D193" s="21" t="n"/>
      <c r="E193" s="20" t="n"/>
      <c r="F193" s="20" t="n"/>
      <c r="G193" s="20" t="n"/>
      <c r="H193" s="22" t="n"/>
      <c r="I193" s="22" t="n"/>
      <c r="J193" s="21" t="n"/>
      <c r="K193" s="20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</row>
    <row r="194" ht="15.75" customHeight="1" s="18">
      <c r="A194" s="20">
        <f>IF(AND(B194="",C194=""),"",ROW()-1)</f>
        <v/>
      </c>
      <c r="B194" s="20" t="n"/>
      <c r="C194" s="21">
        <f>IF(B194="","",VLOOKUP(B194,Projects!$B:$C,2,FALSE()))</f>
        <v/>
      </c>
      <c r="D194" s="21" t="n"/>
      <c r="E194" s="20" t="n"/>
      <c r="F194" s="20" t="n"/>
      <c r="G194" s="20" t="n"/>
      <c r="H194" s="22" t="n"/>
      <c r="I194" s="22" t="n"/>
      <c r="J194" s="21" t="n"/>
      <c r="K194" s="20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</row>
    <row r="195" ht="15.75" customHeight="1" s="18">
      <c r="A195" s="20">
        <f>IF(AND(B195="",C195=""),"",ROW()-1)</f>
        <v/>
      </c>
      <c r="B195" s="20" t="n"/>
      <c r="C195" s="21">
        <f>IF(B195="","",VLOOKUP(B195,Projects!$B:$C,2,FALSE()))</f>
        <v/>
      </c>
      <c r="D195" s="21" t="n"/>
      <c r="E195" s="20" t="n"/>
      <c r="F195" s="20" t="n"/>
      <c r="G195" s="20" t="n"/>
      <c r="H195" s="22" t="n"/>
      <c r="I195" s="22" t="n"/>
      <c r="J195" s="21" t="n"/>
      <c r="K195" s="20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</row>
    <row r="196" ht="15.75" customHeight="1" s="18">
      <c r="A196" s="20">
        <f>IF(AND(B196="",C196=""),"",ROW()-1)</f>
        <v/>
      </c>
      <c r="B196" s="20" t="n"/>
      <c r="C196" s="21">
        <f>IF(B196="","",VLOOKUP(B196,Projects!$B:$C,2,FALSE()))</f>
        <v/>
      </c>
      <c r="D196" s="21" t="n"/>
      <c r="E196" s="20" t="n"/>
      <c r="F196" s="20" t="n"/>
      <c r="G196" s="20" t="n"/>
      <c r="H196" s="22" t="n"/>
      <c r="I196" s="22" t="n"/>
      <c r="J196" s="21" t="n"/>
      <c r="K196" s="20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</row>
    <row r="197" ht="15.75" customHeight="1" s="18">
      <c r="A197" s="20">
        <f>IF(AND(B197="",C197=""),"",ROW()-1)</f>
        <v/>
      </c>
      <c r="B197" s="20" t="n"/>
      <c r="C197" s="21">
        <f>IF(B197="","",VLOOKUP(B197,Projects!$B:$C,2,FALSE()))</f>
        <v/>
      </c>
      <c r="D197" s="21" t="n"/>
      <c r="E197" s="20" t="n"/>
      <c r="F197" s="20" t="n"/>
      <c r="G197" s="20" t="n"/>
      <c r="H197" s="22" t="n"/>
      <c r="I197" s="22" t="n"/>
      <c r="J197" s="21" t="n"/>
      <c r="K197" s="20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</row>
    <row r="198" ht="15.75" customHeight="1" s="18">
      <c r="A198" s="20">
        <f>IF(AND(B198="",C198=""),"",ROW()-1)</f>
        <v/>
      </c>
      <c r="B198" s="20" t="n"/>
      <c r="C198" s="21">
        <f>IF(B198="","",VLOOKUP(B198,Projects!$B:$C,2,FALSE()))</f>
        <v/>
      </c>
      <c r="D198" s="21" t="n"/>
      <c r="E198" s="20" t="n"/>
      <c r="F198" s="20" t="n"/>
      <c r="G198" s="20" t="n"/>
      <c r="H198" s="22" t="n"/>
      <c r="I198" s="22" t="n"/>
      <c r="J198" s="21" t="n"/>
      <c r="K198" s="20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</row>
    <row r="199" ht="15.75" customHeight="1" s="18">
      <c r="A199" s="20">
        <f>IF(AND(B199="",C199=""),"",ROW()-1)</f>
        <v/>
      </c>
      <c r="B199" s="20" t="n"/>
      <c r="C199" s="21">
        <f>IF(B199="","",VLOOKUP(B199,Projects!$B:$C,2,FALSE()))</f>
        <v/>
      </c>
      <c r="D199" s="21" t="n"/>
      <c r="E199" s="20" t="n"/>
      <c r="F199" s="20" t="n"/>
      <c r="G199" s="20" t="n"/>
      <c r="H199" s="22" t="n"/>
      <c r="I199" s="22" t="n"/>
      <c r="J199" s="21" t="n"/>
      <c r="K199" s="20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</row>
    <row r="200" ht="15.75" customHeight="1" s="18">
      <c r="A200" s="20">
        <f>IF(AND(B200="",C200=""),"",ROW()-1)</f>
        <v/>
      </c>
      <c r="B200" s="20" t="n"/>
      <c r="C200" s="21">
        <f>IF(B200="","",VLOOKUP(B200,Projects!$B:$C,2,FALSE()))</f>
        <v/>
      </c>
      <c r="D200" s="21" t="n"/>
      <c r="E200" s="20" t="n"/>
      <c r="F200" s="20" t="n"/>
      <c r="G200" s="20" t="n"/>
      <c r="H200" s="22" t="n"/>
      <c r="I200" s="22" t="n"/>
      <c r="J200" s="21" t="n"/>
      <c r="K200" s="20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</row>
    <row r="201" ht="15.75" customHeight="1" s="18">
      <c r="A201" s="20">
        <f>IF(AND(B201="",C201=""),"",ROW()-1)</f>
        <v/>
      </c>
      <c r="B201" s="20" t="n"/>
      <c r="C201" s="21">
        <f>IF(B201="","",VLOOKUP(B201,Projects!$B:$C,2,FALSE()))</f>
        <v/>
      </c>
      <c r="D201" s="21" t="n"/>
      <c r="E201" s="20" t="n"/>
      <c r="F201" s="20" t="n"/>
      <c r="G201" s="20" t="n"/>
      <c r="H201" s="22" t="n"/>
      <c r="I201" s="22" t="n"/>
      <c r="J201" s="21" t="n"/>
      <c r="K201" s="20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</row>
    <row r="202" ht="15.75" customHeight="1" s="18">
      <c r="A202" s="20">
        <f>IF(AND(B202="",C202=""),"",ROW()-1)</f>
        <v/>
      </c>
      <c r="B202" s="20" t="n"/>
      <c r="C202" s="21">
        <f>IF(B202="","",VLOOKUP(B202,Projects!$B:$C,2,FALSE()))</f>
        <v/>
      </c>
      <c r="D202" s="21" t="n"/>
      <c r="E202" s="20" t="n"/>
      <c r="F202" s="20" t="n"/>
      <c r="G202" s="20" t="n"/>
      <c r="H202" s="22" t="n"/>
      <c r="I202" s="22" t="n"/>
      <c r="J202" s="21" t="n"/>
      <c r="K202" s="20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</row>
    <row r="203" ht="15.75" customHeight="1" s="18">
      <c r="A203" s="20">
        <f>IF(AND(B203="",C203=""),"",ROW()-1)</f>
        <v/>
      </c>
      <c r="B203" s="20" t="n"/>
      <c r="C203" s="21">
        <f>IF(B203="","",VLOOKUP(B203,Projects!$B:$C,2,FALSE()))</f>
        <v/>
      </c>
      <c r="D203" s="21" t="n"/>
      <c r="E203" s="20" t="n"/>
      <c r="F203" s="20" t="n"/>
      <c r="G203" s="20" t="n"/>
      <c r="H203" s="22" t="n"/>
      <c r="I203" s="22" t="n"/>
      <c r="J203" s="21" t="n"/>
      <c r="K203" s="20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</row>
    <row r="204" ht="15.75" customHeight="1" s="18">
      <c r="A204" s="20">
        <f>IF(AND(B204="",C204=""),"",ROW()-1)</f>
        <v/>
      </c>
      <c r="B204" s="20" t="n"/>
      <c r="C204" s="21">
        <f>IF(B204="","",VLOOKUP(B204,Projects!$B:$C,2,FALSE()))</f>
        <v/>
      </c>
      <c r="D204" s="21" t="n"/>
      <c r="E204" s="20" t="n"/>
      <c r="F204" s="20" t="n"/>
      <c r="G204" s="20" t="n"/>
      <c r="H204" s="22" t="n"/>
      <c r="I204" s="22" t="n"/>
      <c r="J204" s="21" t="n"/>
      <c r="K204" s="20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</row>
    <row r="205" ht="15.75" customHeight="1" s="18">
      <c r="A205" s="20">
        <f>IF(AND(B205="",C205=""),"",ROW()-1)</f>
        <v/>
      </c>
      <c r="B205" s="20" t="n"/>
      <c r="C205" s="21">
        <f>IF(B205="","",VLOOKUP(B205,Projects!$B:$C,2,FALSE()))</f>
        <v/>
      </c>
      <c r="D205" s="21" t="n"/>
      <c r="E205" s="20" t="n"/>
      <c r="F205" s="20" t="n"/>
      <c r="G205" s="20" t="n"/>
      <c r="H205" s="22" t="n"/>
      <c r="I205" s="22" t="n"/>
      <c r="J205" s="21" t="n"/>
      <c r="K205" s="20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</row>
    <row r="206" ht="15.75" customHeight="1" s="18">
      <c r="A206" s="20">
        <f>IF(AND(B206="",C206=""),"",ROW()-1)</f>
        <v/>
      </c>
      <c r="B206" s="20" t="n"/>
      <c r="C206" s="21">
        <f>IF(B206="","",VLOOKUP(B206,Projects!$B:$C,2,FALSE()))</f>
        <v/>
      </c>
      <c r="D206" s="21" t="n"/>
      <c r="E206" s="20" t="n"/>
      <c r="F206" s="20" t="n"/>
      <c r="G206" s="20" t="n"/>
      <c r="H206" s="22" t="n"/>
      <c r="I206" s="22" t="n"/>
      <c r="J206" s="21" t="n"/>
      <c r="K206" s="20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</row>
    <row r="207" ht="15.75" customHeight="1" s="18">
      <c r="A207" s="20">
        <f>IF(AND(B207="",C207=""),"",ROW()-1)</f>
        <v/>
      </c>
      <c r="B207" s="20" t="n"/>
      <c r="C207" s="21">
        <f>IF(B207="","",VLOOKUP(B207,Projects!$B:$C,2,FALSE()))</f>
        <v/>
      </c>
      <c r="D207" s="21" t="n"/>
      <c r="E207" s="20" t="n"/>
      <c r="F207" s="20" t="n"/>
      <c r="G207" s="20" t="n"/>
      <c r="H207" s="22" t="n"/>
      <c r="I207" s="22" t="n"/>
      <c r="J207" s="21" t="n"/>
      <c r="K207" s="20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</row>
    <row r="208" ht="15.75" customHeight="1" s="18">
      <c r="A208" s="20">
        <f>IF(AND(B208="",C208=""),"",ROW()-1)</f>
        <v/>
      </c>
      <c r="B208" s="20" t="n"/>
      <c r="C208" s="21">
        <f>IF(B208="","",VLOOKUP(B208,Projects!$B:$C,2,FALSE()))</f>
        <v/>
      </c>
      <c r="D208" s="21" t="n"/>
      <c r="E208" s="20" t="n"/>
      <c r="F208" s="20" t="n"/>
      <c r="G208" s="20" t="n"/>
      <c r="H208" s="22" t="n"/>
      <c r="I208" s="22" t="n"/>
      <c r="J208" s="21" t="n"/>
      <c r="K208" s="20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</row>
    <row r="209" ht="15.75" customHeight="1" s="18">
      <c r="A209" s="20">
        <f>IF(AND(B209="",C209=""),"",ROW()-1)</f>
        <v/>
      </c>
      <c r="B209" s="20" t="n"/>
      <c r="C209" s="21">
        <f>IF(B209="","",VLOOKUP(B209,Projects!$B:$C,2,FALSE()))</f>
        <v/>
      </c>
      <c r="D209" s="21" t="n"/>
      <c r="E209" s="20" t="n"/>
      <c r="F209" s="20" t="n"/>
      <c r="G209" s="20" t="n"/>
      <c r="H209" s="22" t="n"/>
      <c r="I209" s="22" t="n"/>
      <c r="J209" s="21" t="n"/>
      <c r="K209" s="20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</row>
    <row r="210" ht="15.75" customHeight="1" s="18">
      <c r="A210" s="20">
        <f>IF(AND(B210="",C210=""),"",ROW()-1)</f>
        <v/>
      </c>
      <c r="B210" s="20" t="n"/>
      <c r="C210" s="21">
        <f>IF(B210="","",VLOOKUP(B210,Projects!$B:$C,2,FALSE()))</f>
        <v/>
      </c>
      <c r="D210" s="21" t="n"/>
      <c r="E210" s="20" t="n"/>
      <c r="F210" s="20" t="n"/>
      <c r="G210" s="20" t="n"/>
      <c r="H210" s="22" t="n"/>
      <c r="I210" s="22" t="n"/>
      <c r="J210" s="21" t="n"/>
      <c r="K210" s="20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</row>
    <row r="211" ht="15.75" customHeight="1" s="18">
      <c r="A211" s="20">
        <f>IF(AND(B211="",C211=""),"",ROW()-1)</f>
        <v/>
      </c>
      <c r="B211" s="20" t="n"/>
      <c r="C211" s="21">
        <f>IF(B211="","",VLOOKUP(B211,Projects!$B:$C,2,FALSE()))</f>
        <v/>
      </c>
      <c r="D211" s="21" t="n"/>
      <c r="E211" s="20" t="n"/>
      <c r="F211" s="20" t="n"/>
      <c r="G211" s="20" t="n"/>
      <c r="H211" s="22" t="n"/>
      <c r="I211" s="22" t="n"/>
      <c r="J211" s="21" t="n"/>
      <c r="K211" s="20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</row>
    <row r="212" ht="15.75" customHeight="1" s="18">
      <c r="A212" s="20">
        <f>IF(AND(B212="",C212=""),"",ROW()-1)</f>
        <v/>
      </c>
      <c r="B212" s="20" t="n"/>
      <c r="C212" s="21">
        <f>IF(B212="","",VLOOKUP(B212,Projects!$B:$C,2,FALSE()))</f>
        <v/>
      </c>
      <c r="D212" s="21" t="n"/>
      <c r="E212" s="20" t="n"/>
      <c r="F212" s="20" t="n"/>
      <c r="G212" s="20" t="n"/>
      <c r="H212" s="22" t="n"/>
      <c r="I212" s="22" t="n"/>
      <c r="J212" s="21" t="n"/>
      <c r="K212" s="20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</row>
    <row r="213" ht="15.75" customHeight="1" s="18">
      <c r="A213" s="20">
        <f>IF(AND(B213="",C213=""),"",ROW()-1)</f>
        <v/>
      </c>
      <c r="B213" s="20" t="n"/>
      <c r="C213" s="21">
        <f>IF(B213="","",VLOOKUP(B213,Projects!$B:$C,2,FALSE()))</f>
        <v/>
      </c>
      <c r="D213" s="21" t="n"/>
      <c r="E213" s="20" t="n"/>
      <c r="F213" s="20" t="n"/>
      <c r="G213" s="20" t="n"/>
      <c r="H213" s="22" t="n"/>
      <c r="I213" s="22" t="n"/>
      <c r="J213" s="21" t="n"/>
      <c r="K213" s="20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</row>
    <row r="214" ht="15.75" customHeight="1" s="18">
      <c r="A214" s="20">
        <f>IF(AND(B214="",C214=""),"",ROW()-1)</f>
        <v/>
      </c>
      <c r="B214" s="20" t="n"/>
      <c r="C214" s="21">
        <f>IF(B214="","",VLOOKUP(B214,Projects!$B:$C,2,FALSE()))</f>
        <v/>
      </c>
      <c r="D214" s="21" t="n"/>
      <c r="E214" s="20" t="n"/>
      <c r="F214" s="20" t="n"/>
      <c r="G214" s="20" t="n"/>
      <c r="H214" s="22" t="n"/>
      <c r="I214" s="22" t="n"/>
      <c r="J214" s="21" t="n"/>
      <c r="K214" s="20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</row>
    <row r="215" ht="15.75" customHeight="1" s="18">
      <c r="A215" s="20">
        <f>IF(AND(B215="",C215=""),"",ROW()-1)</f>
        <v/>
      </c>
      <c r="B215" s="20" t="n"/>
      <c r="C215" s="21">
        <f>IF(B215="","",VLOOKUP(B215,Projects!$B:$C,2,FALSE()))</f>
        <v/>
      </c>
      <c r="D215" s="21" t="n"/>
      <c r="E215" s="20" t="n"/>
      <c r="F215" s="20" t="n"/>
      <c r="G215" s="20" t="n"/>
      <c r="H215" s="22" t="n"/>
      <c r="I215" s="22" t="n"/>
      <c r="J215" s="21" t="n"/>
      <c r="K215" s="20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</row>
    <row r="216" ht="15.75" customHeight="1" s="18">
      <c r="A216" s="20">
        <f>IF(AND(B216="",C216=""),"",ROW()-1)</f>
        <v/>
      </c>
      <c r="B216" s="20" t="n"/>
      <c r="C216" s="21">
        <f>IF(B216="","",VLOOKUP(B216,Projects!$B:$C,2,FALSE()))</f>
        <v/>
      </c>
      <c r="D216" s="21" t="n"/>
      <c r="E216" s="20" t="n"/>
      <c r="F216" s="20" t="n"/>
      <c r="G216" s="20" t="n"/>
      <c r="H216" s="22" t="n"/>
      <c r="I216" s="22" t="n"/>
      <c r="J216" s="21" t="n"/>
      <c r="K216" s="20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</row>
    <row r="217" ht="15.75" customHeight="1" s="18">
      <c r="A217" s="20">
        <f>IF(AND(B217="",C217=""),"",ROW()-1)</f>
        <v/>
      </c>
      <c r="B217" s="20" t="n"/>
      <c r="C217" s="21">
        <f>IF(B217="","",VLOOKUP(B217,Projects!$B:$C,2,FALSE()))</f>
        <v/>
      </c>
      <c r="D217" s="21" t="n"/>
      <c r="E217" s="20" t="n"/>
      <c r="F217" s="20" t="n"/>
      <c r="G217" s="20" t="n"/>
      <c r="H217" s="22" t="n"/>
      <c r="I217" s="22" t="n"/>
      <c r="J217" s="21" t="n"/>
      <c r="K217" s="20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</row>
    <row r="218" ht="15.75" customHeight="1" s="18">
      <c r="A218" s="20">
        <f>IF(AND(B218="",C218=""),"",ROW()-1)</f>
        <v/>
      </c>
      <c r="B218" s="20" t="n"/>
      <c r="C218" s="21">
        <f>IF(B218="","",VLOOKUP(B218,Projects!$B:$C,2,FALSE()))</f>
        <v/>
      </c>
      <c r="D218" s="21" t="n"/>
      <c r="E218" s="20" t="n"/>
      <c r="F218" s="20" t="n"/>
      <c r="G218" s="20" t="n"/>
      <c r="H218" s="22" t="n"/>
      <c r="I218" s="22" t="n"/>
      <c r="J218" s="21" t="n"/>
      <c r="K218" s="20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</row>
    <row r="219" ht="15.75" customHeight="1" s="18">
      <c r="A219" s="20">
        <f>IF(AND(B219="",C219=""),"",ROW()-1)</f>
        <v/>
      </c>
      <c r="B219" s="20" t="n"/>
      <c r="C219" s="21">
        <f>IF(B219="","",VLOOKUP(B219,Projects!$B:$C,2,FALSE()))</f>
        <v/>
      </c>
      <c r="D219" s="21" t="n"/>
      <c r="E219" s="20" t="n"/>
      <c r="F219" s="20" t="n"/>
      <c r="G219" s="20" t="n"/>
      <c r="H219" s="22" t="n"/>
      <c r="I219" s="22" t="n"/>
      <c r="J219" s="21" t="n"/>
      <c r="K219" s="20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</row>
    <row r="220" ht="15.75" customHeight="1" s="18">
      <c r="A220" s="20">
        <f>IF(AND(B220="",C220=""),"",ROW()-1)</f>
        <v/>
      </c>
      <c r="B220" s="20" t="n"/>
      <c r="C220" s="21">
        <f>IF(B220="","",VLOOKUP(B220,Projects!$B:$C,2,FALSE()))</f>
        <v/>
      </c>
      <c r="D220" s="21" t="n"/>
      <c r="E220" s="20" t="n"/>
      <c r="F220" s="20" t="n"/>
      <c r="G220" s="20" t="n"/>
      <c r="H220" s="22" t="n"/>
      <c r="I220" s="22" t="n"/>
      <c r="J220" s="21" t="n"/>
      <c r="K220" s="20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</row>
    <row r="221" ht="15.75" customHeight="1" s="18">
      <c r="A221" s="20">
        <f>IF(AND(B221="",C221=""),"",ROW()-1)</f>
        <v/>
      </c>
      <c r="B221" s="20" t="n"/>
      <c r="C221" s="21">
        <f>IF(B221="","",VLOOKUP(B221,Projects!$B:$C,2,FALSE()))</f>
        <v/>
      </c>
      <c r="D221" s="21" t="n"/>
      <c r="E221" s="20" t="n"/>
      <c r="F221" s="20" t="n"/>
      <c r="G221" s="20" t="n"/>
      <c r="H221" s="22" t="n"/>
      <c r="I221" s="22" t="n"/>
      <c r="J221" s="21" t="n"/>
      <c r="K221" s="20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</row>
    <row r="222" ht="15.75" customHeight="1" s="18">
      <c r="A222" s="20">
        <f>IF(AND(B222="",C222=""),"",ROW()-1)</f>
        <v/>
      </c>
      <c r="B222" s="20" t="n"/>
      <c r="C222" s="21">
        <f>IF(B222="","",VLOOKUP(B222,Projects!$B:$C,2,FALSE()))</f>
        <v/>
      </c>
      <c r="D222" s="21" t="n"/>
      <c r="E222" s="20" t="n"/>
      <c r="F222" s="20" t="n"/>
      <c r="G222" s="20" t="n"/>
      <c r="H222" s="22" t="n"/>
      <c r="I222" s="22" t="n"/>
      <c r="J222" s="21" t="n"/>
      <c r="K222" s="20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</row>
    <row r="223" ht="15.75" customHeight="1" s="18">
      <c r="A223" s="20">
        <f>IF(AND(B223="",C223=""),"",ROW()-1)</f>
        <v/>
      </c>
      <c r="B223" s="20" t="n"/>
      <c r="C223" s="21">
        <f>IF(B223="","",VLOOKUP(B223,Projects!$B:$C,2,FALSE()))</f>
        <v/>
      </c>
      <c r="D223" s="21" t="n"/>
      <c r="E223" s="20" t="n"/>
      <c r="F223" s="20" t="n"/>
      <c r="G223" s="20" t="n"/>
      <c r="H223" s="22" t="n"/>
      <c r="I223" s="22" t="n"/>
      <c r="J223" s="21" t="n"/>
      <c r="K223" s="20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</row>
    <row r="224" ht="15.75" customHeight="1" s="18">
      <c r="A224" s="20">
        <f>IF(AND(B224="",C224=""),"",ROW()-1)</f>
        <v/>
      </c>
      <c r="B224" s="20" t="n"/>
      <c r="C224" s="21">
        <f>IF(B224="","",VLOOKUP(B224,Projects!$B:$C,2,FALSE()))</f>
        <v/>
      </c>
      <c r="D224" s="21" t="n"/>
      <c r="E224" s="20" t="n"/>
      <c r="F224" s="20" t="n"/>
      <c r="G224" s="20" t="n"/>
      <c r="H224" s="22" t="n"/>
      <c r="I224" s="22" t="n"/>
      <c r="J224" s="21" t="n"/>
      <c r="K224" s="20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</row>
    <row r="225" ht="15.75" customHeight="1" s="18">
      <c r="A225" s="20">
        <f>IF(AND(B225="",C225=""),"",ROW()-1)</f>
        <v/>
      </c>
      <c r="B225" s="20" t="n"/>
      <c r="C225" s="21">
        <f>IF(B225="","",VLOOKUP(B225,Projects!$B:$C,2,FALSE()))</f>
        <v/>
      </c>
      <c r="D225" s="21" t="n"/>
      <c r="E225" s="20" t="n"/>
      <c r="F225" s="20" t="n"/>
      <c r="G225" s="20" t="n"/>
      <c r="H225" s="22" t="n"/>
      <c r="I225" s="22" t="n"/>
      <c r="J225" s="21" t="n"/>
      <c r="K225" s="20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</row>
    <row r="226" ht="15.75" customHeight="1" s="18">
      <c r="A226" s="20">
        <f>IF(AND(B226="",C226=""),"",ROW()-1)</f>
        <v/>
      </c>
      <c r="B226" s="20" t="n"/>
      <c r="C226" s="21">
        <f>IF(B226="","",VLOOKUP(B226,Projects!$B:$C,2,FALSE()))</f>
        <v/>
      </c>
      <c r="D226" s="21" t="n"/>
      <c r="E226" s="20" t="n"/>
      <c r="F226" s="20" t="n"/>
      <c r="G226" s="20" t="n"/>
      <c r="H226" s="22" t="n"/>
      <c r="I226" s="22" t="n"/>
      <c r="J226" s="21" t="n"/>
      <c r="K226" s="20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</row>
    <row r="227" ht="15.75" customHeight="1" s="18">
      <c r="A227" s="20">
        <f>IF(AND(B227="",C227=""),"",ROW()-1)</f>
        <v/>
      </c>
      <c r="B227" s="20" t="n"/>
      <c r="C227" s="21">
        <f>IF(B227="","",VLOOKUP(B227,Projects!$B:$C,2,FALSE()))</f>
        <v/>
      </c>
      <c r="D227" s="21" t="n"/>
      <c r="E227" s="20" t="n"/>
      <c r="F227" s="20" t="n"/>
      <c r="G227" s="20" t="n"/>
      <c r="H227" s="22" t="n"/>
      <c r="I227" s="22" t="n"/>
      <c r="J227" s="21" t="n"/>
      <c r="K227" s="20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</row>
    <row r="228" ht="15.75" customHeight="1" s="18">
      <c r="A228" s="20">
        <f>IF(AND(B228="",C228=""),"",ROW()-1)</f>
        <v/>
      </c>
      <c r="B228" s="20" t="n"/>
      <c r="C228" s="21">
        <f>IF(B228="","",VLOOKUP(B228,Projects!$B:$C,2,FALSE()))</f>
        <v/>
      </c>
      <c r="D228" s="21" t="n"/>
      <c r="E228" s="20" t="n"/>
      <c r="F228" s="20" t="n"/>
      <c r="G228" s="20" t="n"/>
      <c r="H228" s="22" t="n"/>
      <c r="I228" s="22" t="n"/>
      <c r="J228" s="21" t="n"/>
      <c r="K228" s="20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</row>
    <row r="229" ht="15.75" customHeight="1" s="18">
      <c r="A229" s="20">
        <f>IF(AND(B229="",C229=""),"",ROW()-1)</f>
        <v/>
      </c>
      <c r="B229" s="20" t="n"/>
      <c r="C229" s="21">
        <f>IF(B229="","",VLOOKUP(B229,Projects!$B:$C,2,FALSE()))</f>
        <v/>
      </c>
      <c r="D229" s="21" t="n"/>
      <c r="E229" s="20" t="n"/>
      <c r="F229" s="20" t="n"/>
      <c r="G229" s="20" t="n"/>
      <c r="H229" s="22" t="n"/>
      <c r="I229" s="22" t="n"/>
      <c r="J229" s="21" t="n"/>
      <c r="K229" s="20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</row>
    <row r="230" ht="15.75" customHeight="1" s="18">
      <c r="A230" s="20">
        <f>IF(AND(B230="",C230=""),"",ROW()-1)</f>
        <v/>
      </c>
      <c r="B230" s="20" t="n"/>
      <c r="C230" s="21">
        <f>IF(B230="","",VLOOKUP(B230,Projects!$B:$C,2,FALSE()))</f>
        <v/>
      </c>
      <c r="D230" s="21" t="n"/>
      <c r="E230" s="20" t="n"/>
      <c r="F230" s="20" t="n"/>
      <c r="G230" s="20" t="n"/>
      <c r="H230" s="22" t="n"/>
      <c r="I230" s="22" t="n"/>
      <c r="J230" s="21" t="n"/>
      <c r="K230" s="20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</row>
    <row r="231" ht="15.75" customHeight="1" s="18">
      <c r="A231" s="20">
        <f>IF(AND(B231="",C231=""),"",ROW()-1)</f>
        <v/>
      </c>
      <c r="B231" s="20" t="n"/>
      <c r="C231" s="21">
        <f>IF(B231="","",VLOOKUP(B231,Projects!$B:$C,2,FALSE()))</f>
        <v/>
      </c>
      <c r="D231" s="21" t="n"/>
      <c r="E231" s="20" t="n"/>
      <c r="F231" s="20" t="n"/>
      <c r="G231" s="20" t="n"/>
      <c r="H231" s="22" t="n"/>
      <c r="I231" s="22" t="n"/>
      <c r="J231" s="21" t="n"/>
      <c r="K231" s="20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</row>
    <row r="232" ht="15.75" customHeight="1" s="18">
      <c r="A232" s="20">
        <f>IF(AND(B232="",C232=""),"",ROW()-1)</f>
        <v/>
      </c>
      <c r="B232" s="20" t="n"/>
      <c r="C232" s="21">
        <f>IF(B232="","",VLOOKUP(B232,Projects!$B:$C,2,FALSE()))</f>
        <v/>
      </c>
      <c r="D232" s="21" t="n"/>
      <c r="E232" s="20" t="n"/>
      <c r="F232" s="20" t="n"/>
      <c r="G232" s="20" t="n"/>
      <c r="H232" s="22" t="n"/>
      <c r="I232" s="22" t="n"/>
      <c r="J232" s="21" t="n"/>
      <c r="K232" s="20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</row>
    <row r="233" ht="15.75" customHeight="1" s="18">
      <c r="A233" s="20">
        <f>IF(AND(B233="",C233=""),"",ROW()-1)</f>
        <v/>
      </c>
      <c r="B233" s="20" t="n"/>
      <c r="C233" s="21">
        <f>IF(B233="","",VLOOKUP(B233,Projects!$B:$C,2,FALSE()))</f>
        <v/>
      </c>
      <c r="D233" s="21" t="n"/>
      <c r="E233" s="20" t="n"/>
      <c r="F233" s="20" t="n"/>
      <c r="G233" s="20" t="n"/>
      <c r="H233" s="22" t="n"/>
      <c r="I233" s="22" t="n"/>
      <c r="J233" s="21" t="n"/>
      <c r="K233" s="20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</row>
    <row r="234" ht="15.75" customHeight="1" s="18">
      <c r="A234" s="20">
        <f>IF(AND(B234="",C234=""),"",ROW()-1)</f>
        <v/>
      </c>
      <c r="B234" s="20" t="n"/>
      <c r="C234" s="21">
        <f>IF(B234="","",VLOOKUP(B234,Projects!$B:$C,2,FALSE()))</f>
        <v/>
      </c>
      <c r="D234" s="21" t="n"/>
      <c r="E234" s="20" t="n"/>
      <c r="F234" s="20" t="n"/>
      <c r="G234" s="20" t="n"/>
      <c r="H234" s="22" t="n"/>
      <c r="I234" s="22" t="n"/>
      <c r="J234" s="21" t="n"/>
      <c r="K234" s="20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</row>
    <row r="235" ht="15.75" customHeight="1" s="18">
      <c r="A235" s="20">
        <f>IF(AND(B235="",C235=""),"",ROW()-1)</f>
        <v/>
      </c>
      <c r="B235" s="20" t="n"/>
      <c r="C235" s="21">
        <f>IF(B235="","",VLOOKUP(B235,Projects!$B:$C,2,FALSE()))</f>
        <v/>
      </c>
      <c r="D235" s="21" t="n"/>
      <c r="E235" s="20" t="n"/>
      <c r="F235" s="20" t="n"/>
      <c r="G235" s="20" t="n"/>
      <c r="H235" s="22" t="n"/>
      <c r="I235" s="22" t="n"/>
      <c r="J235" s="21" t="n"/>
      <c r="K235" s="20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</row>
    <row r="236" ht="15.75" customHeight="1" s="18">
      <c r="A236" s="20">
        <f>IF(AND(B236="",C236=""),"",ROW()-1)</f>
        <v/>
      </c>
      <c r="B236" s="20" t="n"/>
      <c r="C236" s="21">
        <f>IF(B236="","",VLOOKUP(B236,Projects!$B:$C,2,FALSE()))</f>
        <v/>
      </c>
      <c r="D236" s="21" t="n"/>
      <c r="E236" s="20" t="n"/>
      <c r="F236" s="20" t="n"/>
      <c r="G236" s="20" t="n"/>
      <c r="H236" s="22" t="n"/>
      <c r="I236" s="22" t="n"/>
      <c r="J236" s="21" t="n"/>
      <c r="K236" s="20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</row>
    <row r="237" ht="15.75" customHeight="1" s="18">
      <c r="A237" s="20">
        <f>IF(AND(B237="",C237=""),"",ROW()-1)</f>
        <v/>
      </c>
      <c r="B237" s="20" t="n"/>
      <c r="C237" s="21">
        <f>IF(B237="","",VLOOKUP(B237,Projects!$B:$C,2,FALSE()))</f>
        <v/>
      </c>
      <c r="D237" s="21" t="n"/>
      <c r="E237" s="20" t="n"/>
      <c r="F237" s="20" t="n"/>
      <c r="G237" s="20" t="n"/>
      <c r="H237" s="22" t="n"/>
      <c r="I237" s="22" t="n"/>
      <c r="J237" s="21" t="n"/>
      <c r="K237" s="20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</row>
    <row r="238" ht="15.75" customHeight="1" s="18">
      <c r="A238" s="20">
        <f>IF(AND(B238="",C238=""),"",ROW()-1)</f>
        <v/>
      </c>
      <c r="B238" s="20" t="n"/>
      <c r="C238" s="21">
        <f>IF(B238="","",VLOOKUP(B238,Projects!$B:$C,2,FALSE()))</f>
        <v/>
      </c>
      <c r="D238" s="21" t="n"/>
      <c r="E238" s="20" t="n"/>
      <c r="F238" s="20" t="n"/>
      <c r="G238" s="20" t="n"/>
      <c r="H238" s="22" t="n"/>
      <c r="I238" s="22" t="n"/>
      <c r="J238" s="21" t="n"/>
      <c r="K238" s="20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</row>
    <row r="239" ht="15.75" customHeight="1" s="18">
      <c r="A239" s="20">
        <f>IF(AND(B239="",C239=""),"",ROW()-1)</f>
        <v/>
      </c>
      <c r="B239" s="20" t="n"/>
      <c r="C239" s="21">
        <f>IF(B239="","",VLOOKUP(B239,Projects!$B:$C,2,FALSE()))</f>
        <v/>
      </c>
      <c r="D239" s="21" t="n"/>
      <c r="E239" s="20" t="n"/>
      <c r="F239" s="20" t="n"/>
      <c r="G239" s="20" t="n"/>
      <c r="H239" s="22" t="n"/>
      <c r="I239" s="22" t="n"/>
      <c r="J239" s="21" t="n"/>
      <c r="K239" s="20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</row>
    <row r="240" ht="15.75" customHeight="1" s="18">
      <c r="A240" s="20">
        <f>IF(AND(B240="",C240=""),"",ROW()-1)</f>
        <v/>
      </c>
      <c r="B240" s="20" t="n"/>
      <c r="C240" s="21">
        <f>IF(B240="","",VLOOKUP(B240,Projects!$B:$C,2,FALSE()))</f>
        <v/>
      </c>
      <c r="D240" s="21" t="n"/>
      <c r="E240" s="20" t="n"/>
      <c r="F240" s="20" t="n"/>
      <c r="G240" s="20" t="n"/>
      <c r="H240" s="22" t="n"/>
      <c r="I240" s="22" t="n"/>
      <c r="J240" s="21" t="n"/>
      <c r="K240" s="20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</row>
    <row r="241" ht="15.75" customHeight="1" s="18">
      <c r="A241" s="20">
        <f>IF(AND(B241="",C241=""),"",ROW()-1)</f>
        <v/>
      </c>
      <c r="B241" s="20" t="n"/>
      <c r="C241" s="21">
        <f>IF(B241="","",VLOOKUP(B241,Projects!$B:$C,2,FALSE()))</f>
        <v/>
      </c>
      <c r="D241" s="21" t="n"/>
      <c r="E241" s="20" t="n"/>
      <c r="F241" s="20" t="n"/>
      <c r="G241" s="20" t="n"/>
      <c r="H241" s="22" t="n"/>
      <c r="I241" s="22" t="n"/>
      <c r="J241" s="21" t="n"/>
      <c r="K241" s="20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</row>
    <row r="242" ht="15.75" customHeight="1" s="18">
      <c r="A242" s="20">
        <f>IF(AND(B242="",C242=""),"",ROW()-1)</f>
        <v/>
      </c>
      <c r="B242" s="20" t="n"/>
      <c r="C242" s="21">
        <f>IF(B242="","",VLOOKUP(B242,Projects!$B:$C,2,FALSE()))</f>
        <v/>
      </c>
      <c r="D242" s="21" t="n"/>
      <c r="E242" s="20" t="n"/>
      <c r="F242" s="20" t="n"/>
      <c r="G242" s="20" t="n"/>
      <c r="H242" s="22" t="n"/>
      <c r="I242" s="22" t="n"/>
      <c r="J242" s="21" t="n"/>
      <c r="K242" s="20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</row>
    <row r="243" ht="15.75" customHeight="1" s="18">
      <c r="A243" s="20">
        <f>IF(AND(B243="",C243=""),"",ROW()-1)</f>
        <v/>
      </c>
      <c r="B243" s="20" t="n"/>
      <c r="C243" s="21">
        <f>IF(B243="","",VLOOKUP(B243,Projects!$B:$C,2,FALSE()))</f>
        <v/>
      </c>
      <c r="D243" s="21" t="n"/>
      <c r="E243" s="20" t="n"/>
      <c r="F243" s="20" t="n"/>
      <c r="G243" s="20" t="n"/>
      <c r="H243" s="22" t="n"/>
      <c r="I243" s="22" t="n"/>
      <c r="J243" s="21" t="n"/>
      <c r="K243" s="20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</row>
    <row r="244" ht="15.75" customHeight="1" s="18">
      <c r="A244" s="20">
        <f>IF(AND(B244="",C244=""),"",ROW()-1)</f>
        <v/>
      </c>
      <c r="B244" s="20" t="n"/>
      <c r="C244" s="21">
        <f>IF(B244="","",VLOOKUP(B244,Projects!$B:$C,2,FALSE()))</f>
        <v/>
      </c>
      <c r="D244" s="21" t="n"/>
      <c r="E244" s="20" t="n"/>
      <c r="F244" s="20" t="n"/>
      <c r="G244" s="20" t="n"/>
      <c r="H244" s="22" t="n"/>
      <c r="I244" s="22" t="n"/>
      <c r="J244" s="21" t="n"/>
      <c r="K244" s="20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</row>
    <row r="245" ht="15.75" customHeight="1" s="18">
      <c r="A245" s="20">
        <f>IF(AND(B245="",C245=""),"",ROW()-1)</f>
        <v/>
      </c>
      <c r="B245" s="20" t="n"/>
      <c r="C245" s="21">
        <f>IF(B245="","",VLOOKUP(B245,Projects!$B:$C,2,FALSE()))</f>
        <v/>
      </c>
      <c r="D245" s="21" t="n"/>
      <c r="E245" s="20" t="n"/>
      <c r="F245" s="20" t="n"/>
      <c r="G245" s="20" t="n"/>
      <c r="H245" s="22" t="n"/>
      <c r="I245" s="22" t="n"/>
      <c r="J245" s="21" t="n"/>
      <c r="K245" s="20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</row>
    <row r="246" ht="15.75" customHeight="1" s="18">
      <c r="A246" s="20">
        <f>IF(AND(B246="",C246=""),"",ROW()-1)</f>
        <v/>
      </c>
      <c r="B246" s="20" t="n"/>
      <c r="C246" s="21">
        <f>IF(B246="","",VLOOKUP(B246,Projects!$B:$C,2,FALSE()))</f>
        <v/>
      </c>
      <c r="D246" s="21" t="n"/>
      <c r="E246" s="20" t="n"/>
      <c r="F246" s="20" t="n"/>
      <c r="G246" s="20" t="n"/>
      <c r="H246" s="22" t="n"/>
      <c r="I246" s="22" t="n"/>
      <c r="J246" s="21" t="n"/>
      <c r="K246" s="20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</row>
    <row r="247" ht="15.75" customHeight="1" s="18">
      <c r="A247" s="20">
        <f>IF(AND(B247="",C247=""),"",ROW()-1)</f>
        <v/>
      </c>
      <c r="B247" s="20" t="n"/>
      <c r="C247" s="21">
        <f>IF(B247="","",VLOOKUP(B247,Projects!$B:$C,2,FALSE()))</f>
        <v/>
      </c>
      <c r="D247" s="21" t="n"/>
      <c r="E247" s="20" t="n"/>
      <c r="F247" s="20" t="n"/>
      <c r="G247" s="20" t="n"/>
      <c r="H247" s="22" t="n"/>
      <c r="I247" s="22" t="n"/>
      <c r="J247" s="21" t="n"/>
      <c r="K247" s="20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</row>
    <row r="248" ht="15.75" customHeight="1" s="18">
      <c r="A248" s="20">
        <f>IF(AND(B248="",C248=""),"",ROW()-1)</f>
        <v/>
      </c>
      <c r="B248" s="20" t="n"/>
      <c r="C248" s="21">
        <f>IF(B248="","",VLOOKUP(B248,Projects!$B:$C,2,FALSE()))</f>
        <v/>
      </c>
      <c r="D248" s="21" t="n"/>
      <c r="E248" s="20" t="n"/>
      <c r="F248" s="20" t="n"/>
      <c r="G248" s="20" t="n"/>
      <c r="H248" s="22" t="n"/>
      <c r="I248" s="22" t="n"/>
      <c r="J248" s="21" t="n"/>
      <c r="K248" s="20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</row>
    <row r="249" ht="15.75" customHeight="1" s="18">
      <c r="A249" s="20">
        <f>IF(AND(B249="",C249=""),"",ROW()-1)</f>
        <v/>
      </c>
      <c r="B249" s="20" t="n"/>
      <c r="C249" s="21">
        <f>IF(B249="","",VLOOKUP(B249,Projects!$B:$C,2,FALSE()))</f>
        <v/>
      </c>
      <c r="D249" s="21" t="n"/>
      <c r="E249" s="20" t="n"/>
      <c r="F249" s="20" t="n"/>
      <c r="G249" s="20" t="n"/>
      <c r="H249" s="22" t="n"/>
      <c r="I249" s="22" t="n"/>
      <c r="J249" s="21" t="n"/>
      <c r="K249" s="20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</row>
    <row r="250" ht="15.75" customHeight="1" s="18">
      <c r="A250" s="20">
        <f>IF(AND(B250="",C250=""),"",ROW()-1)</f>
        <v/>
      </c>
      <c r="B250" s="20" t="n"/>
      <c r="C250" s="21">
        <f>IF(B250="","",VLOOKUP(B250,Projects!$B:$C,2,FALSE()))</f>
        <v/>
      </c>
      <c r="D250" s="21" t="n"/>
      <c r="E250" s="20" t="n"/>
      <c r="F250" s="20" t="n"/>
      <c r="G250" s="20" t="n"/>
      <c r="H250" s="22" t="n"/>
      <c r="I250" s="22" t="n"/>
      <c r="J250" s="21" t="n"/>
      <c r="K250" s="20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</row>
    <row r="251" ht="15.75" customHeight="1" s="18">
      <c r="A251" s="20">
        <f>IF(AND(B251="",C251=""),"",ROW()-1)</f>
        <v/>
      </c>
      <c r="B251" s="20" t="n"/>
      <c r="C251" s="21">
        <f>IF(B251="","",VLOOKUP(B251,Projects!$B:$C,2,FALSE()))</f>
        <v/>
      </c>
      <c r="D251" s="21" t="n"/>
      <c r="E251" s="20" t="n"/>
      <c r="F251" s="20" t="n"/>
      <c r="G251" s="20" t="n"/>
      <c r="H251" s="22" t="n"/>
      <c r="I251" s="22" t="n"/>
      <c r="J251" s="21" t="n"/>
      <c r="K251" s="20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</row>
    <row r="252" ht="15.75" customHeight="1" s="18">
      <c r="A252" s="20">
        <f>IF(AND(B252="",C252=""),"",ROW()-1)</f>
        <v/>
      </c>
      <c r="B252" s="20" t="n"/>
      <c r="C252" s="21">
        <f>IF(B252="","",VLOOKUP(B252,Projects!$B:$C,2,FALSE()))</f>
        <v/>
      </c>
      <c r="D252" s="21" t="n"/>
      <c r="E252" s="20" t="n"/>
      <c r="F252" s="20" t="n"/>
      <c r="G252" s="20" t="n"/>
      <c r="H252" s="22" t="n"/>
      <c r="I252" s="22" t="n"/>
      <c r="J252" s="21" t="n"/>
      <c r="K252" s="20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</row>
    <row r="253" ht="15.75" customHeight="1" s="18">
      <c r="A253" s="20">
        <f>IF(AND(B253="",C253=""),"",ROW()-1)</f>
        <v/>
      </c>
      <c r="B253" s="20" t="n"/>
      <c r="C253" s="21">
        <f>IF(B253="","",VLOOKUP(B253,Projects!$B:$C,2,FALSE()))</f>
        <v/>
      </c>
      <c r="D253" s="21" t="n"/>
      <c r="E253" s="20" t="n"/>
      <c r="F253" s="20" t="n"/>
      <c r="G253" s="20" t="n"/>
      <c r="H253" s="22" t="n"/>
      <c r="I253" s="22" t="n"/>
      <c r="J253" s="21" t="n"/>
      <c r="K253" s="20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</row>
    <row r="254" ht="15.75" customHeight="1" s="18">
      <c r="A254" s="20">
        <f>IF(AND(B254="",C254=""),"",ROW()-1)</f>
        <v/>
      </c>
      <c r="B254" s="20" t="n"/>
      <c r="C254" s="21">
        <f>IF(B254="","",VLOOKUP(B254,Projects!$B:$C,2,FALSE()))</f>
        <v/>
      </c>
      <c r="D254" s="21" t="n"/>
      <c r="E254" s="20" t="n"/>
      <c r="F254" s="20" t="n"/>
      <c r="G254" s="20" t="n"/>
      <c r="H254" s="22" t="n"/>
      <c r="I254" s="22" t="n"/>
      <c r="J254" s="21" t="n"/>
      <c r="K254" s="20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</row>
    <row r="255" ht="15.75" customHeight="1" s="18">
      <c r="A255" s="20">
        <f>IF(AND(B255="",C255=""),"",ROW()-1)</f>
        <v/>
      </c>
      <c r="B255" s="20" t="n"/>
      <c r="C255" s="21">
        <f>IF(B255="","",VLOOKUP(B255,Projects!$B:$C,2,FALSE()))</f>
        <v/>
      </c>
      <c r="D255" s="21" t="n"/>
      <c r="E255" s="20" t="n"/>
      <c r="F255" s="20" t="n"/>
      <c r="G255" s="20" t="n"/>
      <c r="H255" s="22" t="n"/>
      <c r="I255" s="22" t="n"/>
      <c r="J255" s="21" t="n"/>
      <c r="K255" s="20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</row>
    <row r="256" ht="15.75" customHeight="1" s="18">
      <c r="A256" s="20">
        <f>IF(AND(B256="",C256=""),"",ROW()-1)</f>
        <v/>
      </c>
      <c r="B256" s="20" t="n"/>
      <c r="C256" s="21">
        <f>IF(B256="","",VLOOKUP(B256,Projects!$B:$C,2,FALSE()))</f>
        <v/>
      </c>
      <c r="D256" s="21" t="n"/>
      <c r="E256" s="20" t="n"/>
      <c r="F256" s="20" t="n"/>
      <c r="G256" s="20" t="n"/>
      <c r="H256" s="22" t="n"/>
      <c r="I256" s="22" t="n"/>
      <c r="J256" s="21" t="n"/>
      <c r="K256" s="20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</row>
    <row r="257" ht="15.75" customHeight="1" s="18">
      <c r="A257" s="20">
        <f>IF(AND(B257="",C257=""),"",ROW()-1)</f>
        <v/>
      </c>
      <c r="B257" s="20" t="n"/>
      <c r="C257" s="21">
        <f>IF(B257="","",VLOOKUP(B257,Projects!$B:$C,2,FALSE()))</f>
        <v/>
      </c>
      <c r="D257" s="21" t="n"/>
      <c r="E257" s="20" t="n"/>
      <c r="F257" s="20" t="n"/>
      <c r="G257" s="20" t="n"/>
      <c r="H257" s="22" t="n"/>
      <c r="I257" s="22" t="n"/>
      <c r="J257" s="21" t="n"/>
      <c r="K257" s="20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</row>
    <row r="258" ht="15.75" customHeight="1" s="18">
      <c r="A258" s="20">
        <f>IF(AND(B258="",C258=""),"",ROW()-1)</f>
        <v/>
      </c>
      <c r="B258" s="20" t="n"/>
      <c r="C258" s="21">
        <f>IF(B258="","",VLOOKUP(B258,Projects!$B:$C,2,FALSE()))</f>
        <v/>
      </c>
      <c r="D258" s="21" t="n"/>
      <c r="E258" s="20" t="n"/>
      <c r="F258" s="20" t="n"/>
      <c r="G258" s="20" t="n"/>
      <c r="H258" s="22" t="n"/>
      <c r="I258" s="22" t="n"/>
      <c r="J258" s="21" t="n"/>
      <c r="K258" s="20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</row>
    <row r="259" ht="15.75" customHeight="1" s="18">
      <c r="A259" s="20">
        <f>IF(AND(B259="",C259=""),"",ROW()-1)</f>
        <v/>
      </c>
      <c r="B259" s="20" t="n"/>
      <c r="C259" s="21">
        <f>IF(B259="","",VLOOKUP(B259,Projects!$B:$C,2,FALSE()))</f>
        <v/>
      </c>
      <c r="D259" s="21" t="n"/>
      <c r="E259" s="20" t="n"/>
      <c r="F259" s="20" t="n"/>
      <c r="G259" s="20" t="n"/>
      <c r="H259" s="22" t="n"/>
      <c r="I259" s="22" t="n"/>
      <c r="J259" s="21" t="n"/>
      <c r="K259" s="20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</row>
    <row r="260" ht="15.75" customHeight="1" s="18">
      <c r="A260" s="20">
        <f>IF(AND(B260="",C260=""),"",ROW()-1)</f>
        <v/>
      </c>
      <c r="B260" s="20" t="n"/>
      <c r="C260" s="21">
        <f>IF(B260="","",VLOOKUP(B260,Projects!$B:$C,2,FALSE()))</f>
        <v/>
      </c>
      <c r="D260" s="21" t="n"/>
      <c r="E260" s="20" t="n"/>
      <c r="F260" s="20" t="n"/>
      <c r="G260" s="20" t="n"/>
      <c r="H260" s="22" t="n"/>
      <c r="I260" s="22" t="n"/>
      <c r="J260" s="21" t="n"/>
      <c r="K260" s="20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</row>
    <row r="261" ht="15.75" customHeight="1" s="18">
      <c r="A261" s="20">
        <f>IF(AND(B261="",C261=""),"",ROW()-1)</f>
        <v/>
      </c>
      <c r="B261" s="20" t="n"/>
      <c r="C261" s="21">
        <f>IF(B261="","",VLOOKUP(B261,Projects!$B:$C,2,FALSE()))</f>
        <v/>
      </c>
      <c r="D261" s="21" t="n"/>
      <c r="E261" s="20" t="n"/>
      <c r="F261" s="20" t="n"/>
      <c r="G261" s="20" t="n"/>
      <c r="H261" s="22" t="n"/>
      <c r="I261" s="22" t="n"/>
      <c r="J261" s="21" t="n"/>
      <c r="K261" s="20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</row>
    <row r="262" ht="15.75" customHeight="1" s="18">
      <c r="A262" s="20">
        <f>IF(AND(B262="",C262=""),"",ROW()-1)</f>
        <v/>
      </c>
      <c r="B262" s="20" t="n"/>
      <c r="C262" s="21">
        <f>IF(B262="","",VLOOKUP(B262,Projects!$B:$C,2,FALSE()))</f>
        <v/>
      </c>
      <c r="D262" s="21" t="n"/>
      <c r="E262" s="20" t="n"/>
      <c r="F262" s="20" t="n"/>
      <c r="G262" s="20" t="n"/>
      <c r="H262" s="22" t="n"/>
      <c r="I262" s="22" t="n"/>
      <c r="J262" s="21" t="n"/>
      <c r="K262" s="20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</row>
    <row r="263" ht="15.75" customHeight="1" s="18">
      <c r="A263" s="20">
        <f>IF(AND(B263="",C263=""),"",ROW()-1)</f>
        <v/>
      </c>
      <c r="B263" s="20" t="n"/>
      <c r="C263" s="21">
        <f>IF(B263="","",VLOOKUP(B263,Projects!$B:$C,2,FALSE()))</f>
        <v/>
      </c>
      <c r="D263" s="21" t="n"/>
      <c r="E263" s="20" t="n"/>
      <c r="F263" s="20" t="n"/>
      <c r="G263" s="20" t="n"/>
      <c r="H263" s="22" t="n"/>
      <c r="I263" s="22" t="n"/>
      <c r="J263" s="21" t="n"/>
      <c r="K263" s="20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</row>
    <row r="264" ht="15.75" customHeight="1" s="18">
      <c r="A264" s="20">
        <f>IF(AND(B264="",C264=""),"",ROW()-1)</f>
        <v/>
      </c>
      <c r="B264" s="20" t="n"/>
      <c r="C264" s="21">
        <f>IF(B264="","",VLOOKUP(B264,Projects!$B:$C,2,FALSE()))</f>
        <v/>
      </c>
      <c r="D264" s="21" t="n"/>
      <c r="E264" s="20" t="n"/>
      <c r="F264" s="20" t="n"/>
      <c r="G264" s="20" t="n"/>
      <c r="H264" s="22" t="n"/>
      <c r="I264" s="22" t="n"/>
      <c r="J264" s="21" t="n"/>
      <c r="K264" s="20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</row>
    <row r="265" ht="15.75" customHeight="1" s="18">
      <c r="A265" s="20">
        <f>IF(AND(B265="",C265=""),"",ROW()-1)</f>
        <v/>
      </c>
      <c r="B265" s="20" t="n"/>
      <c r="C265" s="21">
        <f>IF(B265="","",VLOOKUP(B265,Projects!$B:$C,2,FALSE()))</f>
        <v/>
      </c>
      <c r="D265" s="21" t="n"/>
      <c r="E265" s="20" t="n"/>
      <c r="F265" s="20" t="n"/>
      <c r="G265" s="20" t="n"/>
      <c r="H265" s="22" t="n"/>
      <c r="I265" s="22" t="n"/>
      <c r="J265" s="21" t="n"/>
      <c r="K265" s="20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</row>
    <row r="266" ht="15.75" customHeight="1" s="18">
      <c r="A266" s="20">
        <f>IF(AND(B266="",C266=""),"",ROW()-1)</f>
        <v/>
      </c>
      <c r="B266" s="20" t="n"/>
      <c r="C266" s="21">
        <f>IF(B266="","",VLOOKUP(B266,Projects!$B:$C,2,FALSE()))</f>
        <v/>
      </c>
      <c r="D266" s="21" t="n"/>
      <c r="E266" s="20" t="n"/>
      <c r="F266" s="20" t="n"/>
      <c r="G266" s="20" t="n"/>
      <c r="H266" s="22" t="n"/>
      <c r="I266" s="22" t="n"/>
      <c r="J266" s="21" t="n"/>
      <c r="K266" s="20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</row>
    <row r="267" ht="15.75" customHeight="1" s="18">
      <c r="A267" s="20">
        <f>IF(AND(B267="",C267=""),"",ROW()-1)</f>
        <v/>
      </c>
      <c r="B267" s="20" t="n"/>
      <c r="C267" s="21">
        <f>IF(B267="","",VLOOKUP(B267,Projects!$B:$C,2,FALSE()))</f>
        <v/>
      </c>
      <c r="D267" s="21" t="n"/>
      <c r="E267" s="20" t="n"/>
      <c r="F267" s="20" t="n"/>
      <c r="G267" s="20" t="n"/>
      <c r="H267" s="22" t="n"/>
      <c r="I267" s="22" t="n"/>
      <c r="J267" s="21" t="n"/>
      <c r="K267" s="20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</row>
    <row r="268" ht="15.75" customHeight="1" s="18">
      <c r="A268" s="20">
        <f>IF(AND(B268="",C268=""),"",ROW()-1)</f>
        <v/>
      </c>
      <c r="B268" s="20" t="n"/>
      <c r="C268" s="21">
        <f>IF(B268="","",VLOOKUP(B268,Projects!$B:$C,2,FALSE()))</f>
        <v/>
      </c>
      <c r="D268" s="21" t="n"/>
      <c r="E268" s="20" t="n"/>
      <c r="F268" s="20" t="n"/>
      <c r="G268" s="20" t="n"/>
      <c r="H268" s="22" t="n"/>
      <c r="I268" s="22" t="n"/>
      <c r="J268" s="21" t="n"/>
      <c r="K268" s="20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</row>
    <row r="269" ht="15.75" customHeight="1" s="18">
      <c r="A269" s="20">
        <f>IF(AND(B269="",C269=""),"",ROW()-1)</f>
        <v/>
      </c>
      <c r="B269" s="20" t="n"/>
      <c r="C269" s="21">
        <f>IF(B269="","",VLOOKUP(B269,Projects!$B:$C,2,FALSE()))</f>
        <v/>
      </c>
      <c r="D269" s="21" t="n"/>
      <c r="E269" s="20" t="n"/>
      <c r="F269" s="20" t="n"/>
      <c r="G269" s="20" t="n"/>
      <c r="H269" s="22" t="n"/>
      <c r="I269" s="22" t="n"/>
      <c r="J269" s="21" t="n"/>
      <c r="K269" s="20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</row>
    <row r="270" ht="15.75" customHeight="1" s="18">
      <c r="A270" s="20">
        <f>IF(AND(B270="",C270=""),"",ROW()-1)</f>
        <v/>
      </c>
      <c r="B270" s="20" t="n"/>
      <c r="C270" s="21">
        <f>IF(B270="","",VLOOKUP(B270,Projects!$B:$C,2,FALSE()))</f>
        <v/>
      </c>
      <c r="D270" s="21" t="n"/>
      <c r="E270" s="20" t="n"/>
      <c r="F270" s="20" t="n"/>
      <c r="G270" s="20" t="n"/>
      <c r="H270" s="22" t="n"/>
      <c r="I270" s="22" t="n"/>
      <c r="J270" s="21" t="n"/>
      <c r="K270" s="20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</row>
    <row r="271" ht="15.75" customHeight="1" s="18">
      <c r="A271" s="20">
        <f>IF(AND(B271="",C271=""),"",ROW()-1)</f>
        <v/>
      </c>
      <c r="B271" s="20" t="n"/>
      <c r="C271" s="21">
        <f>IF(B271="","",VLOOKUP(B271,Projects!$B:$C,2,FALSE()))</f>
        <v/>
      </c>
      <c r="D271" s="21" t="n"/>
      <c r="E271" s="20" t="n"/>
      <c r="F271" s="20" t="n"/>
      <c r="G271" s="20" t="n"/>
      <c r="H271" s="22" t="n"/>
      <c r="I271" s="22" t="n"/>
      <c r="J271" s="21" t="n"/>
      <c r="K271" s="20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</row>
    <row r="272" ht="15.75" customHeight="1" s="18">
      <c r="A272" s="20">
        <f>IF(AND(B272="",C272=""),"",ROW()-1)</f>
        <v/>
      </c>
      <c r="B272" s="20" t="n"/>
      <c r="C272" s="21">
        <f>IF(B272="","",VLOOKUP(B272,Projects!$B:$C,2,FALSE()))</f>
        <v/>
      </c>
      <c r="D272" s="21" t="n"/>
      <c r="E272" s="20" t="n"/>
      <c r="F272" s="20" t="n"/>
      <c r="G272" s="20" t="n"/>
      <c r="H272" s="22" t="n"/>
      <c r="I272" s="22" t="n"/>
      <c r="J272" s="21" t="n"/>
      <c r="K272" s="20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</row>
    <row r="273" ht="15.75" customHeight="1" s="18">
      <c r="A273" s="20">
        <f>IF(AND(B273="",C273=""),"",ROW()-1)</f>
        <v/>
      </c>
      <c r="B273" s="20" t="n"/>
      <c r="C273" s="21">
        <f>IF(B273="","",VLOOKUP(B273,Projects!$B:$C,2,FALSE()))</f>
        <v/>
      </c>
      <c r="D273" s="21" t="n"/>
      <c r="E273" s="20" t="n"/>
      <c r="F273" s="20" t="n"/>
      <c r="G273" s="20" t="n"/>
      <c r="H273" s="22" t="n"/>
      <c r="I273" s="22" t="n"/>
      <c r="J273" s="21" t="n"/>
      <c r="K273" s="20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</row>
    <row r="274" ht="15.75" customHeight="1" s="18">
      <c r="A274" s="20">
        <f>IF(AND(B274="",C274=""),"",ROW()-1)</f>
        <v/>
      </c>
      <c r="B274" s="20" t="n"/>
      <c r="C274" s="21">
        <f>IF(B274="","",VLOOKUP(B274,Projects!$B:$C,2,FALSE()))</f>
        <v/>
      </c>
      <c r="D274" s="21" t="n"/>
      <c r="E274" s="20" t="n"/>
      <c r="F274" s="20" t="n"/>
      <c r="G274" s="20" t="n"/>
      <c r="H274" s="22" t="n"/>
      <c r="I274" s="22" t="n"/>
      <c r="J274" s="21" t="n"/>
      <c r="K274" s="20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</row>
    <row r="275" ht="15.75" customHeight="1" s="18">
      <c r="A275" s="20">
        <f>IF(AND(B275="",C275=""),"",ROW()-1)</f>
        <v/>
      </c>
      <c r="B275" s="20" t="n"/>
      <c r="C275" s="21">
        <f>IF(B275="","",VLOOKUP(B275,Projects!$B:$C,2,FALSE()))</f>
        <v/>
      </c>
      <c r="D275" s="21" t="n"/>
      <c r="E275" s="20" t="n"/>
      <c r="F275" s="20" t="n"/>
      <c r="G275" s="20" t="n"/>
      <c r="H275" s="22" t="n"/>
      <c r="I275" s="22" t="n"/>
      <c r="J275" s="21" t="n"/>
      <c r="K275" s="20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</row>
    <row r="276" ht="15.75" customHeight="1" s="18">
      <c r="A276" s="20">
        <f>IF(AND(B276="",C276=""),"",ROW()-1)</f>
        <v/>
      </c>
      <c r="B276" s="20" t="n"/>
      <c r="C276" s="21">
        <f>IF(B276="","",VLOOKUP(B276,Projects!$B:$C,2,FALSE()))</f>
        <v/>
      </c>
      <c r="D276" s="21" t="n"/>
      <c r="E276" s="20" t="n"/>
      <c r="F276" s="20" t="n"/>
      <c r="G276" s="20" t="n"/>
      <c r="H276" s="22" t="n"/>
      <c r="I276" s="22" t="n"/>
      <c r="J276" s="21" t="n"/>
      <c r="K276" s="20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</row>
    <row r="277" ht="15.75" customHeight="1" s="18">
      <c r="A277" s="20">
        <f>IF(AND(B277="",C277=""),"",ROW()-1)</f>
        <v/>
      </c>
      <c r="B277" s="20" t="n"/>
      <c r="C277" s="21">
        <f>IF(B277="","",VLOOKUP(B277,Projects!$B:$C,2,FALSE()))</f>
        <v/>
      </c>
      <c r="D277" s="21" t="n"/>
      <c r="E277" s="20" t="n"/>
      <c r="F277" s="20" t="n"/>
      <c r="G277" s="20" t="n"/>
      <c r="H277" s="22" t="n"/>
      <c r="I277" s="22" t="n"/>
      <c r="J277" s="21" t="n"/>
      <c r="K277" s="20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</row>
    <row r="278" ht="15.75" customHeight="1" s="18">
      <c r="A278" s="20">
        <f>IF(AND(B278="",C278=""),"",ROW()-1)</f>
        <v/>
      </c>
      <c r="B278" s="20" t="n"/>
      <c r="C278" s="21">
        <f>IF(B278="","",VLOOKUP(B278,Projects!$B:$C,2,FALSE()))</f>
        <v/>
      </c>
      <c r="D278" s="21" t="n"/>
      <c r="E278" s="20" t="n"/>
      <c r="F278" s="20" t="n"/>
      <c r="G278" s="20" t="n"/>
      <c r="H278" s="22" t="n"/>
      <c r="I278" s="22" t="n"/>
      <c r="J278" s="21" t="n"/>
      <c r="K278" s="20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</row>
    <row r="279" ht="15.75" customHeight="1" s="18">
      <c r="A279" s="20">
        <f>IF(AND(B279="",C279=""),"",ROW()-1)</f>
        <v/>
      </c>
      <c r="B279" s="20" t="n"/>
      <c r="C279" s="21">
        <f>IF(B279="","",VLOOKUP(B279,Projects!$B:$C,2,FALSE()))</f>
        <v/>
      </c>
      <c r="D279" s="21" t="n"/>
      <c r="E279" s="20" t="n"/>
      <c r="F279" s="20" t="n"/>
      <c r="G279" s="20" t="n"/>
      <c r="H279" s="22" t="n"/>
      <c r="I279" s="22" t="n"/>
      <c r="J279" s="21" t="n"/>
      <c r="K279" s="20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</row>
    <row r="280" ht="15.75" customHeight="1" s="18">
      <c r="A280" s="20">
        <f>IF(AND(B280="",C280=""),"",ROW()-1)</f>
        <v/>
      </c>
      <c r="B280" s="20" t="n"/>
      <c r="C280" s="21">
        <f>IF(B280="","",VLOOKUP(B280,Projects!$B:$C,2,FALSE()))</f>
        <v/>
      </c>
      <c r="D280" s="21" t="n"/>
      <c r="E280" s="20" t="n"/>
      <c r="F280" s="20" t="n"/>
      <c r="G280" s="20" t="n"/>
      <c r="H280" s="22" t="n"/>
      <c r="I280" s="22" t="n"/>
      <c r="J280" s="21" t="n"/>
      <c r="K280" s="20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</row>
    <row r="281" ht="15.75" customHeight="1" s="18">
      <c r="A281" s="20">
        <f>IF(AND(B281="",C281=""),"",ROW()-1)</f>
        <v/>
      </c>
      <c r="B281" s="20" t="n"/>
      <c r="C281" s="21">
        <f>IF(B281="","",VLOOKUP(B281,Projects!$B:$C,2,FALSE()))</f>
        <v/>
      </c>
      <c r="D281" s="21" t="n"/>
      <c r="E281" s="20" t="n"/>
      <c r="F281" s="20" t="n"/>
      <c r="G281" s="20" t="n"/>
      <c r="H281" s="22" t="n"/>
      <c r="I281" s="22" t="n"/>
      <c r="J281" s="21" t="n"/>
      <c r="K281" s="20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</row>
    <row r="282" ht="15.75" customHeight="1" s="18">
      <c r="A282" s="20">
        <f>IF(AND(B282="",C282=""),"",ROW()-1)</f>
        <v/>
      </c>
      <c r="B282" s="20" t="n"/>
      <c r="C282" s="21">
        <f>IF(B282="","",VLOOKUP(B282,Projects!$B:$C,2,FALSE()))</f>
        <v/>
      </c>
      <c r="D282" s="21" t="n"/>
      <c r="E282" s="20" t="n"/>
      <c r="F282" s="20" t="n"/>
      <c r="G282" s="20" t="n"/>
      <c r="H282" s="22" t="n"/>
      <c r="I282" s="22" t="n"/>
      <c r="J282" s="21" t="n"/>
      <c r="K282" s="20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</row>
    <row r="283" ht="15.75" customHeight="1" s="18">
      <c r="A283" s="20">
        <f>IF(AND(B283="",C283=""),"",ROW()-1)</f>
        <v/>
      </c>
      <c r="B283" s="20" t="n"/>
      <c r="C283" s="21">
        <f>IF(B283="","",VLOOKUP(B283,Projects!$B:$C,2,FALSE()))</f>
        <v/>
      </c>
      <c r="D283" s="21" t="n"/>
      <c r="E283" s="20" t="n"/>
      <c r="F283" s="20" t="n"/>
      <c r="G283" s="20" t="n"/>
      <c r="H283" s="22" t="n"/>
      <c r="I283" s="22" t="n"/>
      <c r="J283" s="21" t="n"/>
      <c r="K283" s="20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</row>
    <row r="284" ht="15.75" customHeight="1" s="18">
      <c r="A284" s="20">
        <f>IF(AND(B284="",C284=""),"",ROW()-1)</f>
        <v/>
      </c>
      <c r="B284" s="20" t="n"/>
      <c r="C284" s="21">
        <f>IF(B284="","",VLOOKUP(B284,Projects!$B:$C,2,FALSE()))</f>
        <v/>
      </c>
      <c r="D284" s="21" t="n"/>
      <c r="E284" s="20" t="n"/>
      <c r="F284" s="20" t="n"/>
      <c r="G284" s="20" t="n"/>
      <c r="H284" s="22" t="n"/>
      <c r="I284" s="22" t="n"/>
      <c r="J284" s="21" t="n"/>
      <c r="K284" s="20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</row>
    <row r="285" ht="15.75" customHeight="1" s="18">
      <c r="A285" s="20">
        <f>IF(AND(B285="",C285=""),"",ROW()-1)</f>
        <v/>
      </c>
      <c r="B285" s="20" t="n"/>
      <c r="C285" s="21">
        <f>IF(B285="","",VLOOKUP(B285,Projects!$B:$C,2,FALSE()))</f>
        <v/>
      </c>
      <c r="D285" s="21" t="n"/>
      <c r="E285" s="20" t="n"/>
      <c r="F285" s="20" t="n"/>
      <c r="G285" s="20" t="n"/>
      <c r="H285" s="22" t="n"/>
      <c r="I285" s="22" t="n"/>
      <c r="J285" s="21" t="n"/>
      <c r="K285" s="20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</row>
    <row r="286" ht="15.75" customHeight="1" s="18">
      <c r="A286" s="20">
        <f>IF(AND(B286="",C286=""),"",ROW()-1)</f>
        <v/>
      </c>
      <c r="B286" s="20" t="n"/>
      <c r="C286" s="21">
        <f>IF(B286="","",VLOOKUP(B286,Projects!$B:$C,2,FALSE()))</f>
        <v/>
      </c>
      <c r="D286" s="21" t="n"/>
      <c r="E286" s="20" t="n"/>
      <c r="F286" s="20" t="n"/>
      <c r="G286" s="20" t="n"/>
      <c r="H286" s="22" t="n"/>
      <c r="I286" s="22" t="n"/>
      <c r="J286" s="21" t="n"/>
      <c r="K286" s="20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</row>
    <row r="287" ht="15.75" customHeight="1" s="18">
      <c r="A287" s="20">
        <f>IF(AND(B287="",C287=""),"",ROW()-1)</f>
        <v/>
      </c>
      <c r="B287" s="20" t="n"/>
      <c r="C287" s="21">
        <f>IF(B287="","",VLOOKUP(B287,Projects!$B:$C,2,FALSE()))</f>
        <v/>
      </c>
      <c r="D287" s="21" t="n"/>
      <c r="E287" s="20" t="n"/>
      <c r="F287" s="20" t="n"/>
      <c r="G287" s="20" t="n"/>
      <c r="H287" s="22" t="n"/>
      <c r="I287" s="22" t="n"/>
      <c r="J287" s="21" t="n"/>
      <c r="K287" s="20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</row>
    <row r="288" ht="15.75" customHeight="1" s="18">
      <c r="A288" s="20">
        <f>IF(AND(B288="",C288=""),"",ROW()-1)</f>
        <v/>
      </c>
      <c r="B288" s="20" t="n"/>
      <c r="C288" s="21">
        <f>IF(B288="","",VLOOKUP(B288,Projects!$B:$C,2,FALSE()))</f>
        <v/>
      </c>
      <c r="D288" s="21" t="n"/>
      <c r="E288" s="20" t="n"/>
      <c r="F288" s="20" t="n"/>
      <c r="G288" s="20" t="n"/>
      <c r="H288" s="22" t="n"/>
      <c r="I288" s="22" t="n"/>
      <c r="J288" s="21" t="n"/>
      <c r="K288" s="20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</row>
    <row r="289" ht="15.75" customHeight="1" s="18">
      <c r="A289" s="20">
        <f>IF(AND(B289="",C289=""),"",ROW()-1)</f>
        <v/>
      </c>
      <c r="B289" s="20" t="n"/>
      <c r="C289" s="21">
        <f>IF(B289="","",VLOOKUP(B289,Projects!$B:$C,2,FALSE()))</f>
        <v/>
      </c>
      <c r="D289" s="21" t="n"/>
      <c r="E289" s="20" t="n"/>
      <c r="F289" s="20" t="n"/>
      <c r="G289" s="20" t="n"/>
      <c r="H289" s="22" t="n"/>
      <c r="I289" s="22" t="n"/>
      <c r="J289" s="21" t="n"/>
      <c r="K289" s="20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</row>
    <row r="290" ht="15.75" customHeight="1" s="18">
      <c r="A290" s="20">
        <f>IF(AND(B290="",C290=""),"",ROW()-1)</f>
        <v/>
      </c>
      <c r="B290" s="20" t="n"/>
      <c r="C290" s="21">
        <f>IF(B290="","",VLOOKUP(B290,Projects!$B:$C,2,FALSE()))</f>
        <v/>
      </c>
      <c r="D290" s="21" t="n"/>
      <c r="E290" s="20" t="n"/>
      <c r="F290" s="20" t="n"/>
      <c r="G290" s="20" t="n"/>
      <c r="H290" s="22" t="n"/>
      <c r="I290" s="22" t="n"/>
      <c r="J290" s="21" t="n"/>
      <c r="K290" s="20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</row>
    <row r="291" ht="15.75" customHeight="1" s="18">
      <c r="A291" s="20">
        <f>IF(AND(B291="",C291=""),"",ROW()-1)</f>
        <v/>
      </c>
      <c r="B291" s="20" t="n"/>
      <c r="C291" s="21">
        <f>IF(B291="","",VLOOKUP(B291,Projects!$B:$C,2,FALSE()))</f>
        <v/>
      </c>
      <c r="D291" s="21" t="n"/>
      <c r="E291" s="20" t="n"/>
      <c r="F291" s="20" t="n"/>
      <c r="G291" s="20" t="n"/>
      <c r="H291" s="22" t="n"/>
      <c r="I291" s="22" t="n"/>
      <c r="J291" s="21" t="n"/>
      <c r="K291" s="20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</row>
    <row r="292" ht="15.75" customHeight="1" s="18">
      <c r="A292" s="20">
        <f>IF(AND(B292="",C292=""),"",ROW()-1)</f>
        <v/>
      </c>
      <c r="B292" s="20" t="n"/>
      <c r="C292" s="21">
        <f>IF(B292="","",VLOOKUP(B292,Projects!$B:$C,2,FALSE()))</f>
        <v/>
      </c>
      <c r="D292" s="21" t="n"/>
      <c r="E292" s="20" t="n"/>
      <c r="F292" s="20" t="n"/>
      <c r="G292" s="20" t="n"/>
      <c r="H292" s="22" t="n"/>
      <c r="I292" s="22" t="n"/>
      <c r="J292" s="21" t="n"/>
      <c r="K292" s="20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</row>
    <row r="293" ht="15.75" customHeight="1" s="18">
      <c r="A293" s="20">
        <f>IF(AND(B293="",C293=""),"",ROW()-1)</f>
        <v/>
      </c>
      <c r="B293" s="20" t="n"/>
      <c r="C293" s="21">
        <f>IF(B293="","",VLOOKUP(B293,Projects!$B:$C,2,FALSE()))</f>
        <v/>
      </c>
      <c r="D293" s="21" t="n"/>
      <c r="E293" s="20" t="n"/>
      <c r="F293" s="20" t="n"/>
      <c r="G293" s="20" t="n"/>
      <c r="H293" s="22" t="n"/>
      <c r="I293" s="22" t="n"/>
      <c r="J293" s="21" t="n"/>
      <c r="K293" s="20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</row>
    <row r="294" ht="15.75" customHeight="1" s="18">
      <c r="A294" s="20">
        <f>IF(AND(B294="",C294=""),"",ROW()-1)</f>
        <v/>
      </c>
      <c r="B294" s="20" t="n"/>
      <c r="C294" s="21">
        <f>IF(B294="","",VLOOKUP(B294,Projects!$B:$C,2,FALSE()))</f>
        <v/>
      </c>
      <c r="D294" s="21" t="n"/>
      <c r="E294" s="20" t="n"/>
      <c r="F294" s="20" t="n"/>
      <c r="G294" s="20" t="n"/>
      <c r="H294" s="22" t="n"/>
      <c r="I294" s="22" t="n"/>
      <c r="J294" s="21" t="n"/>
      <c r="K294" s="20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</row>
    <row r="295" ht="15.75" customHeight="1" s="18">
      <c r="A295" s="20">
        <f>IF(AND(B295="",C295=""),"",ROW()-1)</f>
        <v/>
      </c>
      <c r="B295" s="20" t="n"/>
      <c r="C295" s="21">
        <f>IF(B295="","",VLOOKUP(B295,Projects!$B:$C,2,FALSE()))</f>
        <v/>
      </c>
      <c r="D295" s="21" t="n"/>
      <c r="E295" s="20" t="n"/>
      <c r="F295" s="20" t="n"/>
      <c r="G295" s="20" t="n"/>
      <c r="H295" s="22" t="n"/>
      <c r="I295" s="22" t="n"/>
      <c r="J295" s="21" t="n"/>
      <c r="K295" s="20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</row>
    <row r="296" ht="15.75" customHeight="1" s="18">
      <c r="A296" s="20">
        <f>IF(AND(B296="",C296=""),"",ROW()-1)</f>
        <v/>
      </c>
      <c r="B296" s="20" t="n"/>
      <c r="C296" s="21">
        <f>IF(B296="","",VLOOKUP(B296,Projects!$B:$C,2,FALSE()))</f>
        <v/>
      </c>
      <c r="D296" s="21" t="n"/>
      <c r="E296" s="20" t="n"/>
      <c r="F296" s="20" t="n"/>
      <c r="G296" s="20" t="n"/>
      <c r="H296" s="22" t="n"/>
      <c r="I296" s="22" t="n"/>
      <c r="J296" s="21" t="n"/>
      <c r="K296" s="20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</row>
    <row r="297" ht="15.75" customHeight="1" s="18">
      <c r="A297" s="20">
        <f>IF(AND(B297="",C297=""),"",ROW()-1)</f>
        <v/>
      </c>
      <c r="B297" s="20" t="n"/>
      <c r="C297" s="21">
        <f>IF(B297="","",VLOOKUP(B297,Projects!$B:$C,2,FALSE()))</f>
        <v/>
      </c>
      <c r="D297" s="21" t="n"/>
      <c r="E297" s="20" t="n"/>
      <c r="F297" s="20" t="n"/>
      <c r="G297" s="20" t="n"/>
      <c r="H297" s="22" t="n"/>
      <c r="I297" s="22" t="n"/>
      <c r="J297" s="21" t="n"/>
      <c r="K297" s="20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</row>
    <row r="298" ht="15.75" customHeight="1" s="18">
      <c r="A298" s="20">
        <f>IF(AND(B298="",C298=""),"",ROW()-1)</f>
        <v/>
      </c>
      <c r="B298" s="20" t="n"/>
      <c r="C298" s="21">
        <f>IF(B298="","",VLOOKUP(B298,Projects!$B:$C,2,FALSE()))</f>
        <v/>
      </c>
      <c r="D298" s="21" t="n"/>
      <c r="E298" s="20" t="n"/>
      <c r="F298" s="20" t="n"/>
      <c r="G298" s="20" t="n"/>
      <c r="H298" s="22" t="n"/>
      <c r="I298" s="22" t="n"/>
      <c r="J298" s="21" t="n"/>
      <c r="K298" s="20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</row>
    <row r="299" ht="15.75" customHeight="1" s="18">
      <c r="A299" s="20">
        <f>IF(AND(B299="",C299=""),"",ROW()-1)</f>
        <v/>
      </c>
      <c r="B299" s="20" t="n"/>
      <c r="C299" s="21">
        <f>IF(B299="","",VLOOKUP(B299,Projects!$B:$C,2,FALSE()))</f>
        <v/>
      </c>
      <c r="D299" s="21" t="n"/>
      <c r="E299" s="20" t="n"/>
      <c r="F299" s="20" t="n"/>
      <c r="G299" s="20" t="n"/>
      <c r="H299" s="22" t="n"/>
      <c r="I299" s="22" t="n"/>
      <c r="J299" s="21" t="n"/>
      <c r="K299" s="20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</row>
    <row r="300" ht="15.75" customHeight="1" s="18">
      <c r="A300" s="20">
        <f>IF(AND(B300="",C300=""),"",ROW()-1)</f>
        <v/>
      </c>
      <c r="B300" s="20" t="n"/>
      <c r="C300" s="21">
        <f>IF(B300="","",VLOOKUP(B300,Projects!$B:$C,2,FALSE()))</f>
        <v/>
      </c>
      <c r="D300" s="21" t="n"/>
      <c r="E300" s="20" t="n"/>
      <c r="F300" s="20" t="n"/>
      <c r="G300" s="20" t="n"/>
      <c r="H300" s="22" t="n"/>
      <c r="I300" s="22" t="n"/>
      <c r="J300" s="21" t="n"/>
      <c r="K300" s="20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</row>
    <row r="301" ht="15.75" customHeight="1" s="18">
      <c r="A301" s="20">
        <f>IF(AND(B301="",C301=""),"",ROW()-1)</f>
        <v/>
      </c>
      <c r="B301" s="20" t="n"/>
      <c r="C301" s="21">
        <f>IF(B301="","",VLOOKUP(B301,Projects!$B:$C,2,FALSE()))</f>
        <v/>
      </c>
      <c r="D301" s="21" t="n"/>
      <c r="E301" s="20" t="n"/>
      <c r="F301" s="20" t="n"/>
      <c r="G301" s="20" t="n"/>
      <c r="H301" s="22" t="n"/>
      <c r="I301" s="22" t="n"/>
      <c r="J301" s="21" t="n"/>
      <c r="K301" s="20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</row>
    <row r="302" ht="15.75" customHeight="1" s="18">
      <c r="A302" s="20">
        <f>IF(AND(B302="",C302=""),"",ROW()-1)</f>
        <v/>
      </c>
      <c r="B302" s="20" t="n"/>
      <c r="C302" s="21">
        <f>IF(B302="","",VLOOKUP(B302,Projects!$B:$C,2,FALSE()))</f>
        <v/>
      </c>
      <c r="D302" s="21" t="n"/>
      <c r="E302" s="20" t="n"/>
      <c r="F302" s="20" t="n"/>
      <c r="G302" s="20" t="n"/>
      <c r="H302" s="22" t="n"/>
      <c r="I302" s="22" t="n"/>
      <c r="J302" s="21" t="n"/>
      <c r="K302" s="20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</row>
    <row r="303" ht="15.75" customHeight="1" s="18">
      <c r="A303" s="20">
        <f>IF(AND(B303="",C303=""),"",ROW()-1)</f>
        <v/>
      </c>
      <c r="B303" s="20" t="n"/>
      <c r="C303" s="21">
        <f>IF(B303="","",VLOOKUP(B303,Projects!$B:$C,2,FALSE()))</f>
        <v/>
      </c>
      <c r="D303" s="21" t="n"/>
      <c r="E303" s="20" t="n"/>
      <c r="F303" s="20" t="n"/>
      <c r="G303" s="20" t="n"/>
      <c r="H303" s="22" t="n"/>
      <c r="I303" s="22" t="n"/>
      <c r="J303" s="21" t="n"/>
      <c r="K303" s="20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</row>
    <row r="304" ht="15.75" customHeight="1" s="18">
      <c r="A304" s="20">
        <f>IF(AND(B304="",C304=""),"",ROW()-1)</f>
        <v/>
      </c>
      <c r="B304" s="20" t="n"/>
      <c r="C304" s="21">
        <f>IF(B304="","",VLOOKUP(B304,Projects!$B:$C,2,FALSE()))</f>
        <v/>
      </c>
      <c r="D304" s="21" t="n"/>
      <c r="E304" s="20" t="n"/>
      <c r="F304" s="20" t="n"/>
      <c r="G304" s="20" t="n"/>
      <c r="H304" s="22" t="n"/>
      <c r="I304" s="22" t="n"/>
      <c r="J304" s="21" t="n"/>
      <c r="K304" s="20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</row>
    <row r="305" ht="15.75" customHeight="1" s="18">
      <c r="A305" s="20">
        <f>IF(AND(B305="",C305=""),"",ROW()-1)</f>
        <v/>
      </c>
      <c r="B305" s="20" t="n"/>
      <c r="C305" s="21">
        <f>IF(B305="","",VLOOKUP(B305,Projects!$B:$C,2,FALSE()))</f>
        <v/>
      </c>
      <c r="D305" s="21" t="n"/>
      <c r="E305" s="20" t="n"/>
      <c r="F305" s="20" t="n"/>
      <c r="G305" s="20" t="n"/>
      <c r="H305" s="22" t="n"/>
      <c r="I305" s="22" t="n"/>
      <c r="J305" s="21" t="n"/>
      <c r="K305" s="20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</row>
    <row r="306" ht="15.75" customHeight="1" s="18">
      <c r="A306" s="20">
        <f>IF(AND(B306="",C306=""),"",ROW()-1)</f>
        <v/>
      </c>
      <c r="B306" s="20" t="n"/>
      <c r="C306" s="21">
        <f>IF(B306="","",VLOOKUP(B306,Projects!$B:$C,2,FALSE()))</f>
        <v/>
      </c>
      <c r="D306" s="21" t="n"/>
      <c r="E306" s="20" t="n"/>
      <c r="F306" s="20" t="n"/>
      <c r="G306" s="20" t="n"/>
      <c r="H306" s="22" t="n"/>
      <c r="I306" s="22" t="n"/>
      <c r="J306" s="21" t="n"/>
      <c r="K306" s="20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</row>
    <row r="307" ht="15.75" customHeight="1" s="18">
      <c r="A307" s="20">
        <f>IF(AND(B307="",C307=""),"",ROW()-1)</f>
        <v/>
      </c>
      <c r="B307" s="20" t="n"/>
      <c r="C307" s="21">
        <f>IF(B307="","",VLOOKUP(B307,Projects!$B:$C,2,FALSE()))</f>
        <v/>
      </c>
      <c r="D307" s="21" t="n"/>
      <c r="E307" s="20" t="n"/>
      <c r="F307" s="20" t="n"/>
      <c r="G307" s="20" t="n"/>
      <c r="H307" s="22" t="n"/>
      <c r="I307" s="22" t="n"/>
      <c r="J307" s="21" t="n"/>
      <c r="K307" s="20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</row>
    <row r="308" ht="15.75" customHeight="1" s="18">
      <c r="A308" s="20">
        <f>IF(AND(B308="",C308=""),"",ROW()-1)</f>
        <v/>
      </c>
      <c r="B308" s="20" t="n"/>
      <c r="C308" s="21">
        <f>IF(B308="","",VLOOKUP(B308,Projects!$B:$C,2,FALSE()))</f>
        <v/>
      </c>
      <c r="D308" s="21" t="n"/>
      <c r="E308" s="20" t="n"/>
      <c r="F308" s="20" t="n"/>
      <c r="G308" s="20" t="n"/>
      <c r="H308" s="22" t="n"/>
      <c r="I308" s="22" t="n"/>
      <c r="J308" s="21" t="n"/>
      <c r="K308" s="20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</row>
    <row r="309" ht="15.75" customHeight="1" s="18">
      <c r="A309" s="20">
        <f>IF(AND(B309="",C309=""),"",ROW()-1)</f>
        <v/>
      </c>
      <c r="B309" s="20" t="n"/>
      <c r="C309" s="21">
        <f>IF(B309="","",VLOOKUP(B309,Projects!$B:$C,2,FALSE()))</f>
        <v/>
      </c>
      <c r="D309" s="21" t="n"/>
      <c r="E309" s="20" t="n"/>
      <c r="F309" s="20" t="n"/>
      <c r="G309" s="20" t="n"/>
      <c r="H309" s="22" t="n"/>
      <c r="I309" s="22" t="n"/>
      <c r="J309" s="21" t="n"/>
      <c r="K309" s="20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</row>
    <row r="310" ht="15.75" customHeight="1" s="18">
      <c r="A310" s="20">
        <f>IF(AND(B310="",C310=""),"",ROW()-1)</f>
        <v/>
      </c>
      <c r="B310" s="20" t="n"/>
      <c r="C310" s="21">
        <f>IF(B310="","",VLOOKUP(B310,Projects!$B:$C,2,FALSE()))</f>
        <v/>
      </c>
      <c r="D310" s="21" t="n"/>
      <c r="E310" s="20" t="n"/>
      <c r="F310" s="20" t="n"/>
      <c r="G310" s="20" t="n"/>
      <c r="H310" s="22" t="n"/>
      <c r="I310" s="22" t="n"/>
      <c r="J310" s="21" t="n"/>
      <c r="K310" s="20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</row>
    <row r="311" ht="15.75" customHeight="1" s="18">
      <c r="A311" s="20">
        <f>IF(AND(B311="",C311=""),"",ROW()-1)</f>
        <v/>
      </c>
      <c r="B311" s="20" t="n"/>
      <c r="C311" s="21">
        <f>IF(B311="","",VLOOKUP(B311,Projects!$B:$C,2,FALSE()))</f>
        <v/>
      </c>
      <c r="D311" s="21" t="n"/>
      <c r="E311" s="20" t="n"/>
      <c r="F311" s="20" t="n"/>
      <c r="G311" s="20" t="n"/>
      <c r="H311" s="22" t="n"/>
      <c r="I311" s="22" t="n"/>
      <c r="J311" s="21" t="n"/>
      <c r="K311" s="20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</row>
    <row r="312" ht="15.75" customHeight="1" s="18">
      <c r="A312" s="20">
        <f>IF(AND(B312="",C312=""),"",ROW()-1)</f>
        <v/>
      </c>
      <c r="B312" s="20" t="n"/>
      <c r="C312" s="21">
        <f>IF(B312="","",VLOOKUP(B312,Projects!$B:$C,2,FALSE()))</f>
        <v/>
      </c>
      <c r="D312" s="21" t="n"/>
      <c r="E312" s="20" t="n"/>
      <c r="F312" s="20" t="n"/>
      <c r="G312" s="20" t="n"/>
      <c r="H312" s="22" t="n"/>
      <c r="I312" s="22" t="n"/>
      <c r="J312" s="21" t="n"/>
      <c r="K312" s="20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</row>
    <row r="313" ht="15.75" customHeight="1" s="18">
      <c r="A313" s="20">
        <f>IF(AND(B313="",C313=""),"",ROW()-1)</f>
        <v/>
      </c>
      <c r="B313" s="20" t="n"/>
      <c r="C313" s="21">
        <f>IF(B313="","",VLOOKUP(B313,Projects!$B:$C,2,FALSE()))</f>
        <v/>
      </c>
      <c r="D313" s="21" t="n"/>
      <c r="E313" s="20" t="n"/>
      <c r="F313" s="20" t="n"/>
      <c r="G313" s="20" t="n"/>
      <c r="H313" s="22" t="n"/>
      <c r="I313" s="22" t="n"/>
      <c r="J313" s="21" t="n"/>
      <c r="K313" s="20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</row>
    <row r="314" ht="15.75" customHeight="1" s="18">
      <c r="A314" s="20">
        <f>IF(AND(B314="",C314=""),"",ROW()-1)</f>
        <v/>
      </c>
      <c r="B314" s="20" t="n"/>
      <c r="C314" s="21">
        <f>IF(B314="","",VLOOKUP(B314,Projects!$B:$C,2,FALSE()))</f>
        <v/>
      </c>
      <c r="D314" s="21" t="n"/>
      <c r="E314" s="20" t="n"/>
      <c r="F314" s="20" t="n"/>
      <c r="G314" s="20" t="n"/>
      <c r="H314" s="22" t="n"/>
      <c r="I314" s="22" t="n"/>
      <c r="J314" s="21" t="n"/>
      <c r="K314" s="20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</row>
    <row r="315" ht="15.75" customHeight="1" s="18">
      <c r="A315" s="20">
        <f>IF(AND(B315="",C315=""),"",ROW()-1)</f>
        <v/>
      </c>
      <c r="B315" s="20" t="n"/>
      <c r="C315" s="21">
        <f>IF(B315="","",VLOOKUP(B315,Projects!$B:$C,2,FALSE()))</f>
        <v/>
      </c>
      <c r="D315" s="21" t="n"/>
      <c r="E315" s="20" t="n"/>
      <c r="F315" s="20" t="n"/>
      <c r="G315" s="20" t="n"/>
      <c r="H315" s="22" t="n"/>
      <c r="I315" s="22" t="n"/>
      <c r="J315" s="21" t="n"/>
      <c r="K315" s="20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</row>
    <row r="316" ht="15.75" customHeight="1" s="18">
      <c r="A316" s="20">
        <f>IF(AND(B316="",C316=""),"",ROW()-1)</f>
        <v/>
      </c>
      <c r="B316" s="20" t="n"/>
      <c r="C316" s="21">
        <f>IF(B316="","",VLOOKUP(B316,Projects!$B:$C,2,FALSE()))</f>
        <v/>
      </c>
      <c r="D316" s="21" t="n"/>
      <c r="E316" s="20" t="n"/>
      <c r="F316" s="20" t="n"/>
      <c r="G316" s="20" t="n"/>
      <c r="H316" s="22" t="n"/>
      <c r="I316" s="22" t="n"/>
      <c r="J316" s="21" t="n"/>
      <c r="K316" s="20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</row>
    <row r="317" ht="15.75" customHeight="1" s="18">
      <c r="A317" s="20">
        <f>IF(AND(B317="",C317=""),"",ROW()-1)</f>
        <v/>
      </c>
      <c r="B317" s="20" t="n"/>
      <c r="C317" s="21">
        <f>IF(B317="","",VLOOKUP(B317,Projects!$B:$C,2,FALSE()))</f>
        <v/>
      </c>
      <c r="D317" s="21" t="n"/>
      <c r="E317" s="20" t="n"/>
      <c r="F317" s="20" t="n"/>
      <c r="G317" s="20" t="n"/>
      <c r="H317" s="22" t="n"/>
      <c r="I317" s="22" t="n"/>
      <c r="J317" s="21" t="n"/>
      <c r="K317" s="20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</row>
    <row r="318" ht="15.75" customHeight="1" s="18">
      <c r="A318" s="20">
        <f>IF(AND(B318="",C318=""),"",ROW()-1)</f>
        <v/>
      </c>
      <c r="B318" s="20" t="n"/>
      <c r="C318" s="21">
        <f>IF(B318="","",VLOOKUP(B318,Projects!$B:$C,2,FALSE()))</f>
        <v/>
      </c>
      <c r="D318" s="21" t="n"/>
      <c r="E318" s="20" t="n"/>
      <c r="F318" s="20" t="n"/>
      <c r="G318" s="20" t="n"/>
      <c r="H318" s="22" t="n"/>
      <c r="I318" s="22" t="n"/>
      <c r="J318" s="21" t="n"/>
      <c r="K318" s="20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</row>
    <row r="319" ht="15.75" customHeight="1" s="18">
      <c r="A319" s="20">
        <f>IF(AND(B319="",C319=""),"",ROW()-1)</f>
        <v/>
      </c>
      <c r="B319" s="20" t="n"/>
      <c r="C319" s="21">
        <f>IF(B319="","",VLOOKUP(B319,Projects!$B:$C,2,FALSE()))</f>
        <v/>
      </c>
      <c r="D319" s="21" t="n"/>
      <c r="E319" s="20" t="n"/>
      <c r="F319" s="20" t="n"/>
      <c r="G319" s="20" t="n"/>
      <c r="H319" s="22" t="n"/>
      <c r="I319" s="22" t="n"/>
      <c r="J319" s="21" t="n"/>
      <c r="K319" s="20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</row>
    <row r="320" ht="15.75" customHeight="1" s="18">
      <c r="A320" s="20">
        <f>IF(AND(B320="",C320=""),"",ROW()-1)</f>
        <v/>
      </c>
      <c r="B320" s="20" t="n"/>
      <c r="C320" s="21">
        <f>IF(B320="","",VLOOKUP(B320,Projects!$B:$C,2,FALSE()))</f>
        <v/>
      </c>
      <c r="D320" s="21" t="n"/>
      <c r="E320" s="20" t="n"/>
      <c r="F320" s="20" t="n"/>
      <c r="G320" s="20" t="n"/>
      <c r="H320" s="22" t="n"/>
      <c r="I320" s="22" t="n"/>
      <c r="J320" s="21" t="n"/>
      <c r="K320" s="20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</row>
    <row r="321" ht="15.75" customHeight="1" s="18">
      <c r="A321" s="20">
        <f>IF(AND(B321="",C321=""),"",ROW()-1)</f>
        <v/>
      </c>
      <c r="B321" s="20" t="n"/>
      <c r="C321" s="21">
        <f>IF(B321="","",VLOOKUP(B321,Projects!$B:$C,2,FALSE()))</f>
        <v/>
      </c>
      <c r="D321" s="21" t="n"/>
      <c r="E321" s="20" t="n"/>
      <c r="F321" s="20" t="n"/>
      <c r="G321" s="20" t="n"/>
      <c r="H321" s="22" t="n"/>
      <c r="I321" s="22" t="n"/>
      <c r="J321" s="21" t="n"/>
      <c r="K321" s="20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</row>
    <row r="322" ht="15.75" customHeight="1" s="18">
      <c r="A322" s="20">
        <f>IF(AND(B322="",C322=""),"",ROW()-1)</f>
        <v/>
      </c>
      <c r="B322" s="20" t="n"/>
      <c r="C322" s="21">
        <f>IF(B322="","",VLOOKUP(B322,Projects!$B:$C,2,FALSE()))</f>
        <v/>
      </c>
      <c r="D322" s="21" t="n"/>
      <c r="E322" s="20" t="n"/>
      <c r="F322" s="20" t="n"/>
      <c r="G322" s="20" t="n"/>
      <c r="H322" s="22" t="n"/>
      <c r="I322" s="22" t="n"/>
      <c r="J322" s="21" t="n"/>
      <c r="K322" s="20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</row>
    <row r="323" ht="15.75" customHeight="1" s="18">
      <c r="A323" s="20">
        <f>IF(AND(B323="",C323=""),"",ROW()-1)</f>
        <v/>
      </c>
      <c r="B323" s="20" t="n"/>
      <c r="C323" s="21">
        <f>IF(B323="","",VLOOKUP(B323,Projects!$B:$C,2,FALSE()))</f>
        <v/>
      </c>
      <c r="D323" s="21" t="n"/>
      <c r="E323" s="20" t="n"/>
      <c r="F323" s="20" t="n"/>
      <c r="G323" s="20" t="n"/>
      <c r="H323" s="22" t="n"/>
      <c r="I323" s="22" t="n"/>
      <c r="J323" s="21" t="n"/>
      <c r="K323" s="20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</row>
    <row r="324" ht="15.75" customHeight="1" s="18">
      <c r="A324" s="20">
        <f>IF(AND(B324="",C324=""),"",ROW()-1)</f>
        <v/>
      </c>
      <c r="B324" s="20" t="n"/>
      <c r="C324" s="21">
        <f>IF(B324="","",VLOOKUP(B324,Projects!$B:$C,2,FALSE()))</f>
        <v/>
      </c>
      <c r="D324" s="21" t="n"/>
      <c r="E324" s="20" t="n"/>
      <c r="F324" s="20" t="n"/>
      <c r="G324" s="20" t="n"/>
      <c r="H324" s="22" t="n"/>
      <c r="I324" s="22" t="n"/>
      <c r="J324" s="21" t="n"/>
      <c r="K324" s="20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</row>
    <row r="325" ht="15.75" customHeight="1" s="18">
      <c r="A325" s="20">
        <f>IF(AND(B325="",C325=""),"",ROW()-1)</f>
        <v/>
      </c>
      <c r="B325" s="20" t="n"/>
      <c r="C325" s="21">
        <f>IF(B325="","",VLOOKUP(B325,Projects!$B:$C,2,FALSE()))</f>
        <v/>
      </c>
      <c r="D325" s="21" t="n"/>
      <c r="E325" s="20" t="n"/>
      <c r="F325" s="20" t="n"/>
      <c r="G325" s="20" t="n"/>
      <c r="H325" s="22" t="n"/>
      <c r="I325" s="22" t="n"/>
      <c r="J325" s="21" t="n"/>
      <c r="K325" s="20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</row>
    <row r="326" ht="15.75" customHeight="1" s="18">
      <c r="A326" s="20">
        <f>IF(AND(B326="",C326=""),"",ROW()-1)</f>
        <v/>
      </c>
      <c r="B326" s="20" t="n"/>
      <c r="C326" s="21">
        <f>IF(B326="","",VLOOKUP(B326,Projects!$B:$C,2,FALSE()))</f>
        <v/>
      </c>
      <c r="D326" s="21" t="n"/>
      <c r="E326" s="20" t="n"/>
      <c r="F326" s="20" t="n"/>
      <c r="G326" s="20" t="n"/>
      <c r="H326" s="22" t="n"/>
      <c r="I326" s="22" t="n"/>
      <c r="J326" s="21" t="n"/>
      <c r="K326" s="20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</row>
    <row r="327" ht="15.75" customHeight="1" s="18">
      <c r="A327" s="20">
        <f>IF(AND(B327="",C327=""),"",ROW()-1)</f>
        <v/>
      </c>
      <c r="B327" s="20" t="n"/>
      <c r="C327" s="21">
        <f>IF(B327="","",VLOOKUP(B327,Projects!$B:$C,2,FALSE()))</f>
        <v/>
      </c>
      <c r="D327" s="21" t="n"/>
      <c r="E327" s="20" t="n"/>
      <c r="F327" s="20" t="n"/>
      <c r="G327" s="20" t="n"/>
      <c r="H327" s="22" t="n"/>
      <c r="I327" s="22" t="n"/>
      <c r="J327" s="21" t="n"/>
      <c r="K327" s="20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</row>
    <row r="328" ht="15.75" customHeight="1" s="18">
      <c r="A328" s="20">
        <f>IF(AND(B328="",C328=""),"",ROW()-1)</f>
        <v/>
      </c>
      <c r="B328" s="20" t="n"/>
      <c r="C328" s="21">
        <f>IF(B328="","",VLOOKUP(B328,Projects!$B:$C,2,FALSE()))</f>
        <v/>
      </c>
      <c r="D328" s="21" t="n"/>
      <c r="E328" s="20" t="n"/>
      <c r="F328" s="20" t="n"/>
      <c r="G328" s="20" t="n"/>
      <c r="H328" s="22" t="n"/>
      <c r="I328" s="22" t="n"/>
      <c r="J328" s="21" t="n"/>
      <c r="K328" s="20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</row>
    <row r="329" ht="15.75" customHeight="1" s="18">
      <c r="A329" s="20">
        <f>IF(AND(B329="",C329=""),"",ROW()-1)</f>
        <v/>
      </c>
      <c r="B329" s="20" t="n"/>
      <c r="C329" s="21">
        <f>IF(B329="","",VLOOKUP(B329,Projects!$B:$C,2,FALSE()))</f>
        <v/>
      </c>
      <c r="D329" s="21" t="n"/>
      <c r="E329" s="20" t="n"/>
      <c r="F329" s="20" t="n"/>
      <c r="G329" s="20" t="n"/>
      <c r="H329" s="22" t="n"/>
      <c r="I329" s="22" t="n"/>
      <c r="J329" s="21" t="n"/>
      <c r="K329" s="20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</row>
    <row r="330" ht="15.75" customHeight="1" s="18">
      <c r="A330" s="20">
        <f>IF(AND(B330="",C330=""),"",ROW()-1)</f>
        <v/>
      </c>
      <c r="B330" s="20" t="n"/>
      <c r="C330" s="21">
        <f>IF(B330="","",VLOOKUP(B330,Projects!$B:$C,2,FALSE()))</f>
        <v/>
      </c>
      <c r="D330" s="21" t="n"/>
      <c r="E330" s="20" t="n"/>
      <c r="F330" s="20" t="n"/>
      <c r="G330" s="20" t="n"/>
      <c r="H330" s="22" t="n"/>
      <c r="I330" s="22" t="n"/>
      <c r="J330" s="21" t="n"/>
      <c r="K330" s="20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</row>
    <row r="331" ht="15.75" customHeight="1" s="18">
      <c r="A331" s="20">
        <f>IF(AND(B331="",C331=""),"",ROW()-1)</f>
        <v/>
      </c>
      <c r="B331" s="20" t="n"/>
      <c r="C331" s="21">
        <f>IF(B331="","",VLOOKUP(B331,Projects!$B:$C,2,FALSE()))</f>
        <v/>
      </c>
      <c r="D331" s="21" t="n"/>
      <c r="E331" s="20" t="n"/>
      <c r="F331" s="20" t="n"/>
      <c r="G331" s="20" t="n"/>
      <c r="H331" s="22" t="n"/>
      <c r="I331" s="22" t="n"/>
      <c r="J331" s="21" t="n"/>
      <c r="K331" s="20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</row>
    <row r="332" ht="15.75" customHeight="1" s="18">
      <c r="A332" s="20">
        <f>IF(AND(B332="",C332=""),"",ROW()-1)</f>
        <v/>
      </c>
      <c r="B332" s="20" t="n"/>
      <c r="C332" s="21">
        <f>IF(B332="","",VLOOKUP(B332,Projects!$B:$C,2,FALSE()))</f>
        <v/>
      </c>
      <c r="D332" s="21" t="n"/>
      <c r="E332" s="20" t="n"/>
      <c r="F332" s="20" t="n"/>
      <c r="G332" s="20" t="n"/>
      <c r="H332" s="22" t="n"/>
      <c r="I332" s="22" t="n"/>
      <c r="J332" s="21" t="n"/>
      <c r="K332" s="20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</row>
    <row r="333" ht="15.75" customHeight="1" s="18">
      <c r="A333" s="20">
        <f>IF(AND(B333="",C333=""),"",ROW()-1)</f>
        <v/>
      </c>
      <c r="B333" s="20" t="n"/>
      <c r="C333" s="21">
        <f>IF(B333="","",VLOOKUP(B333,Projects!$B:$C,2,FALSE()))</f>
        <v/>
      </c>
      <c r="D333" s="21" t="n"/>
      <c r="E333" s="20" t="n"/>
      <c r="F333" s="20" t="n"/>
      <c r="G333" s="20" t="n"/>
      <c r="H333" s="22" t="n"/>
      <c r="I333" s="22" t="n"/>
      <c r="J333" s="21" t="n"/>
      <c r="K333" s="20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</row>
    <row r="334" ht="15.75" customHeight="1" s="18">
      <c r="A334" s="20">
        <f>IF(AND(B334="",C334=""),"",ROW()-1)</f>
        <v/>
      </c>
      <c r="B334" s="20" t="n"/>
      <c r="C334" s="21">
        <f>IF(B334="","",VLOOKUP(B334,Projects!$B:$C,2,FALSE()))</f>
        <v/>
      </c>
      <c r="D334" s="21" t="n"/>
      <c r="E334" s="20" t="n"/>
      <c r="F334" s="20" t="n"/>
      <c r="G334" s="20" t="n"/>
      <c r="H334" s="22" t="n"/>
      <c r="I334" s="22" t="n"/>
      <c r="J334" s="21" t="n"/>
      <c r="K334" s="20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</row>
    <row r="335" ht="15.75" customHeight="1" s="18">
      <c r="A335" s="20">
        <f>IF(AND(B335="",C335=""),"",ROW()-1)</f>
        <v/>
      </c>
      <c r="B335" s="20" t="n"/>
      <c r="C335" s="21">
        <f>IF(B335="","",VLOOKUP(B335,Projects!$B:$C,2,FALSE()))</f>
        <v/>
      </c>
      <c r="D335" s="21" t="n"/>
      <c r="E335" s="20" t="n"/>
      <c r="F335" s="20" t="n"/>
      <c r="G335" s="20" t="n"/>
      <c r="H335" s="22" t="n"/>
      <c r="I335" s="22" t="n"/>
      <c r="J335" s="21" t="n"/>
      <c r="K335" s="20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</row>
    <row r="336" ht="15.75" customHeight="1" s="18">
      <c r="A336" s="20">
        <f>IF(AND(B336="",C336=""),"",ROW()-1)</f>
        <v/>
      </c>
      <c r="B336" s="20" t="n"/>
      <c r="C336" s="21">
        <f>IF(B336="","",VLOOKUP(B336,Projects!$B:$C,2,FALSE()))</f>
        <v/>
      </c>
      <c r="D336" s="21" t="n"/>
      <c r="E336" s="20" t="n"/>
      <c r="F336" s="20" t="n"/>
      <c r="G336" s="20" t="n"/>
      <c r="H336" s="22" t="n"/>
      <c r="I336" s="22" t="n"/>
      <c r="J336" s="21" t="n"/>
      <c r="K336" s="20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</row>
    <row r="337" ht="15.75" customHeight="1" s="18">
      <c r="A337" s="20">
        <f>IF(AND(B337="",C337=""),"",ROW()-1)</f>
        <v/>
      </c>
      <c r="B337" s="20" t="n"/>
      <c r="C337" s="21">
        <f>IF(B337="","",VLOOKUP(B337,Projects!$B:$C,2,FALSE()))</f>
        <v/>
      </c>
      <c r="D337" s="21" t="n"/>
      <c r="E337" s="20" t="n"/>
      <c r="F337" s="20" t="n"/>
      <c r="G337" s="20" t="n"/>
      <c r="H337" s="22" t="n"/>
      <c r="I337" s="22" t="n"/>
      <c r="J337" s="21" t="n"/>
      <c r="K337" s="20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</row>
    <row r="338" ht="15.75" customHeight="1" s="18">
      <c r="A338" s="20">
        <f>IF(AND(B338="",C338=""),"",ROW()-1)</f>
        <v/>
      </c>
      <c r="B338" s="20" t="n"/>
      <c r="C338" s="21">
        <f>IF(B338="","",VLOOKUP(B338,Projects!$B:$C,2,FALSE()))</f>
        <v/>
      </c>
      <c r="D338" s="21" t="n"/>
      <c r="E338" s="20" t="n"/>
      <c r="F338" s="20" t="n"/>
      <c r="G338" s="20" t="n"/>
      <c r="H338" s="22" t="n"/>
      <c r="I338" s="22" t="n"/>
      <c r="J338" s="21" t="n"/>
      <c r="K338" s="20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</row>
    <row r="339" ht="15.75" customHeight="1" s="18">
      <c r="A339" s="20">
        <f>IF(AND(B339="",C339=""),"",ROW()-1)</f>
        <v/>
      </c>
      <c r="B339" s="20" t="n"/>
      <c r="C339" s="21">
        <f>IF(B339="","",VLOOKUP(B339,Projects!$B:$C,2,FALSE()))</f>
        <v/>
      </c>
      <c r="D339" s="21" t="n"/>
      <c r="E339" s="20" t="n"/>
      <c r="F339" s="20" t="n"/>
      <c r="G339" s="20" t="n"/>
      <c r="H339" s="22" t="n"/>
      <c r="I339" s="22" t="n"/>
      <c r="J339" s="21" t="n"/>
      <c r="K339" s="20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</row>
    <row r="340" ht="15.75" customHeight="1" s="18">
      <c r="A340" s="20">
        <f>IF(AND(B340="",C340=""),"",ROW()-1)</f>
        <v/>
      </c>
      <c r="B340" s="20" t="n"/>
      <c r="C340" s="21">
        <f>IF(B340="","",VLOOKUP(B340,Projects!$B:$C,2,FALSE()))</f>
        <v/>
      </c>
      <c r="D340" s="21" t="n"/>
      <c r="E340" s="20" t="n"/>
      <c r="F340" s="20" t="n"/>
      <c r="G340" s="20" t="n"/>
      <c r="H340" s="22" t="n"/>
      <c r="I340" s="22" t="n"/>
      <c r="J340" s="21" t="n"/>
      <c r="K340" s="20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</row>
    <row r="341" ht="15.75" customHeight="1" s="18">
      <c r="A341" s="20">
        <f>IF(AND(B341="",C341=""),"",ROW()-1)</f>
        <v/>
      </c>
      <c r="B341" s="20" t="n"/>
      <c r="C341" s="21">
        <f>IF(B341="","",VLOOKUP(B341,Projects!$B:$C,2,FALSE()))</f>
        <v/>
      </c>
      <c r="D341" s="21" t="n"/>
      <c r="E341" s="20" t="n"/>
      <c r="F341" s="20" t="n"/>
      <c r="G341" s="20" t="n"/>
      <c r="H341" s="22" t="n"/>
      <c r="I341" s="22" t="n"/>
      <c r="J341" s="21" t="n"/>
      <c r="K341" s="20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</row>
    <row r="342" ht="15.75" customHeight="1" s="18">
      <c r="A342" s="20">
        <f>IF(AND(B342="",C342=""),"",ROW()-1)</f>
        <v/>
      </c>
      <c r="B342" s="20" t="n"/>
      <c r="C342" s="21">
        <f>IF(B342="","",VLOOKUP(B342,Projects!$B:$C,2,FALSE()))</f>
        <v/>
      </c>
      <c r="D342" s="21" t="n"/>
      <c r="E342" s="20" t="n"/>
      <c r="F342" s="20" t="n"/>
      <c r="G342" s="20" t="n"/>
      <c r="H342" s="22" t="n"/>
      <c r="I342" s="22" t="n"/>
      <c r="J342" s="21" t="n"/>
      <c r="K342" s="20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</row>
    <row r="343" ht="15.75" customHeight="1" s="18">
      <c r="A343" s="20">
        <f>IF(AND(B343="",C343=""),"",ROW()-1)</f>
        <v/>
      </c>
      <c r="B343" s="20" t="n"/>
      <c r="C343" s="21">
        <f>IF(B343="","",VLOOKUP(B343,Projects!$B:$C,2,FALSE()))</f>
        <v/>
      </c>
      <c r="D343" s="21" t="n"/>
      <c r="E343" s="20" t="n"/>
      <c r="F343" s="20" t="n"/>
      <c r="G343" s="20" t="n"/>
      <c r="H343" s="22" t="n"/>
      <c r="I343" s="22" t="n"/>
      <c r="J343" s="21" t="n"/>
      <c r="K343" s="20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</row>
    <row r="344" ht="15.75" customHeight="1" s="18">
      <c r="A344" s="20">
        <f>IF(AND(B344="",C344=""),"",ROW()-1)</f>
        <v/>
      </c>
      <c r="B344" s="20" t="n"/>
      <c r="C344" s="21">
        <f>IF(B344="","",VLOOKUP(B344,Projects!$B:$C,2,FALSE()))</f>
        <v/>
      </c>
      <c r="D344" s="21" t="n"/>
      <c r="E344" s="20" t="n"/>
      <c r="F344" s="20" t="n"/>
      <c r="G344" s="20" t="n"/>
      <c r="H344" s="22" t="n"/>
      <c r="I344" s="22" t="n"/>
      <c r="J344" s="21" t="n"/>
      <c r="K344" s="20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</row>
    <row r="345" ht="15.75" customHeight="1" s="18">
      <c r="A345" s="20">
        <f>IF(AND(B345="",C345=""),"",ROW()-1)</f>
        <v/>
      </c>
      <c r="B345" s="20" t="n"/>
      <c r="C345" s="21">
        <f>IF(B345="","",VLOOKUP(B345,Projects!$B:$C,2,FALSE()))</f>
        <v/>
      </c>
      <c r="D345" s="21" t="n"/>
      <c r="E345" s="20" t="n"/>
      <c r="F345" s="20" t="n"/>
      <c r="G345" s="20" t="n"/>
      <c r="H345" s="22" t="n"/>
      <c r="I345" s="22" t="n"/>
      <c r="J345" s="21" t="n"/>
      <c r="K345" s="20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</row>
    <row r="346" ht="15.75" customHeight="1" s="18">
      <c r="A346" s="20">
        <f>IF(AND(B346="",C346=""),"",ROW()-1)</f>
        <v/>
      </c>
      <c r="B346" s="20" t="n"/>
      <c r="C346" s="21">
        <f>IF(B346="","",VLOOKUP(B346,Projects!$B:$C,2,FALSE()))</f>
        <v/>
      </c>
      <c r="D346" s="21" t="n"/>
      <c r="E346" s="20" t="n"/>
      <c r="F346" s="20" t="n"/>
      <c r="G346" s="20" t="n"/>
      <c r="H346" s="22" t="n"/>
      <c r="I346" s="22" t="n"/>
      <c r="J346" s="21" t="n"/>
      <c r="K346" s="20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</row>
    <row r="347" ht="15.75" customHeight="1" s="18">
      <c r="A347" s="20">
        <f>IF(AND(B347="",C347=""),"",ROW()-1)</f>
        <v/>
      </c>
      <c r="B347" s="20" t="n"/>
      <c r="C347" s="21">
        <f>IF(B347="","",VLOOKUP(B347,Projects!$B:$C,2,FALSE()))</f>
        <v/>
      </c>
      <c r="D347" s="21" t="n"/>
      <c r="E347" s="20" t="n"/>
      <c r="F347" s="20" t="n"/>
      <c r="G347" s="20" t="n"/>
      <c r="H347" s="22" t="n"/>
      <c r="I347" s="22" t="n"/>
      <c r="J347" s="21" t="n"/>
      <c r="K347" s="20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</row>
    <row r="348" ht="15.75" customHeight="1" s="18">
      <c r="A348" s="20">
        <f>IF(AND(B348="",C348=""),"",ROW()-1)</f>
        <v/>
      </c>
      <c r="B348" s="20" t="n"/>
      <c r="C348" s="21">
        <f>IF(B348="","",VLOOKUP(B348,Projects!$B:$C,2,FALSE()))</f>
        <v/>
      </c>
      <c r="D348" s="21" t="n"/>
      <c r="E348" s="20" t="n"/>
      <c r="F348" s="20" t="n"/>
      <c r="G348" s="20" t="n"/>
      <c r="H348" s="22" t="n"/>
      <c r="I348" s="22" t="n"/>
      <c r="J348" s="21" t="n"/>
      <c r="K348" s="20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</row>
    <row r="349" ht="15.75" customHeight="1" s="18">
      <c r="A349" s="20">
        <f>IF(AND(B349="",C349=""),"",ROW()-1)</f>
        <v/>
      </c>
      <c r="B349" s="20" t="n"/>
      <c r="C349" s="21">
        <f>IF(B349="","",VLOOKUP(B349,Projects!$B:$C,2,FALSE()))</f>
        <v/>
      </c>
      <c r="D349" s="21" t="n"/>
      <c r="E349" s="20" t="n"/>
      <c r="F349" s="20" t="n"/>
      <c r="G349" s="20" t="n"/>
      <c r="H349" s="22" t="n"/>
      <c r="I349" s="22" t="n"/>
      <c r="J349" s="21" t="n"/>
      <c r="K349" s="20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</row>
    <row r="350" ht="15.75" customHeight="1" s="18">
      <c r="A350" s="20">
        <f>IF(AND(B350="",C350=""),"",ROW()-1)</f>
        <v/>
      </c>
      <c r="B350" s="20" t="n"/>
      <c r="C350" s="21">
        <f>IF(B350="","",VLOOKUP(B350,Projects!$B:$C,2,FALSE()))</f>
        <v/>
      </c>
      <c r="D350" s="21" t="n"/>
      <c r="E350" s="20" t="n"/>
      <c r="F350" s="20" t="n"/>
      <c r="G350" s="20" t="n"/>
      <c r="H350" s="22" t="n"/>
      <c r="I350" s="22" t="n"/>
      <c r="J350" s="21" t="n"/>
      <c r="K350" s="20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</row>
    <row r="351" ht="15.75" customHeight="1" s="18">
      <c r="A351" s="20">
        <f>IF(AND(B351="",C351=""),"",ROW()-1)</f>
        <v/>
      </c>
      <c r="B351" s="20" t="n"/>
      <c r="C351" s="21">
        <f>IF(B351="","",VLOOKUP(B351,Projects!$B:$C,2,FALSE()))</f>
        <v/>
      </c>
      <c r="D351" s="21" t="n"/>
      <c r="E351" s="20" t="n"/>
      <c r="F351" s="20" t="n"/>
      <c r="G351" s="20" t="n"/>
      <c r="H351" s="22" t="n"/>
      <c r="I351" s="22" t="n"/>
      <c r="J351" s="21" t="n"/>
      <c r="K351" s="20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</row>
    <row r="352" ht="15.75" customHeight="1" s="18">
      <c r="A352" s="20">
        <f>IF(AND(B352="",C352=""),"",ROW()-1)</f>
        <v/>
      </c>
      <c r="B352" s="20" t="n"/>
      <c r="C352" s="21">
        <f>IF(B352="","",VLOOKUP(B352,Projects!$B:$C,2,FALSE()))</f>
        <v/>
      </c>
      <c r="D352" s="21" t="n"/>
      <c r="E352" s="20" t="n"/>
      <c r="F352" s="20" t="n"/>
      <c r="G352" s="20" t="n"/>
      <c r="H352" s="22" t="n"/>
      <c r="I352" s="22" t="n"/>
      <c r="J352" s="21" t="n"/>
      <c r="K352" s="20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</row>
    <row r="353" ht="15.75" customHeight="1" s="18">
      <c r="A353" s="20">
        <f>IF(AND(B353="",C353=""),"",ROW()-1)</f>
        <v/>
      </c>
      <c r="B353" s="20" t="n"/>
      <c r="C353" s="21">
        <f>IF(B353="","",VLOOKUP(B353,Projects!$B:$C,2,FALSE()))</f>
        <v/>
      </c>
      <c r="D353" s="21" t="n"/>
      <c r="E353" s="20" t="n"/>
      <c r="F353" s="20" t="n"/>
      <c r="G353" s="20" t="n"/>
      <c r="H353" s="22" t="n"/>
      <c r="I353" s="22" t="n"/>
      <c r="J353" s="21" t="n"/>
      <c r="K353" s="20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</row>
    <row r="354" ht="15.75" customHeight="1" s="18">
      <c r="A354" s="20">
        <f>IF(AND(B354="",C354=""),"",ROW()-1)</f>
        <v/>
      </c>
      <c r="B354" s="20" t="n"/>
      <c r="C354" s="21">
        <f>IF(B354="","",VLOOKUP(B354,Projects!$B:$C,2,FALSE()))</f>
        <v/>
      </c>
      <c r="D354" s="21" t="n"/>
      <c r="E354" s="20" t="n"/>
      <c r="F354" s="20" t="n"/>
      <c r="G354" s="20" t="n"/>
      <c r="H354" s="22" t="n"/>
      <c r="I354" s="22" t="n"/>
      <c r="J354" s="21" t="n"/>
      <c r="K354" s="20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</row>
    <row r="355" ht="15.75" customHeight="1" s="18">
      <c r="A355" s="20">
        <f>IF(AND(B355="",C355=""),"",ROW()-1)</f>
        <v/>
      </c>
      <c r="B355" s="20" t="n"/>
      <c r="C355" s="21">
        <f>IF(B355="","",VLOOKUP(B355,Projects!$B:$C,2,FALSE()))</f>
        <v/>
      </c>
      <c r="D355" s="21" t="n"/>
      <c r="E355" s="20" t="n"/>
      <c r="F355" s="20" t="n"/>
      <c r="G355" s="20" t="n"/>
      <c r="H355" s="22" t="n"/>
      <c r="I355" s="22" t="n"/>
      <c r="J355" s="21" t="n"/>
      <c r="K355" s="20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</row>
    <row r="356" ht="15.75" customHeight="1" s="18">
      <c r="A356" s="20">
        <f>IF(AND(B356="",C356=""),"",ROW()-1)</f>
        <v/>
      </c>
      <c r="B356" s="20" t="n"/>
      <c r="C356" s="21">
        <f>IF(B356="","",VLOOKUP(B356,Projects!$B:$C,2,FALSE()))</f>
        <v/>
      </c>
      <c r="D356" s="21" t="n"/>
      <c r="E356" s="20" t="n"/>
      <c r="F356" s="20" t="n"/>
      <c r="G356" s="20" t="n"/>
      <c r="H356" s="22" t="n"/>
      <c r="I356" s="22" t="n"/>
      <c r="J356" s="21" t="n"/>
      <c r="K356" s="20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</row>
    <row r="357" ht="15.75" customHeight="1" s="18">
      <c r="A357" s="20">
        <f>IF(AND(B357="",C357=""),"",ROW()-1)</f>
        <v/>
      </c>
      <c r="B357" s="20" t="n"/>
      <c r="C357" s="21">
        <f>IF(B357="","",VLOOKUP(B357,Projects!$B:$C,2,FALSE()))</f>
        <v/>
      </c>
      <c r="D357" s="21" t="n"/>
      <c r="E357" s="20" t="n"/>
      <c r="F357" s="20" t="n"/>
      <c r="G357" s="20" t="n"/>
      <c r="H357" s="22" t="n"/>
      <c r="I357" s="22" t="n"/>
      <c r="J357" s="21" t="n"/>
      <c r="K357" s="20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</row>
    <row r="358" ht="15.75" customHeight="1" s="18">
      <c r="A358" s="20">
        <f>IF(AND(B358="",C358=""),"",ROW()-1)</f>
        <v/>
      </c>
      <c r="B358" s="20" t="n"/>
      <c r="C358" s="21">
        <f>IF(B358="","",VLOOKUP(B358,Projects!$B:$C,2,FALSE()))</f>
        <v/>
      </c>
      <c r="D358" s="21" t="n"/>
      <c r="E358" s="20" t="n"/>
      <c r="F358" s="20" t="n"/>
      <c r="G358" s="20" t="n"/>
      <c r="H358" s="22" t="n"/>
      <c r="I358" s="22" t="n"/>
      <c r="J358" s="21" t="n"/>
      <c r="K358" s="20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</row>
    <row r="359" ht="15.75" customHeight="1" s="18">
      <c r="A359" s="20">
        <f>IF(AND(B359="",C359=""),"",ROW()-1)</f>
        <v/>
      </c>
      <c r="B359" s="20" t="n"/>
      <c r="C359" s="21">
        <f>IF(B359="","",VLOOKUP(B359,Projects!$B:$C,2,FALSE()))</f>
        <v/>
      </c>
      <c r="D359" s="21" t="n"/>
      <c r="E359" s="20" t="n"/>
      <c r="F359" s="20" t="n"/>
      <c r="G359" s="20" t="n"/>
      <c r="H359" s="22" t="n"/>
      <c r="I359" s="22" t="n"/>
      <c r="J359" s="21" t="n"/>
      <c r="K359" s="20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</row>
    <row r="360" ht="15.75" customHeight="1" s="18">
      <c r="A360" s="20">
        <f>IF(AND(B360="",C360=""),"",ROW()-1)</f>
        <v/>
      </c>
      <c r="B360" s="20" t="n"/>
      <c r="C360" s="21">
        <f>IF(B360="","",VLOOKUP(B360,Projects!$B:$C,2,FALSE()))</f>
        <v/>
      </c>
      <c r="D360" s="21" t="n"/>
      <c r="E360" s="20" t="n"/>
      <c r="F360" s="20" t="n"/>
      <c r="G360" s="20" t="n"/>
      <c r="H360" s="22" t="n"/>
      <c r="I360" s="22" t="n"/>
      <c r="J360" s="21" t="n"/>
      <c r="K360" s="20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</row>
    <row r="361" ht="15.75" customHeight="1" s="18">
      <c r="A361" s="20">
        <f>IF(AND(B361="",C361=""),"",ROW()-1)</f>
        <v/>
      </c>
      <c r="B361" s="20" t="n"/>
      <c r="C361" s="21">
        <f>IF(B361="","",VLOOKUP(B361,Projects!$B:$C,2,FALSE()))</f>
        <v/>
      </c>
      <c r="D361" s="21" t="n"/>
      <c r="E361" s="20" t="n"/>
      <c r="F361" s="20" t="n"/>
      <c r="G361" s="20" t="n"/>
      <c r="H361" s="22" t="n"/>
      <c r="I361" s="22" t="n"/>
      <c r="J361" s="21" t="n"/>
      <c r="K361" s="20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</row>
    <row r="362" ht="15.75" customHeight="1" s="18">
      <c r="A362" s="20">
        <f>IF(AND(B362="",C362=""),"",ROW()-1)</f>
        <v/>
      </c>
      <c r="B362" s="20" t="n"/>
      <c r="C362" s="21">
        <f>IF(B362="","",VLOOKUP(B362,Projects!$B:$C,2,FALSE()))</f>
        <v/>
      </c>
      <c r="D362" s="21" t="n"/>
      <c r="E362" s="20" t="n"/>
      <c r="F362" s="20" t="n"/>
      <c r="G362" s="20" t="n"/>
      <c r="H362" s="22" t="n"/>
      <c r="I362" s="22" t="n"/>
      <c r="J362" s="21" t="n"/>
      <c r="K362" s="20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</row>
    <row r="363" ht="15.75" customHeight="1" s="18">
      <c r="A363" s="20">
        <f>IF(AND(B363="",C363=""),"",ROW()-1)</f>
        <v/>
      </c>
      <c r="B363" s="20" t="n"/>
      <c r="C363" s="21">
        <f>IF(B363="","",VLOOKUP(B363,Projects!$B:$C,2,FALSE()))</f>
        <v/>
      </c>
      <c r="D363" s="21" t="n"/>
      <c r="E363" s="20" t="n"/>
      <c r="F363" s="20" t="n"/>
      <c r="G363" s="20" t="n"/>
      <c r="H363" s="22" t="n"/>
      <c r="I363" s="22" t="n"/>
      <c r="J363" s="21" t="n"/>
      <c r="K363" s="20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</row>
    <row r="364" ht="15.75" customHeight="1" s="18">
      <c r="A364" s="20">
        <f>IF(AND(B364="",C364=""),"",ROW()-1)</f>
        <v/>
      </c>
      <c r="B364" s="20" t="n"/>
      <c r="C364" s="21">
        <f>IF(B364="","",VLOOKUP(B364,Projects!$B:$C,2,FALSE()))</f>
        <v/>
      </c>
      <c r="D364" s="21" t="n"/>
      <c r="E364" s="20" t="n"/>
      <c r="F364" s="20" t="n"/>
      <c r="G364" s="20" t="n"/>
      <c r="H364" s="22" t="n"/>
      <c r="I364" s="22" t="n"/>
      <c r="J364" s="21" t="n"/>
      <c r="K364" s="20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</row>
    <row r="365" ht="15.75" customHeight="1" s="18">
      <c r="A365" s="20">
        <f>IF(AND(B365="",C365=""),"",ROW()-1)</f>
        <v/>
      </c>
      <c r="B365" s="20" t="n"/>
      <c r="C365" s="21">
        <f>IF(B365="","",VLOOKUP(B365,Projects!$B:$C,2,FALSE()))</f>
        <v/>
      </c>
      <c r="D365" s="21" t="n"/>
      <c r="E365" s="20" t="n"/>
      <c r="F365" s="20" t="n"/>
      <c r="G365" s="20" t="n"/>
      <c r="H365" s="22" t="n"/>
      <c r="I365" s="22" t="n"/>
      <c r="J365" s="21" t="n"/>
      <c r="K365" s="20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</row>
    <row r="366" ht="15.75" customHeight="1" s="18">
      <c r="A366" s="20">
        <f>IF(AND(B366="",C366=""),"",ROW()-1)</f>
        <v/>
      </c>
      <c r="B366" s="20" t="n"/>
      <c r="C366" s="21">
        <f>IF(B366="","",VLOOKUP(B366,Projects!$B:$C,2,FALSE()))</f>
        <v/>
      </c>
      <c r="D366" s="21" t="n"/>
      <c r="E366" s="20" t="n"/>
      <c r="F366" s="20" t="n"/>
      <c r="G366" s="20" t="n"/>
      <c r="H366" s="22" t="n"/>
      <c r="I366" s="22" t="n"/>
      <c r="J366" s="21" t="n"/>
      <c r="K366" s="20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</row>
    <row r="367" ht="15.75" customHeight="1" s="18">
      <c r="A367" s="20">
        <f>IF(AND(B367="",C367=""),"",ROW()-1)</f>
        <v/>
      </c>
      <c r="B367" s="20" t="n"/>
      <c r="C367" s="21">
        <f>IF(B367="","",VLOOKUP(B367,Projects!$B:$C,2,FALSE()))</f>
        <v/>
      </c>
      <c r="D367" s="21" t="n"/>
      <c r="E367" s="20" t="n"/>
      <c r="F367" s="20" t="n"/>
      <c r="G367" s="20" t="n"/>
      <c r="H367" s="22" t="n"/>
      <c r="I367" s="22" t="n"/>
      <c r="J367" s="21" t="n"/>
      <c r="K367" s="20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</row>
    <row r="368" ht="15.75" customHeight="1" s="18">
      <c r="A368" s="20">
        <f>IF(AND(B368="",C368=""),"",ROW()-1)</f>
        <v/>
      </c>
      <c r="B368" s="20" t="n"/>
      <c r="C368" s="21">
        <f>IF(B368="","",VLOOKUP(B368,Projects!$B:$C,2,FALSE()))</f>
        <v/>
      </c>
      <c r="D368" s="21" t="n"/>
      <c r="E368" s="20" t="n"/>
      <c r="F368" s="20" t="n"/>
      <c r="G368" s="20" t="n"/>
      <c r="H368" s="22" t="n"/>
      <c r="I368" s="22" t="n"/>
      <c r="J368" s="21" t="n"/>
      <c r="K368" s="20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</row>
    <row r="369" ht="15.75" customHeight="1" s="18">
      <c r="A369" s="20">
        <f>IF(AND(B369="",C369=""),"",ROW()-1)</f>
        <v/>
      </c>
      <c r="B369" s="20" t="n"/>
      <c r="C369" s="21">
        <f>IF(B369="","",VLOOKUP(B369,Projects!$B:$C,2,FALSE()))</f>
        <v/>
      </c>
      <c r="D369" s="21" t="n"/>
      <c r="E369" s="20" t="n"/>
      <c r="F369" s="20" t="n"/>
      <c r="G369" s="20" t="n"/>
      <c r="H369" s="22" t="n"/>
      <c r="I369" s="22" t="n"/>
      <c r="J369" s="21" t="n"/>
      <c r="K369" s="20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</row>
    <row r="370" ht="15.75" customHeight="1" s="18">
      <c r="A370" s="20">
        <f>IF(AND(B370="",C370=""),"",ROW()-1)</f>
        <v/>
      </c>
      <c r="B370" s="20" t="n"/>
      <c r="C370" s="21">
        <f>IF(B370="","",VLOOKUP(B370,Projects!$B:$C,2,FALSE()))</f>
        <v/>
      </c>
      <c r="D370" s="21" t="n"/>
      <c r="E370" s="20" t="n"/>
      <c r="F370" s="20" t="n"/>
      <c r="G370" s="20" t="n"/>
      <c r="H370" s="22" t="n"/>
      <c r="I370" s="22" t="n"/>
      <c r="J370" s="21" t="n"/>
      <c r="K370" s="20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</row>
    <row r="371" ht="15.75" customHeight="1" s="18">
      <c r="A371" s="20">
        <f>IF(AND(B371="",C371=""),"",ROW()-1)</f>
        <v/>
      </c>
      <c r="B371" s="20" t="n"/>
      <c r="C371" s="21">
        <f>IF(B371="","",VLOOKUP(B371,Projects!$B:$C,2,FALSE()))</f>
        <v/>
      </c>
      <c r="D371" s="21" t="n"/>
      <c r="E371" s="20" t="n"/>
      <c r="F371" s="20" t="n"/>
      <c r="G371" s="20" t="n"/>
      <c r="H371" s="22" t="n"/>
      <c r="I371" s="22" t="n"/>
      <c r="J371" s="21" t="n"/>
      <c r="K371" s="20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</row>
    <row r="372" ht="15.75" customHeight="1" s="18">
      <c r="A372" s="20">
        <f>IF(AND(B372="",C372=""),"",ROW()-1)</f>
        <v/>
      </c>
      <c r="B372" s="20" t="n"/>
      <c r="C372" s="21">
        <f>IF(B372="","",VLOOKUP(B372,Projects!$B:$C,2,FALSE()))</f>
        <v/>
      </c>
      <c r="D372" s="21" t="n"/>
      <c r="E372" s="20" t="n"/>
      <c r="F372" s="20" t="n"/>
      <c r="G372" s="20" t="n"/>
      <c r="H372" s="22" t="n"/>
      <c r="I372" s="22" t="n"/>
      <c r="J372" s="21" t="n"/>
      <c r="K372" s="20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</row>
    <row r="373" ht="15.75" customHeight="1" s="18">
      <c r="A373" s="20">
        <f>IF(AND(B373="",C373=""),"",ROW()-1)</f>
        <v/>
      </c>
      <c r="B373" s="20" t="n"/>
      <c r="C373" s="21">
        <f>IF(B373="","",VLOOKUP(B373,Projects!$B:$C,2,FALSE()))</f>
        <v/>
      </c>
      <c r="D373" s="21" t="n"/>
      <c r="E373" s="20" t="n"/>
      <c r="F373" s="20" t="n"/>
      <c r="G373" s="20" t="n"/>
      <c r="H373" s="22" t="n"/>
      <c r="I373" s="22" t="n"/>
      <c r="J373" s="21" t="n"/>
      <c r="K373" s="20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</row>
    <row r="374" ht="15.75" customHeight="1" s="18">
      <c r="A374" s="20">
        <f>IF(AND(B374="",C374=""),"",ROW()-1)</f>
        <v/>
      </c>
      <c r="B374" s="20" t="n"/>
      <c r="C374" s="21">
        <f>IF(B374="","",VLOOKUP(B374,Projects!$B:$C,2,FALSE()))</f>
        <v/>
      </c>
      <c r="D374" s="21" t="n"/>
      <c r="E374" s="20" t="n"/>
      <c r="F374" s="20" t="n"/>
      <c r="G374" s="20" t="n"/>
      <c r="H374" s="22" t="n"/>
      <c r="I374" s="22" t="n"/>
      <c r="J374" s="21" t="n"/>
      <c r="K374" s="20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</row>
    <row r="375" ht="15.75" customHeight="1" s="18">
      <c r="A375" s="20">
        <f>IF(AND(B375="",C375=""),"",ROW()-1)</f>
        <v/>
      </c>
      <c r="B375" s="20" t="n"/>
      <c r="C375" s="21">
        <f>IF(B375="","",VLOOKUP(B375,Projects!$B:$C,2,FALSE()))</f>
        <v/>
      </c>
      <c r="D375" s="21" t="n"/>
      <c r="E375" s="20" t="n"/>
      <c r="F375" s="20" t="n"/>
      <c r="G375" s="20" t="n"/>
      <c r="H375" s="22" t="n"/>
      <c r="I375" s="22" t="n"/>
      <c r="J375" s="21" t="n"/>
      <c r="K375" s="20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</row>
    <row r="376" ht="15.75" customHeight="1" s="18">
      <c r="A376" s="20">
        <f>IF(AND(B376="",C376=""),"",ROW()-1)</f>
        <v/>
      </c>
      <c r="B376" s="20" t="n"/>
      <c r="C376" s="21">
        <f>IF(B376="","",VLOOKUP(B376,Projects!$B:$C,2,FALSE()))</f>
        <v/>
      </c>
      <c r="D376" s="21" t="n"/>
      <c r="E376" s="20" t="n"/>
      <c r="F376" s="20" t="n"/>
      <c r="G376" s="20" t="n"/>
      <c r="H376" s="22" t="n"/>
      <c r="I376" s="22" t="n"/>
      <c r="J376" s="21" t="n"/>
      <c r="K376" s="20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</row>
    <row r="377" ht="15.75" customHeight="1" s="18">
      <c r="A377" s="20">
        <f>IF(AND(B377="",C377=""),"",ROW()-1)</f>
        <v/>
      </c>
      <c r="B377" s="20" t="n"/>
      <c r="C377" s="21">
        <f>IF(B377="","",VLOOKUP(B377,Projects!$B:$C,2,FALSE()))</f>
        <v/>
      </c>
      <c r="D377" s="21" t="n"/>
      <c r="E377" s="20" t="n"/>
      <c r="F377" s="20" t="n"/>
      <c r="G377" s="20" t="n"/>
      <c r="H377" s="22" t="n"/>
      <c r="I377" s="22" t="n"/>
      <c r="J377" s="21" t="n"/>
      <c r="K377" s="20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</row>
    <row r="378" ht="15.75" customHeight="1" s="18">
      <c r="A378" s="20">
        <f>IF(AND(B378="",C378=""),"",ROW()-1)</f>
        <v/>
      </c>
      <c r="B378" s="20" t="n"/>
      <c r="C378" s="21">
        <f>IF(B378="","",VLOOKUP(B378,Projects!$B:$C,2,FALSE()))</f>
        <v/>
      </c>
      <c r="D378" s="21" t="n"/>
      <c r="E378" s="20" t="n"/>
      <c r="F378" s="20" t="n"/>
      <c r="G378" s="20" t="n"/>
      <c r="H378" s="22" t="n"/>
      <c r="I378" s="22" t="n"/>
      <c r="J378" s="21" t="n"/>
      <c r="K378" s="20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</row>
    <row r="379" ht="15.75" customHeight="1" s="18">
      <c r="A379" s="20">
        <f>IF(AND(B379="",C379=""),"",ROW()-1)</f>
        <v/>
      </c>
      <c r="B379" s="20" t="n"/>
      <c r="C379" s="21">
        <f>IF(B379="","",VLOOKUP(B379,Projects!$B:$C,2,FALSE()))</f>
        <v/>
      </c>
      <c r="D379" s="21" t="n"/>
      <c r="E379" s="20" t="n"/>
      <c r="F379" s="20" t="n"/>
      <c r="G379" s="20" t="n"/>
      <c r="H379" s="22" t="n"/>
      <c r="I379" s="22" t="n"/>
      <c r="J379" s="21" t="n"/>
      <c r="K379" s="20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</row>
    <row r="380" ht="15.75" customHeight="1" s="18">
      <c r="A380" s="20">
        <f>IF(AND(B380="",C380=""),"",ROW()-1)</f>
        <v/>
      </c>
      <c r="B380" s="20" t="n"/>
      <c r="C380" s="21">
        <f>IF(B380="","",VLOOKUP(B380,Projects!$B:$C,2,FALSE()))</f>
        <v/>
      </c>
      <c r="D380" s="21" t="n"/>
      <c r="E380" s="20" t="n"/>
      <c r="F380" s="20" t="n"/>
      <c r="G380" s="20" t="n"/>
      <c r="H380" s="22" t="n"/>
      <c r="I380" s="22" t="n"/>
      <c r="J380" s="21" t="n"/>
      <c r="K380" s="20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</row>
    <row r="381" ht="15.75" customHeight="1" s="18">
      <c r="A381" s="20">
        <f>IF(AND(B381="",C381=""),"",ROW()-1)</f>
        <v/>
      </c>
      <c r="B381" s="20" t="n"/>
      <c r="C381" s="21">
        <f>IF(B381="","",VLOOKUP(B381,Projects!$B:$C,2,FALSE()))</f>
        <v/>
      </c>
      <c r="D381" s="21" t="n"/>
      <c r="E381" s="20" t="n"/>
      <c r="F381" s="20" t="n"/>
      <c r="G381" s="20" t="n"/>
      <c r="H381" s="22" t="n"/>
      <c r="I381" s="22" t="n"/>
      <c r="J381" s="21" t="n"/>
      <c r="K381" s="20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</row>
    <row r="382" ht="15.75" customHeight="1" s="18">
      <c r="A382" s="20">
        <f>IF(AND(B382="",C382=""),"",ROW()-1)</f>
        <v/>
      </c>
      <c r="B382" s="20" t="n"/>
      <c r="C382" s="21">
        <f>IF(B382="","",VLOOKUP(B382,Projects!$B:$C,2,FALSE()))</f>
        <v/>
      </c>
      <c r="D382" s="21" t="n"/>
      <c r="E382" s="20" t="n"/>
      <c r="F382" s="20" t="n"/>
      <c r="G382" s="20" t="n"/>
      <c r="H382" s="22" t="n"/>
      <c r="I382" s="22" t="n"/>
      <c r="J382" s="21" t="n"/>
      <c r="K382" s="20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</row>
    <row r="383" ht="15.75" customHeight="1" s="18">
      <c r="A383" s="20">
        <f>IF(AND(B383="",C383=""),"",ROW()-1)</f>
        <v/>
      </c>
      <c r="B383" s="20" t="n"/>
      <c r="C383" s="21">
        <f>IF(B383="","",VLOOKUP(B383,Projects!$B:$C,2,FALSE()))</f>
        <v/>
      </c>
      <c r="D383" s="21" t="n"/>
      <c r="E383" s="20" t="n"/>
      <c r="F383" s="20" t="n"/>
      <c r="G383" s="20" t="n"/>
      <c r="H383" s="22" t="n"/>
      <c r="I383" s="22" t="n"/>
      <c r="J383" s="21" t="n"/>
      <c r="K383" s="20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</row>
    <row r="384" ht="15.75" customHeight="1" s="18">
      <c r="A384" s="20">
        <f>IF(AND(B384="",C384=""),"",ROW()-1)</f>
        <v/>
      </c>
      <c r="B384" s="20" t="n"/>
      <c r="C384" s="21">
        <f>IF(B384="","",VLOOKUP(B384,Projects!$B:$C,2,FALSE()))</f>
        <v/>
      </c>
      <c r="D384" s="21" t="n"/>
      <c r="E384" s="20" t="n"/>
      <c r="F384" s="20" t="n"/>
      <c r="G384" s="20" t="n"/>
      <c r="H384" s="22" t="n"/>
      <c r="I384" s="22" t="n"/>
      <c r="J384" s="21" t="n"/>
      <c r="K384" s="20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</row>
    <row r="385" ht="15.75" customHeight="1" s="18">
      <c r="A385" s="20">
        <f>IF(AND(B385="",C385=""),"",ROW()-1)</f>
        <v/>
      </c>
      <c r="B385" s="20" t="n"/>
      <c r="C385" s="21">
        <f>IF(B385="","",VLOOKUP(B385,Projects!$B:$C,2,FALSE()))</f>
        <v/>
      </c>
      <c r="D385" s="21" t="n"/>
      <c r="E385" s="20" t="n"/>
      <c r="F385" s="20" t="n"/>
      <c r="G385" s="20" t="n"/>
      <c r="H385" s="22" t="n"/>
      <c r="I385" s="22" t="n"/>
      <c r="J385" s="21" t="n"/>
      <c r="K385" s="20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</row>
    <row r="386" ht="15.75" customHeight="1" s="18">
      <c r="A386" s="20">
        <f>IF(AND(B386="",C386=""),"",ROW()-1)</f>
        <v/>
      </c>
      <c r="B386" s="20" t="n"/>
      <c r="C386" s="21">
        <f>IF(B386="","",VLOOKUP(B386,Projects!$B:$C,2,FALSE()))</f>
        <v/>
      </c>
      <c r="D386" s="21" t="n"/>
      <c r="E386" s="20" t="n"/>
      <c r="F386" s="20" t="n"/>
      <c r="G386" s="20" t="n"/>
      <c r="H386" s="22" t="n"/>
      <c r="I386" s="22" t="n"/>
      <c r="J386" s="21" t="n"/>
      <c r="K386" s="20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</row>
    <row r="387" ht="15.75" customHeight="1" s="18">
      <c r="A387" s="20">
        <f>IF(AND(B387="",C387=""),"",ROW()-1)</f>
        <v/>
      </c>
      <c r="B387" s="20" t="n"/>
      <c r="C387" s="21">
        <f>IF(B387="","",VLOOKUP(B387,Projects!$B:$C,2,FALSE()))</f>
        <v/>
      </c>
      <c r="D387" s="21" t="n"/>
      <c r="E387" s="20" t="n"/>
      <c r="F387" s="20" t="n"/>
      <c r="G387" s="20" t="n"/>
      <c r="H387" s="22" t="n"/>
      <c r="I387" s="22" t="n"/>
      <c r="J387" s="21" t="n"/>
      <c r="K387" s="20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</row>
    <row r="388" ht="15.75" customHeight="1" s="18">
      <c r="A388" s="20">
        <f>IF(AND(B388="",C388=""),"",ROW()-1)</f>
        <v/>
      </c>
      <c r="B388" s="20" t="n"/>
      <c r="C388" s="21">
        <f>IF(B388="","",VLOOKUP(B388,Projects!$B:$C,2,FALSE()))</f>
        <v/>
      </c>
      <c r="D388" s="21" t="n"/>
      <c r="E388" s="20" t="n"/>
      <c r="F388" s="20" t="n"/>
      <c r="G388" s="20" t="n"/>
      <c r="H388" s="22" t="n"/>
      <c r="I388" s="22" t="n"/>
      <c r="J388" s="21" t="n"/>
      <c r="K388" s="20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</row>
    <row r="389" ht="15.75" customHeight="1" s="18">
      <c r="A389" s="20">
        <f>IF(AND(B389="",C389=""),"",ROW()-1)</f>
        <v/>
      </c>
      <c r="B389" s="20" t="n"/>
      <c r="C389" s="21">
        <f>IF(B389="","",VLOOKUP(B389,Projects!$B:$C,2,FALSE()))</f>
        <v/>
      </c>
      <c r="D389" s="21" t="n"/>
      <c r="E389" s="20" t="n"/>
      <c r="F389" s="20" t="n"/>
      <c r="G389" s="20" t="n"/>
      <c r="H389" s="22" t="n"/>
      <c r="I389" s="22" t="n"/>
      <c r="J389" s="21" t="n"/>
      <c r="K389" s="20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</row>
    <row r="390" ht="15.75" customHeight="1" s="18">
      <c r="A390" s="20">
        <f>IF(AND(B390="",C390=""),"",ROW()-1)</f>
        <v/>
      </c>
      <c r="B390" s="20" t="n"/>
      <c r="C390" s="21">
        <f>IF(B390="","",VLOOKUP(B390,Projects!$B:$C,2,FALSE()))</f>
        <v/>
      </c>
      <c r="D390" s="21" t="n"/>
      <c r="E390" s="20" t="n"/>
      <c r="F390" s="20" t="n"/>
      <c r="G390" s="20" t="n"/>
      <c r="H390" s="22" t="n"/>
      <c r="I390" s="22" t="n"/>
      <c r="J390" s="21" t="n"/>
      <c r="K390" s="20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</row>
    <row r="391" ht="15.75" customHeight="1" s="18">
      <c r="A391" s="20">
        <f>IF(AND(B391="",C391=""),"",ROW()-1)</f>
        <v/>
      </c>
      <c r="B391" s="20" t="n"/>
      <c r="C391" s="21">
        <f>IF(B391="","",VLOOKUP(B391,Projects!$B:$C,2,FALSE()))</f>
        <v/>
      </c>
      <c r="D391" s="21" t="n"/>
      <c r="E391" s="20" t="n"/>
      <c r="F391" s="20" t="n"/>
      <c r="G391" s="20" t="n"/>
      <c r="H391" s="22" t="n"/>
      <c r="I391" s="22" t="n"/>
      <c r="J391" s="21" t="n"/>
      <c r="K391" s="20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</row>
    <row r="392" ht="15.75" customHeight="1" s="18">
      <c r="A392" s="20">
        <f>IF(AND(B392="",C392=""),"",ROW()-1)</f>
        <v/>
      </c>
      <c r="B392" s="20" t="n"/>
      <c r="C392" s="21">
        <f>IF(B392="","",VLOOKUP(B392,Projects!$B:$C,2,FALSE()))</f>
        <v/>
      </c>
      <c r="D392" s="21" t="n"/>
      <c r="E392" s="20" t="n"/>
      <c r="F392" s="20" t="n"/>
      <c r="G392" s="20" t="n"/>
      <c r="H392" s="22" t="n"/>
      <c r="I392" s="22" t="n"/>
      <c r="J392" s="21" t="n"/>
      <c r="K392" s="20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</row>
    <row r="393" ht="15.75" customHeight="1" s="18">
      <c r="A393" s="20">
        <f>IF(AND(B393="",C393=""),"",ROW()-1)</f>
        <v/>
      </c>
      <c r="B393" s="20" t="n"/>
      <c r="C393" s="21">
        <f>IF(B393="","",VLOOKUP(B393,Projects!$B:$C,2,FALSE()))</f>
        <v/>
      </c>
      <c r="D393" s="21" t="n"/>
      <c r="E393" s="20" t="n"/>
      <c r="F393" s="20" t="n"/>
      <c r="G393" s="20" t="n"/>
      <c r="H393" s="22" t="n"/>
      <c r="I393" s="22" t="n"/>
      <c r="J393" s="21" t="n"/>
      <c r="K393" s="20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</row>
    <row r="394" ht="15.75" customHeight="1" s="18">
      <c r="A394" s="20">
        <f>IF(AND(B394="",C394=""),"",ROW()-1)</f>
        <v/>
      </c>
      <c r="B394" s="20" t="n"/>
      <c r="C394" s="21">
        <f>IF(B394="","",VLOOKUP(B394,Projects!$B:$C,2,FALSE()))</f>
        <v/>
      </c>
      <c r="D394" s="21" t="n"/>
      <c r="E394" s="20" t="n"/>
      <c r="F394" s="20" t="n"/>
      <c r="G394" s="20" t="n"/>
      <c r="H394" s="22" t="n"/>
      <c r="I394" s="22" t="n"/>
      <c r="J394" s="21" t="n"/>
      <c r="K394" s="20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</row>
    <row r="395" ht="15.75" customHeight="1" s="18">
      <c r="A395" s="20">
        <f>IF(AND(B395="",C395=""),"",ROW()-1)</f>
        <v/>
      </c>
      <c r="B395" s="20" t="n"/>
      <c r="C395" s="21">
        <f>IF(B395="","",VLOOKUP(B395,Projects!$B:$C,2,FALSE()))</f>
        <v/>
      </c>
      <c r="D395" s="21" t="n"/>
      <c r="E395" s="20" t="n"/>
      <c r="F395" s="20" t="n"/>
      <c r="G395" s="20" t="n"/>
      <c r="H395" s="22" t="n"/>
      <c r="I395" s="22" t="n"/>
      <c r="J395" s="21" t="n"/>
      <c r="K395" s="20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</row>
    <row r="396" ht="15.75" customHeight="1" s="18">
      <c r="A396" s="20">
        <f>IF(AND(B396="",C396=""),"",ROW()-1)</f>
        <v/>
      </c>
      <c r="B396" s="20" t="n"/>
      <c r="C396" s="21">
        <f>IF(B396="","",VLOOKUP(B396,Projects!$B:$C,2,FALSE()))</f>
        <v/>
      </c>
      <c r="D396" s="21" t="n"/>
      <c r="E396" s="20" t="n"/>
      <c r="F396" s="20" t="n"/>
      <c r="G396" s="20" t="n"/>
      <c r="H396" s="22" t="n"/>
      <c r="I396" s="22" t="n"/>
      <c r="J396" s="21" t="n"/>
      <c r="K396" s="20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</row>
    <row r="397" ht="15.75" customHeight="1" s="18">
      <c r="A397" s="20">
        <f>IF(AND(B397="",C397=""),"",ROW()-1)</f>
        <v/>
      </c>
      <c r="B397" s="20" t="n"/>
      <c r="C397" s="21">
        <f>IF(B397="","",VLOOKUP(B397,Projects!$B:$C,2,FALSE()))</f>
        <v/>
      </c>
      <c r="D397" s="21" t="n"/>
      <c r="E397" s="20" t="n"/>
      <c r="F397" s="20" t="n"/>
      <c r="G397" s="20" t="n"/>
      <c r="H397" s="22" t="n"/>
      <c r="I397" s="22" t="n"/>
      <c r="J397" s="21" t="n"/>
      <c r="K397" s="20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</row>
    <row r="398" ht="15.75" customHeight="1" s="18">
      <c r="A398" s="20">
        <f>IF(AND(B398="",C398=""),"",ROW()-1)</f>
        <v/>
      </c>
      <c r="B398" s="20" t="n"/>
      <c r="C398" s="21">
        <f>IF(B398="","",VLOOKUP(B398,Projects!$B:$C,2,FALSE()))</f>
        <v/>
      </c>
      <c r="D398" s="21" t="n"/>
      <c r="E398" s="20" t="n"/>
      <c r="F398" s="20" t="n"/>
      <c r="G398" s="20" t="n"/>
      <c r="H398" s="22" t="n"/>
      <c r="I398" s="22" t="n"/>
      <c r="J398" s="21" t="n"/>
      <c r="K398" s="20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</row>
    <row r="399" ht="15.75" customHeight="1" s="18">
      <c r="A399" s="20">
        <f>IF(AND(B399="",C399=""),"",ROW()-1)</f>
        <v/>
      </c>
      <c r="B399" s="20" t="n"/>
      <c r="C399" s="21">
        <f>IF(B399="","",VLOOKUP(B399,Projects!$B:$C,2,FALSE()))</f>
        <v/>
      </c>
      <c r="D399" s="21" t="n"/>
      <c r="E399" s="20" t="n"/>
      <c r="F399" s="20" t="n"/>
      <c r="G399" s="20" t="n"/>
      <c r="H399" s="22" t="n"/>
      <c r="I399" s="22" t="n"/>
      <c r="J399" s="21" t="n"/>
      <c r="K399" s="20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</row>
    <row r="400" ht="15.75" customHeight="1" s="18">
      <c r="A400" s="20">
        <f>IF(AND(B400="",C400=""),"",ROW()-1)</f>
        <v/>
      </c>
      <c r="B400" s="20" t="n"/>
      <c r="C400" s="21">
        <f>IF(B400="","",VLOOKUP(B400,Projects!$B:$C,2,FALSE()))</f>
        <v/>
      </c>
      <c r="D400" s="21" t="n"/>
      <c r="E400" s="20" t="n"/>
      <c r="F400" s="20" t="n"/>
      <c r="G400" s="20" t="n"/>
      <c r="H400" s="22" t="n"/>
      <c r="I400" s="22" t="n"/>
      <c r="J400" s="21" t="n"/>
      <c r="K400" s="20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</row>
    <row r="401" ht="15.75" customHeight="1" s="18">
      <c r="A401" s="20">
        <f>IF(AND(B401="",C401=""),"",ROW()-1)</f>
        <v/>
      </c>
      <c r="B401" s="20" t="n"/>
      <c r="C401" s="21">
        <f>IF(B401="","",VLOOKUP(B401,Projects!$B:$C,2,FALSE()))</f>
        <v/>
      </c>
      <c r="D401" s="21" t="n"/>
      <c r="E401" s="20" t="n"/>
      <c r="F401" s="20" t="n"/>
      <c r="G401" s="20" t="n"/>
      <c r="H401" s="22" t="n"/>
      <c r="I401" s="22" t="n"/>
      <c r="J401" s="21" t="n"/>
      <c r="K401" s="20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</row>
    <row r="402" ht="15.75" customHeight="1" s="18">
      <c r="A402" s="20">
        <f>IF(AND(B402="",C402=""),"",ROW()-1)</f>
        <v/>
      </c>
      <c r="B402" s="20" t="n"/>
      <c r="C402" s="21">
        <f>IF(B402="","",VLOOKUP(B402,Projects!$B:$C,2,FALSE()))</f>
        <v/>
      </c>
      <c r="D402" s="21" t="n"/>
      <c r="E402" s="20" t="n"/>
      <c r="F402" s="20" t="n"/>
      <c r="G402" s="20" t="n"/>
      <c r="H402" s="22" t="n"/>
      <c r="I402" s="22" t="n"/>
      <c r="J402" s="21" t="n"/>
      <c r="K402" s="20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</row>
    <row r="403" ht="15.75" customHeight="1" s="18">
      <c r="A403" s="20">
        <f>IF(AND(B403="",C403=""),"",ROW()-1)</f>
        <v/>
      </c>
      <c r="B403" s="20" t="n"/>
      <c r="C403" s="21">
        <f>IF(B403="","",VLOOKUP(B403,Projects!$B:$C,2,FALSE()))</f>
        <v/>
      </c>
      <c r="D403" s="21" t="n"/>
      <c r="E403" s="20" t="n"/>
      <c r="F403" s="20" t="n"/>
      <c r="G403" s="20" t="n"/>
      <c r="H403" s="22" t="n"/>
      <c r="I403" s="22" t="n"/>
      <c r="J403" s="21" t="n"/>
      <c r="K403" s="20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</row>
    <row r="404" ht="15.75" customHeight="1" s="18">
      <c r="A404" s="20">
        <f>IF(AND(B404="",C404=""),"",ROW()-1)</f>
        <v/>
      </c>
      <c r="B404" s="20" t="n"/>
      <c r="C404" s="21">
        <f>IF(B404="","",VLOOKUP(B404,Projects!$B:$C,2,FALSE()))</f>
        <v/>
      </c>
      <c r="D404" s="21" t="n"/>
      <c r="E404" s="20" t="n"/>
      <c r="F404" s="20" t="n"/>
      <c r="G404" s="20" t="n"/>
      <c r="H404" s="22" t="n"/>
      <c r="I404" s="22" t="n"/>
      <c r="J404" s="21" t="n"/>
      <c r="K404" s="20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</row>
    <row r="405" ht="15.75" customHeight="1" s="18">
      <c r="A405" s="20">
        <f>IF(AND(B405="",C405=""),"",ROW()-1)</f>
        <v/>
      </c>
      <c r="B405" s="20" t="n"/>
      <c r="C405" s="21">
        <f>IF(B405="","",VLOOKUP(B405,Projects!$B:$C,2,FALSE()))</f>
        <v/>
      </c>
      <c r="D405" s="21" t="n"/>
      <c r="E405" s="20" t="n"/>
      <c r="F405" s="20" t="n"/>
      <c r="G405" s="20" t="n"/>
      <c r="H405" s="22" t="n"/>
      <c r="I405" s="22" t="n"/>
      <c r="J405" s="21" t="n"/>
      <c r="K405" s="20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</row>
    <row r="406" ht="15.75" customHeight="1" s="18">
      <c r="A406" s="20">
        <f>IF(AND(B406="",C406=""),"",ROW()-1)</f>
        <v/>
      </c>
      <c r="B406" s="20" t="n"/>
      <c r="C406" s="21">
        <f>IF(B406="","",VLOOKUP(B406,Projects!$B:$C,2,FALSE()))</f>
        <v/>
      </c>
      <c r="D406" s="21" t="n"/>
      <c r="E406" s="20" t="n"/>
      <c r="F406" s="20" t="n"/>
      <c r="G406" s="20" t="n"/>
      <c r="H406" s="22" t="n"/>
      <c r="I406" s="22" t="n"/>
      <c r="J406" s="21" t="n"/>
      <c r="K406" s="20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</row>
    <row r="407" ht="15.75" customHeight="1" s="18">
      <c r="A407" s="20">
        <f>IF(AND(B407="",C407=""),"",ROW()-1)</f>
        <v/>
      </c>
      <c r="B407" s="20" t="n"/>
      <c r="C407" s="21">
        <f>IF(B407="","",VLOOKUP(B407,Projects!$B:$C,2,FALSE()))</f>
        <v/>
      </c>
      <c r="D407" s="21" t="n"/>
      <c r="E407" s="20" t="n"/>
      <c r="F407" s="20" t="n"/>
      <c r="G407" s="20" t="n"/>
      <c r="H407" s="22" t="n"/>
      <c r="I407" s="22" t="n"/>
      <c r="J407" s="21" t="n"/>
      <c r="K407" s="20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</row>
    <row r="408" ht="15.75" customHeight="1" s="18">
      <c r="A408" s="20">
        <f>IF(AND(B408="",C408=""),"",ROW()-1)</f>
        <v/>
      </c>
      <c r="B408" s="20" t="n"/>
      <c r="C408" s="21">
        <f>IF(B408="","",VLOOKUP(B408,Projects!$B:$C,2,FALSE()))</f>
        <v/>
      </c>
      <c r="D408" s="21" t="n"/>
      <c r="E408" s="20" t="n"/>
      <c r="F408" s="20" t="n"/>
      <c r="G408" s="20" t="n"/>
      <c r="H408" s="22" t="n"/>
      <c r="I408" s="22" t="n"/>
      <c r="J408" s="21" t="n"/>
      <c r="K408" s="20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</row>
    <row r="409" ht="15.75" customHeight="1" s="18">
      <c r="A409" s="20">
        <f>IF(AND(B409="",C409=""),"",ROW()-1)</f>
        <v/>
      </c>
      <c r="B409" s="20" t="n"/>
      <c r="C409" s="21">
        <f>IF(B409="","",VLOOKUP(B409,Projects!$B:$C,2,FALSE()))</f>
        <v/>
      </c>
      <c r="D409" s="21" t="n"/>
      <c r="E409" s="20" t="n"/>
      <c r="F409" s="20" t="n"/>
      <c r="G409" s="20" t="n"/>
      <c r="H409" s="22" t="n"/>
      <c r="I409" s="22" t="n"/>
      <c r="J409" s="21" t="n"/>
      <c r="K409" s="20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</row>
    <row r="410" ht="15.75" customHeight="1" s="18">
      <c r="A410" s="20">
        <f>IF(AND(B410="",C410=""),"",ROW()-1)</f>
        <v/>
      </c>
      <c r="B410" s="20" t="n"/>
      <c r="C410" s="21">
        <f>IF(B410="","",VLOOKUP(B410,Projects!$B:$C,2,FALSE()))</f>
        <v/>
      </c>
      <c r="D410" s="21" t="n"/>
      <c r="E410" s="20" t="n"/>
      <c r="F410" s="20" t="n"/>
      <c r="G410" s="20" t="n"/>
      <c r="H410" s="22" t="n"/>
      <c r="I410" s="22" t="n"/>
      <c r="J410" s="21" t="n"/>
      <c r="K410" s="20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</row>
    <row r="411" ht="15.75" customHeight="1" s="18">
      <c r="A411" s="20">
        <f>IF(AND(B411="",C411=""),"",ROW()-1)</f>
        <v/>
      </c>
      <c r="B411" s="20" t="n"/>
      <c r="C411" s="21">
        <f>IF(B411="","",VLOOKUP(B411,Projects!$B:$C,2,FALSE()))</f>
        <v/>
      </c>
      <c r="D411" s="21" t="n"/>
      <c r="E411" s="20" t="n"/>
      <c r="F411" s="20" t="n"/>
      <c r="G411" s="20" t="n"/>
      <c r="H411" s="22" t="n"/>
      <c r="I411" s="22" t="n"/>
      <c r="J411" s="21" t="n"/>
      <c r="K411" s="20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</row>
    <row r="412" ht="15.75" customHeight="1" s="18">
      <c r="A412" s="20">
        <f>IF(AND(B412="",C412=""),"",ROW()-1)</f>
        <v/>
      </c>
      <c r="B412" s="20" t="n"/>
      <c r="C412" s="21">
        <f>IF(B412="","",VLOOKUP(B412,Projects!$B:$C,2,FALSE()))</f>
        <v/>
      </c>
      <c r="D412" s="21" t="n"/>
      <c r="E412" s="20" t="n"/>
      <c r="F412" s="20" t="n"/>
      <c r="G412" s="20" t="n"/>
      <c r="H412" s="22" t="n"/>
      <c r="I412" s="22" t="n"/>
      <c r="J412" s="21" t="n"/>
      <c r="K412" s="20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</row>
    <row r="413" ht="15.75" customHeight="1" s="18">
      <c r="A413" s="20">
        <f>IF(AND(B413="",C413=""),"",ROW()-1)</f>
        <v/>
      </c>
      <c r="B413" s="20" t="n"/>
      <c r="C413" s="21">
        <f>IF(B413="","",VLOOKUP(B413,Projects!$B:$C,2,FALSE()))</f>
        <v/>
      </c>
      <c r="D413" s="21" t="n"/>
      <c r="E413" s="20" t="n"/>
      <c r="F413" s="20" t="n"/>
      <c r="G413" s="20" t="n"/>
      <c r="H413" s="22" t="n"/>
      <c r="I413" s="22" t="n"/>
      <c r="J413" s="21" t="n"/>
      <c r="K413" s="20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</row>
    <row r="414" ht="15.75" customHeight="1" s="18">
      <c r="A414" s="20">
        <f>IF(AND(B414="",C414=""),"",ROW()-1)</f>
        <v/>
      </c>
      <c r="B414" s="20" t="n"/>
      <c r="C414" s="21">
        <f>IF(B414="","",VLOOKUP(B414,Projects!$B:$C,2,FALSE()))</f>
        <v/>
      </c>
      <c r="D414" s="21" t="n"/>
      <c r="E414" s="20" t="n"/>
      <c r="F414" s="20" t="n"/>
      <c r="G414" s="20" t="n"/>
      <c r="H414" s="22" t="n"/>
      <c r="I414" s="22" t="n"/>
      <c r="J414" s="21" t="n"/>
      <c r="K414" s="20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</row>
    <row r="415" ht="15.75" customHeight="1" s="18">
      <c r="A415" s="20">
        <f>IF(AND(B415="",C415=""),"",ROW()-1)</f>
        <v/>
      </c>
      <c r="B415" s="20" t="n"/>
      <c r="C415" s="21">
        <f>IF(B415="","",VLOOKUP(B415,Projects!$B:$C,2,FALSE()))</f>
        <v/>
      </c>
      <c r="D415" s="21" t="n"/>
      <c r="E415" s="20" t="n"/>
      <c r="F415" s="20" t="n"/>
      <c r="G415" s="20" t="n"/>
      <c r="H415" s="22" t="n"/>
      <c r="I415" s="22" t="n"/>
      <c r="J415" s="21" t="n"/>
      <c r="K415" s="20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</row>
    <row r="416" ht="15.75" customHeight="1" s="18">
      <c r="A416" s="20">
        <f>IF(AND(B416="",C416=""),"",ROW()-1)</f>
        <v/>
      </c>
      <c r="B416" s="20" t="n"/>
      <c r="C416" s="21">
        <f>IF(B416="","",VLOOKUP(B416,Projects!$B:$C,2,FALSE()))</f>
        <v/>
      </c>
      <c r="D416" s="21" t="n"/>
      <c r="E416" s="20" t="n"/>
      <c r="F416" s="20" t="n"/>
      <c r="G416" s="20" t="n"/>
      <c r="H416" s="22" t="n"/>
      <c r="I416" s="22" t="n"/>
      <c r="J416" s="21" t="n"/>
      <c r="K416" s="20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</row>
    <row r="417" ht="15.75" customHeight="1" s="18">
      <c r="A417" s="20">
        <f>IF(AND(B417="",C417=""),"",ROW()-1)</f>
        <v/>
      </c>
      <c r="B417" s="20" t="n"/>
      <c r="C417" s="21">
        <f>IF(B417="","",VLOOKUP(B417,Projects!$B:$C,2,FALSE()))</f>
        <v/>
      </c>
      <c r="D417" s="21" t="n"/>
      <c r="E417" s="20" t="n"/>
      <c r="F417" s="20" t="n"/>
      <c r="G417" s="20" t="n"/>
      <c r="H417" s="22" t="n"/>
      <c r="I417" s="22" t="n"/>
      <c r="J417" s="21" t="n"/>
      <c r="K417" s="20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</row>
    <row r="418" ht="15.75" customHeight="1" s="18">
      <c r="A418" s="20">
        <f>IF(AND(B418="",C418=""),"",ROW()-1)</f>
        <v/>
      </c>
      <c r="B418" s="20" t="n"/>
      <c r="C418" s="21">
        <f>IF(B418="","",VLOOKUP(B418,Projects!$B:$C,2,FALSE()))</f>
        <v/>
      </c>
      <c r="D418" s="21" t="n"/>
      <c r="E418" s="20" t="n"/>
      <c r="F418" s="20" t="n"/>
      <c r="G418" s="20" t="n"/>
      <c r="H418" s="22" t="n"/>
      <c r="I418" s="22" t="n"/>
      <c r="J418" s="21" t="n"/>
      <c r="K418" s="20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</row>
    <row r="419" ht="15.75" customHeight="1" s="18">
      <c r="A419" s="20">
        <f>IF(AND(B419="",C419=""),"",ROW()-1)</f>
        <v/>
      </c>
      <c r="B419" s="20" t="n"/>
      <c r="C419" s="21">
        <f>IF(B419="","",VLOOKUP(B419,Projects!$B:$C,2,FALSE()))</f>
        <v/>
      </c>
      <c r="D419" s="21" t="n"/>
      <c r="E419" s="20" t="n"/>
      <c r="F419" s="20" t="n"/>
      <c r="G419" s="20" t="n"/>
      <c r="H419" s="22" t="n"/>
      <c r="I419" s="22" t="n"/>
      <c r="J419" s="21" t="n"/>
      <c r="K419" s="20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</row>
    <row r="420" ht="15.75" customHeight="1" s="18">
      <c r="A420" s="20">
        <f>IF(AND(B420="",C420=""),"",ROW()-1)</f>
        <v/>
      </c>
      <c r="B420" s="20" t="n"/>
      <c r="C420" s="21">
        <f>IF(B420="","",VLOOKUP(B420,Projects!$B:$C,2,FALSE()))</f>
        <v/>
      </c>
      <c r="D420" s="21" t="n"/>
      <c r="E420" s="20" t="n"/>
      <c r="F420" s="20" t="n"/>
      <c r="G420" s="20" t="n"/>
      <c r="H420" s="22" t="n"/>
      <c r="I420" s="22" t="n"/>
      <c r="J420" s="21" t="n"/>
      <c r="K420" s="20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</row>
    <row r="421" ht="15.75" customHeight="1" s="18">
      <c r="A421" s="20">
        <f>IF(AND(B421="",C421=""),"",ROW()-1)</f>
        <v/>
      </c>
      <c r="B421" s="20" t="n"/>
      <c r="C421" s="21">
        <f>IF(B421="","",VLOOKUP(B421,Projects!$B:$C,2,FALSE()))</f>
        <v/>
      </c>
      <c r="D421" s="21" t="n"/>
      <c r="E421" s="20" t="n"/>
      <c r="F421" s="20" t="n"/>
      <c r="G421" s="20" t="n"/>
      <c r="H421" s="22" t="n"/>
      <c r="I421" s="22" t="n"/>
      <c r="J421" s="21" t="n"/>
      <c r="K421" s="20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</row>
    <row r="422" ht="15.75" customHeight="1" s="18">
      <c r="A422" s="20">
        <f>IF(AND(B422="",C422=""),"",ROW()-1)</f>
        <v/>
      </c>
      <c r="B422" s="20" t="n"/>
      <c r="C422" s="21">
        <f>IF(B422="","",VLOOKUP(B422,Projects!$B:$C,2,FALSE()))</f>
        <v/>
      </c>
      <c r="D422" s="21" t="n"/>
      <c r="E422" s="20" t="n"/>
      <c r="F422" s="20" t="n"/>
      <c r="G422" s="20" t="n"/>
      <c r="H422" s="22" t="n"/>
      <c r="I422" s="22" t="n"/>
      <c r="J422" s="21" t="n"/>
      <c r="K422" s="20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</row>
    <row r="423" ht="15.75" customHeight="1" s="18">
      <c r="A423" s="20">
        <f>IF(AND(B423="",C423=""),"",ROW()-1)</f>
        <v/>
      </c>
      <c r="B423" s="20" t="n"/>
      <c r="C423" s="21">
        <f>IF(B423="","",VLOOKUP(B423,Projects!$B:$C,2,FALSE()))</f>
        <v/>
      </c>
      <c r="D423" s="21" t="n"/>
      <c r="E423" s="20" t="n"/>
      <c r="F423" s="20" t="n"/>
      <c r="G423" s="20" t="n"/>
      <c r="H423" s="22" t="n"/>
      <c r="I423" s="22" t="n"/>
      <c r="J423" s="21" t="n"/>
      <c r="K423" s="20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</row>
    <row r="424" ht="15.75" customHeight="1" s="18">
      <c r="A424" s="20">
        <f>IF(AND(B424="",C424=""),"",ROW()-1)</f>
        <v/>
      </c>
      <c r="B424" s="20" t="n"/>
      <c r="C424" s="21">
        <f>IF(B424="","",VLOOKUP(B424,Projects!$B:$C,2,FALSE()))</f>
        <v/>
      </c>
      <c r="D424" s="21" t="n"/>
      <c r="E424" s="20" t="n"/>
      <c r="F424" s="20" t="n"/>
      <c r="G424" s="20" t="n"/>
      <c r="H424" s="22" t="n"/>
      <c r="I424" s="22" t="n"/>
      <c r="J424" s="21" t="n"/>
      <c r="K424" s="20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</row>
    <row r="425" ht="15.75" customHeight="1" s="18">
      <c r="A425" s="20">
        <f>IF(AND(B425="",C425=""),"",ROW()-1)</f>
        <v/>
      </c>
      <c r="B425" s="20" t="n"/>
      <c r="C425" s="21">
        <f>IF(B425="","",VLOOKUP(B425,Projects!$B:$C,2,FALSE()))</f>
        <v/>
      </c>
      <c r="D425" s="21" t="n"/>
      <c r="E425" s="20" t="n"/>
      <c r="F425" s="20" t="n"/>
      <c r="G425" s="20" t="n"/>
      <c r="H425" s="22" t="n"/>
      <c r="I425" s="22" t="n"/>
      <c r="J425" s="21" t="n"/>
      <c r="K425" s="20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</row>
    <row r="426" ht="15.75" customHeight="1" s="18">
      <c r="A426" s="20">
        <f>IF(AND(B426="",C426=""),"",ROW()-1)</f>
        <v/>
      </c>
      <c r="B426" s="20" t="n"/>
      <c r="C426" s="21">
        <f>IF(B426="","",VLOOKUP(B426,Projects!$B:$C,2,FALSE()))</f>
        <v/>
      </c>
      <c r="D426" s="21" t="n"/>
      <c r="E426" s="20" t="n"/>
      <c r="F426" s="20" t="n"/>
      <c r="G426" s="20" t="n"/>
      <c r="H426" s="22" t="n"/>
      <c r="I426" s="22" t="n"/>
      <c r="J426" s="21" t="n"/>
      <c r="K426" s="20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</row>
    <row r="427" ht="15.75" customHeight="1" s="18">
      <c r="A427" s="20">
        <f>IF(AND(B427="",C427=""),"",ROW()-1)</f>
        <v/>
      </c>
      <c r="B427" s="20" t="n"/>
      <c r="C427" s="21">
        <f>IF(B427="","",VLOOKUP(B427,Projects!$B:$C,2,FALSE()))</f>
        <v/>
      </c>
      <c r="D427" s="21" t="n"/>
      <c r="E427" s="20" t="n"/>
      <c r="F427" s="20" t="n"/>
      <c r="G427" s="20" t="n"/>
      <c r="H427" s="22" t="n"/>
      <c r="I427" s="22" t="n"/>
      <c r="J427" s="21" t="n"/>
      <c r="K427" s="20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</row>
    <row r="428" ht="15.75" customHeight="1" s="18">
      <c r="A428" s="20">
        <f>IF(AND(B428="",C428=""),"",ROW()-1)</f>
        <v/>
      </c>
      <c r="B428" s="20" t="n"/>
      <c r="C428" s="21">
        <f>IF(B428="","",VLOOKUP(B428,Projects!$B:$C,2,FALSE()))</f>
        <v/>
      </c>
      <c r="D428" s="21" t="n"/>
      <c r="E428" s="20" t="n"/>
      <c r="F428" s="20" t="n"/>
      <c r="G428" s="20" t="n"/>
      <c r="H428" s="22" t="n"/>
      <c r="I428" s="22" t="n"/>
      <c r="J428" s="21" t="n"/>
      <c r="K428" s="20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</row>
    <row r="429" ht="15.75" customHeight="1" s="18">
      <c r="A429" s="20">
        <f>IF(AND(B429="",C429=""),"",ROW()-1)</f>
        <v/>
      </c>
      <c r="B429" s="20" t="n"/>
      <c r="C429" s="21">
        <f>IF(B429="","",VLOOKUP(B429,Projects!$B:$C,2,FALSE()))</f>
        <v/>
      </c>
      <c r="D429" s="21" t="n"/>
      <c r="E429" s="20" t="n"/>
      <c r="F429" s="20" t="n"/>
      <c r="G429" s="20" t="n"/>
      <c r="H429" s="22" t="n"/>
      <c r="I429" s="22" t="n"/>
      <c r="J429" s="21" t="n"/>
      <c r="K429" s="20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</row>
    <row r="430" ht="15.75" customHeight="1" s="18">
      <c r="A430" s="20">
        <f>IF(AND(B430="",C430=""),"",ROW()-1)</f>
        <v/>
      </c>
      <c r="B430" s="20" t="n"/>
      <c r="C430" s="21">
        <f>IF(B430="","",VLOOKUP(B430,Projects!$B:$C,2,FALSE()))</f>
        <v/>
      </c>
      <c r="D430" s="21" t="n"/>
      <c r="E430" s="20" t="n"/>
      <c r="F430" s="20" t="n"/>
      <c r="G430" s="20" t="n"/>
      <c r="H430" s="22" t="n"/>
      <c r="I430" s="22" t="n"/>
      <c r="J430" s="21" t="n"/>
      <c r="K430" s="20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</row>
    <row r="431" ht="15.75" customHeight="1" s="18">
      <c r="A431" s="20">
        <f>IF(AND(B431="",C431=""),"",ROW()-1)</f>
        <v/>
      </c>
      <c r="B431" s="20" t="n"/>
      <c r="C431" s="21">
        <f>IF(B431="","",VLOOKUP(B431,Projects!$B:$C,2,FALSE()))</f>
        <v/>
      </c>
      <c r="D431" s="21" t="n"/>
      <c r="E431" s="20" t="n"/>
      <c r="F431" s="20" t="n"/>
      <c r="G431" s="20" t="n"/>
      <c r="H431" s="22" t="n"/>
      <c r="I431" s="22" t="n"/>
      <c r="J431" s="21" t="n"/>
      <c r="K431" s="20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</row>
    <row r="432" ht="15.75" customHeight="1" s="18">
      <c r="A432" s="20">
        <f>IF(AND(B432="",C432=""),"",ROW()-1)</f>
        <v/>
      </c>
      <c r="B432" s="20" t="n"/>
      <c r="C432" s="21">
        <f>IF(B432="","",VLOOKUP(B432,Projects!$B:$C,2,FALSE()))</f>
        <v/>
      </c>
      <c r="D432" s="21" t="n"/>
      <c r="E432" s="20" t="n"/>
      <c r="F432" s="20" t="n"/>
      <c r="G432" s="20" t="n"/>
      <c r="H432" s="22" t="n"/>
      <c r="I432" s="22" t="n"/>
      <c r="J432" s="21" t="n"/>
      <c r="K432" s="20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</row>
    <row r="433" ht="15.75" customHeight="1" s="18">
      <c r="A433" s="20">
        <f>IF(AND(B433="",C433=""),"",ROW()-1)</f>
        <v/>
      </c>
      <c r="B433" s="20" t="n"/>
      <c r="C433" s="21">
        <f>IF(B433="","",VLOOKUP(B433,Projects!$B:$C,2,FALSE()))</f>
        <v/>
      </c>
      <c r="D433" s="21" t="n"/>
      <c r="E433" s="20" t="n"/>
      <c r="F433" s="20" t="n"/>
      <c r="G433" s="20" t="n"/>
      <c r="H433" s="22" t="n"/>
      <c r="I433" s="22" t="n"/>
      <c r="J433" s="21" t="n"/>
      <c r="K433" s="20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</row>
    <row r="434" ht="15.75" customHeight="1" s="18">
      <c r="A434" s="20">
        <f>IF(AND(B434="",C434=""),"",ROW()-1)</f>
        <v/>
      </c>
      <c r="B434" s="20" t="n"/>
      <c r="C434" s="21">
        <f>IF(B434="","",VLOOKUP(B434,Projects!$B:$C,2,FALSE()))</f>
        <v/>
      </c>
      <c r="D434" s="21" t="n"/>
      <c r="E434" s="20" t="n"/>
      <c r="F434" s="20" t="n"/>
      <c r="G434" s="20" t="n"/>
      <c r="H434" s="22" t="n"/>
      <c r="I434" s="22" t="n"/>
      <c r="J434" s="21" t="n"/>
      <c r="K434" s="20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</row>
    <row r="435" ht="15.75" customHeight="1" s="18">
      <c r="A435" s="20">
        <f>IF(AND(B435="",C435=""),"",ROW()-1)</f>
        <v/>
      </c>
      <c r="B435" s="20" t="n"/>
      <c r="C435" s="21">
        <f>IF(B435="","",VLOOKUP(B435,Projects!$B:$C,2,FALSE()))</f>
        <v/>
      </c>
      <c r="D435" s="21" t="n"/>
      <c r="E435" s="20" t="n"/>
      <c r="F435" s="20" t="n"/>
      <c r="G435" s="20" t="n"/>
      <c r="H435" s="22" t="n"/>
      <c r="I435" s="22" t="n"/>
      <c r="J435" s="21" t="n"/>
      <c r="K435" s="20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</row>
    <row r="436" ht="15.75" customHeight="1" s="18">
      <c r="A436" s="20">
        <f>IF(AND(B436="",C436=""),"",ROW()-1)</f>
        <v/>
      </c>
      <c r="B436" s="20" t="n"/>
      <c r="C436" s="21">
        <f>IF(B436="","",VLOOKUP(B436,Projects!$B:$C,2,FALSE()))</f>
        <v/>
      </c>
      <c r="D436" s="21" t="n"/>
      <c r="E436" s="20" t="n"/>
      <c r="F436" s="20" t="n"/>
      <c r="G436" s="20" t="n"/>
      <c r="H436" s="22" t="n"/>
      <c r="I436" s="22" t="n"/>
      <c r="J436" s="21" t="n"/>
      <c r="K436" s="20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</row>
    <row r="437" ht="15.75" customHeight="1" s="18">
      <c r="A437" s="20">
        <f>IF(AND(B437="",C437=""),"",ROW()-1)</f>
        <v/>
      </c>
      <c r="B437" s="20" t="n"/>
      <c r="C437" s="21">
        <f>IF(B437="","",VLOOKUP(B437,Projects!$B:$C,2,FALSE()))</f>
        <v/>
      </c>
      <c r="D437" s="21" t="n"/>
      <c r="E437" s="20" t="n"/>
      <c r="F437" s="20" t="n"/>
      <c r="G437" s="20" t="n"/>
      <c r="H437" s="22" t="n"/>
      <c r="I437" s="22" t="n"/>
      <c r="J437" s="21" t="n"/>
      <c r="K437" s="20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</row>
    <row r="438" ht="15.75" customHeight="1" s="18">
      <c r="A438" s="20">
        <f>IF(AND(B438="",C438=""),"",ROW()-1)</f>
        <v/>
      </c>
      <c r="B438" s="20" t="n"/>
      <c r="C438" s="21">
        <f>IF(B438="","",VLOOKUP(B438,Projects!$B:$C,2,FALSE()))</f>
        <v/>
      </c>
      <c r="D438" s="21" t="n"/>
      <c r="E438" s="20" t="n"/>
      <c r="F438" s="20" t="n"/>
      <c r="G438" s="20" t="n"/>
      <c r="H438" s="22" t="n"/>
      <c r="I438" s="22" t="n"/>
      <c r="J438" s="21" t="n"/>
      <c r="K438" s="20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</row>
    <row r="439" ht="15.75" customHeight="1" s="18">
      <c r="A439" s="20">
        <f>IF(AND(B439="",C439=""),"",ROW()-1)</f>
        <v/>
      </c>
      <c r="B439" s="20" t="n"/>
      <c r="C439" s="21">
        <f>IF(B439="","",VLOOKUP(B439,Projects!$B:$C,2,FALSE()))</f>
        <v/>
      </c>
      <c r="D439" s="21" t="n"/>
      <c r="E439" s="20" t="n"/>
      <c r="F439" s="20" t="n"/>
      <c r="G439" s="20" t="n"/>
      <c r="H439" s="22" t="n"/>
      <c r="I439" s="22" t="n"/>
      <c r="J439" s="21" t="n"/>
      <c r="K439" s="20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</row>
    <row r="440" ht="15.75" customHeight="1" s="18">
      <c r="A440" s="20">
        <f>IF(AND(B440="",C440=""),"",ROW()-1)</f>
        <v/>
      </c>
      <c r="B440" s="20" t="n"/>
      <c r="C440" s="21">
        <f>IF(B440="","",VLOOKUP(B440,Projects!$B:$C,2,FALSE()))</f>
        <v/>
      </c>
      <c r="D440" s="21" t="n"/>
      <c r="E440" s="20" t="n"/>
      <c r="F440" s="20" t="n"/>
      <c r="G440" s="20" t="n"/>
      <c r="H440" s="22" t="n"/>
      <c r="I440" s="22" t="n"/>
      <c r="J440" s="21" t="n"/>
      <c r="K440" s="20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</row>
    <row r="441" ht="15.75" customHeight="1" s="18">
      <c r="A441" s="20">
        <f>IF(AND(B441="",C441=""),"",ROW()-1)</f>
        <v/>
      </c>
      <c r="B441" s="20" t="n"/>
      <c r="C441" s="21">
        <f>IF(B441="","",VLOOKUP(B441,Projects!$B:$C,2,FALSE()))</f>
        <v/>
      </c>
      <c r="D441" s="21" t="n"/>
      <c r="E441" s="20" t="n"/>
      <c r="F441" s="20" t="n"/>
      <c r="G441" s="20" t="n"/>
      <c r="H441" s="22" t="n"/>
      <c r="I441" s="22" t="n"/>
      <c r="J441" s="21" t="n"/>
      <c r="K441" s="20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</row>
    <row r="442" ht="15.75" customHeight="1" s="18">
      <c r="A442" s="20">
        <f>IF(AND(B442="",C442=""),"",ROW()-1)</f>
        <v/>
      </c>
      <c r="B442" s="20" t="n"/>
      <c r="C442" s="21">
        <f>IF(B442="","",VLOOKUP(B442,Projects!$B:$C,2,FALSE()))</f>
        <v/>
      </c>
      <c r="D442" s="21" t="n"/>
      <c r="E442" s="20" t="n"/>
      <c r="F442" s="20" t="n"/>
      <c r="G442" s="20" t="n"/>
      <c r="H442" s="22" t="n"/>
      <c r="I442" s="22" t="n"/>
      <c r="J442" s="21" t="n"/>
      <c r="K442" s="20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</row>
    <row r="443" ht="15.75" customHeight="1" s="18">
      <c r="A443" s="20">
        <f>IF(AND(B443="",C443=""),"",ROW()-1)</f>
        <v/>
      </c>
      <c r="B443" s="20" t="n"/>
      <c r="C443" s="21">
        <f>IF(B443="","",VLOOKUP(B443,Projects!$B:$C,2,FALSE()))</f>
        <v/>
      </c>
      <c r="D443" s="21" t="n"/>
      <c r="E443" s="20" t="n"/>
      <c r="F443" s="20" t="n"/>
      <c r="G443" s="20" t="n"/>
      <c r="H443" s="22" t="n"/>
      <c r="I443" s="22" t="n"/>
      <c r="J443" s="21" t="n"/>
      <c r="K443" s="20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</row>
    <row r="444" ht="15.75" customHeight="1" s="18">
      <c r="A444" s="20">
        <f>IF(AND(B444="",C444=""),"",ROW()-1)</f>
        <v/>
      </c>
      <c r="B444" s="20" t="n"/>
      <c r="C444" s="21">
        <f>IF(B444="","",VLOOKUP(B444,Projects!$B:$C,2,FALSE()))</f>
        <v/>
      </c>
      <c r="D444" s="21" t="n"/>
      <c r="E444" s="20" t="n"/>
      <c r="F444" s="20" t="n"/>
      <c r="G444" s="20" t="n"/>
      <c r="H444" s="22" t="n"/>
      <c r="I444" s="22" t="n"/>
      <c r="J444" s="21" t="n"/>
      <c r="K444" s="20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</row>
    <row r="445" ht="15.75" customHeight="1" s="18">
      <c r="A445" s="20">
        <f>IF(AND(B445="",C445=""),"",ROW()-1)</f>
        <v/>
      </c>
      <c r="B445" s="20" t="n"/>
      <c r="C445" s="21">
        <f>IF(B445="","",VLOOKUP(B445,Projects!$B:$C,2,FALSE()))</f>
        <v/>
      </c>
      <c r="D445" s="21" t="n"/>
      <c r="E445" s="20" t="n"/>
      <c r="F445" s="20" t="n"/>
      <c r="G445" s="20" t="n"/>
      <c r="H445" s="22" t="n"/>
      <c r="I445" s="22" t="n"/>
      <c r="J445" s="21" t="n"/>
      <c r="K445" s="20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</row>
    <row r="446" ht="15.75" customHeight="1" s="18">
      <c r="A446" s="20">
        <f>IF(AND(B446="",C446=""),"",ROW()-1)</f>
        <v/>
      </c>
      <c r="B446" s="20" t="n"/>
      <c r="C446" s="21">
        <f>IF(B446="","",VLOOKUP(B446,Projects!$B:$C,2,FALSE()))</f>
        <v/>
      </c>
      <c r="D446" s="21" t="n"/>
      <c r="E446" s="20" t="n"/>
      <c r="F446" s="20" t="n"/>
      <c r="G446" s="20" t="n"/>
      <c r="H446" s="22" t="n"/>
      <c r="I446" s="22" t="n"/>
      <c r="J446" s="21" t="n"/>
      <c r="K446" s="20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</row>
    <row r="447" ht="15.75" customHeight="1" s="18">
      <c r="A447" s="20">
        <f>IF(AND(B447="",C447=""),"",ROW()-1)</f>
        <v/>
      </c>
      <c r="B447" s="20" t="n"/>
      <c r="C447" s="21">
        <f>IF(B447="","",VLOOKUP(B447,Projects!$B:$C,2,FALSE()))</f>
        <v/>
      </c>
      <c r="D447" s="21" t="n"/>
      <c r="E447" s="20" t="n"/>
      <c r="F447" s="20" t="n"/>
      <c r="G447" s="20" t="n"/>
      <c r="H447" s="22" t="n"/>
      <c r="I447" s="22" t="n"/>
      <c r="J447" s="21" t="n"/>
      <c r="K447" s="20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</row>
    <row r="448" ht="15.75" customHeight="1" s="18">
      <c r="A448" s="20">
        <f>IF(AND(B448="",C448=""),"",ROW()-1)</f>
        <v/>
      </c>
      <c r="B448" s="20" t="n"/>
      <c r="C448" s="21">
        <f>IF(B448="","",VLOOKUP(B448,Projects!$B:$C,2,FALSE()))</f>
        <v/>
      </c>
      <c r="D448" s="21" t="n"/>
      <c r="E448" s="20" t="n"/>
      <c r="F448" s="20" t="n"/>
      <c r="G448" s="20" t="n"/>
      <c r="H448" s="22" t="n"/>
      <c r="I448" s="22" t="n"/>
      <c r="J448" s="21" t="n"/>
      <c r="K448" s="20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</row>
    <row r="449" ht="15.75" customHeight="1" s="18">
      <c r="A449" s="20">
        <f>IF(AND(B449="",C449=""),"",ROW()-1)</f>
        <v/>
      </c>
      <c r="B449" s="20" t="n"/>
      <c r="C449" s="21">
        <f>IF(B449="","",VLOOKUP(B449,Projects!$B:$C,2,FALSE()))</f>
        <v/>
      </c>
      <c r="D449" s="21" t="n"/>
      <c r="E449" s="20" t="n"/>
      <c r="F449" s="20" t="n"/>
      <c r="G449" s="20" t="n"/>
      <c r="H449" s="22" t="n"/>
      <c r="I449" s="22" t="n"/>
      <c r="J449" s="21" t="n"/>
      <c r="K449" s="20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</row>
    <row r="450" ht="15.75" customHeight="1" s="18">
      <c r="A450" s="20">
        <f>IF(AND(B450="",C450=""),"",ROW()-1)</f>
        <v/>
      </c>
      <c r="B450" s="20" t="n"/>
      <c r="C450" s="21">
        <f>IF(B450="","",VLOOKUP(B450,Projects!$B:$C,2,FALSE()))</f>
        <v/>
      </c>
      <c r="D450" s="21" t="n"/>
      <c r="E450" s="20" t="n"/>
      <c r="F450" s="20" t="n"/>
      <c r="G450" s="20" t="n"/>
      <c r="H450" s="22" t="n"/>
      <c r="I450" s="22" t="n"/>
      <c r="J450" s="21" t="n"/>
      <c r="K450" s="20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</row>
    <row r="451" ht="15.75" customHeight="1" s="18">
      <c r="A451" s="20">
        <f>IF(AND(B451="",C451=""),"",ROW()-1)</f>
        <v/>
      </c>
      <c r="B451" s="20" t="n"/>
      <c r="C451" s="21">
        <f>IF(B451="","",VLOOKUP(B451,Projects!$B:$C,2,FALSE()))</f>
        <v/>
      </c>
      <c r="D451" s="21" t="n"/>
      <c r="E451" s="20" t="n"/>
      <c r="F451" s="20" t="n"/>
      <c r="G451" s="20" t="n"/>
      <c r="H451" s="22" t="n"/>
      <c r="I451" s="22" t="n"/>
      <c r="J451" s="21" t="n"/>
      <c r="K451" s="20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</row>
    <row r="452" ht="15.75" customHeight="1" s="18">
      <c r="A452" s="20">
        <f>IF(AND(B452="",C452=""),"",ROW()-1)</f>
        <v/>
      </c>
      <c r="B452" s="20" t="n"/>
      <c r="C452" s="21">
        <f>IF(B452="","",VLOOKUP(B452,Projects!$B:$C,2,FALSE()))</f>
        <v/>
      </c>
      <c r="D452" s="21" t="n"/>
      <c r="E452" s="20" t="n"/>
      <c r="F452" s="20" t="n"/>
      <c r="G452" s="20" t="n"/>
      <c r="H452" s="22" t="n"/>
      <c r="I452" s="22" t="n"/>
      <c r="J452" s="21" t="n"/>
      <c r="K452" s="20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</row>
    <row r="453" ht="15.75" customHeight="1" s="18">
      <c r="A453" s="20">
        <f>IF(AND(B453="",C453=""),"",ROW()-1)</f>
        <v/>
      </c>
      <c r="B453" s="20" t="n"/>
      <c r="C453" s="21">
        <f>IF(B453="","",VLOOKUP(B453,Projects!$B:$C,2,FALSE()))</f>
        <v/>
      </c>
      <c r="D453" s="21" t="n"/>
      <c r="E453" s="20" t="n"/>
      <c r="F453" s="20" t="n"/>
      <c r="G453" s="20" t="n"/>
      <c r="H453" s="22" t="n"/>
      <c r="I453" s="22" t="n"/>
      <c r="J453" s="21" t="n"/>
      <c r="K453" s="20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</row>
    <row r="454" ht="15.75" customHeight="1" s="18">
      <c r="A454" s="20">
        <f>IF(AND(B454="",C454=""),"",ROW()-1)</f>
        <v/>
      </c>
      <c r="B454" s="20" t="n"/>
      <c r="C454" s="21">
        <f>IF(B454="","",VLOOKUP(B454,Projects!$B:$C,2,FALSE()))</f>
        <v/>
      </c>
      <c r="D454" s="21" t="n"/>
      <c r="E454" s="20" t="n"/>
      <c r="F454" s="20" t="n"/>
      <c r="G454" s="20" t="n"/>
      <c r="H454" s="22" t="n"/>
      <c r="I454" s="22" t="n"/>
      <c r="J454" s="21" t="n"/>
      <c r="K454" s="20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</row>
    <row r="455" ht="15.75" customHeight="1" s="18">
      <c r="A455" s="20">
        <f>IF(AND(B455="",C455=""),"",ROW()-1)</f>
        <v/>
      </c>
      <c r="B455" s="20" t="n"/>
      <c r="C455" s="21">
        <f>IF(B455="","",VLOOKUP(B455,Projects!$B:$C,2,FALSE()))</f>
        <v/>
      </c>
      <c r="D455" s="21" t="n"/>
      <c r="E455" s="20" t="n"/>
      <c r="F455" s="20" t="n"/>
      <c r="G455" s="20" t="n"/>
      <c r="H455" s="22" t="n"/>
      <c r="I455" s="22" t="n"/>
      <c r="J455" s="21" t="n"/>
      <c r="K455" s="20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</row>
    <row r="456" ht="15.75" customHeight="1" s="18">
      <c r="A456" s="20">
        <f>IF(AND(B456="",C456=""),"",ROW()-1)</f>
        <v/>
      </c>
      <c r="B456" s="20" t="n"/>
      <c r="C456" s="21">
        <f>IF(B456="","",VLOOKUP(B456,Projects!$B:$C,2,FALSE()))</f>
        <v/>
      </c>
      <c r="D456" s="21" t="n"/>
      <c r="E456" s="20" t="n"/>
      <c r="F456" s="20" t="n"/>
      <c r="G456" s="20" t="n"/>
      <c r="H456" s="22" t="n"/>
      <c r="I456" s="22" t="n"/>
      <c r="J456" s="21" t="n"/>
      <c r="K456" s="20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</row>
    <row r="457" ht="15.75" customHeight="1" s="18">
      <c r="A457" s="20">
        <f>IF(AND(B457="",C457=""),"",ROW()-1)</f>
        <v/>
      </c>
      <c r="B457" s="20" t="n"/>
      <c r="C457" s="21">
        <f>IF(B457="","",VLOOKUP(B457,Projects!$B:$C,2,FALSE()))</f>
        <v/>
      </c>
      <c r="D457" s="21" t="n"/>
      <c r="E457" s="20" t="n"/>
      <c r="F457" s="20" t="n"/>
      <c r="G457" s="20" t="n"/>
      <c r="H457" s="22" t="n"/>
      <c r="I457" s="22" t="n"/>
      <c r="J457" s="21" t="n"/>
      <c r="K457" s="20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</row>
    <row r="458" ht="15.75" customHeight="1" s="18">
      <c r="A458" s="20">
        <f>IF(AND(B458="",C458=""),"",ROW()-1)</f>
        <v/>
      </c>
      <c r="B458" s="20" t="n"/>
      <c r="C458" s="21">
        <f>IF(B458="","",VLOOKUP(B458,Projects!$B:$C,2,FALSE()))</f>
        <v/>
      </c>
      <c r="D458" s="21" t="n"/>
      <c r="E458" s="20" t="n"/>
      <c r="F458" s="20" t="n"/>
      <c r="G458" s="20" t="n"/>
      <c r="H458" s="22" t="n"/>
      <c r="I458" s="22" t="n"/>
      <c r="J458" s="21" t="n"/>
      <c r="K458" s="20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</row>
    <row r="459" ht="15.75" customHeight="1" s="18">
      <c r="A459" s="20">
        <f>IF(AND(B459="",C459=""),"",ROW()-1)</f>
        <v/>
      </c>
      <c r="B459" s="20" t="n"/>
      <c r="C459" s="21">
        <f>IF(B459="","",VLOOKUP(B459,Projects!$B:$C,2,FALSE()))</f>
        <v/>
      </c>
      <c r="D459" s="21" t="n"/>
      <c r="E459" s="20" t="n"/>
      <c r="F459" s="20" t="n"/>
      <c r="G459" s="20" t="n"/>
      <c r="H459" s="22" t="n"/>
      <c r="I459" s="22" t="n"/>
      <c r="J459" s="21" t="n"/>
      <c r="K459" s="20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</row>
    <row r="460" ht="15.75" customHeight="1" s="18">
      <c r="A460" s="20">
        <f>IF(AND(B460="",C460=""),"",ROW()-1)</f>
        <v/>
      </c>
      <c r="B460" s="20" t="n"/>
      <c r="C460" s="21">
        <f>IF(B460="","",VLOOKUP(B460,Projects!$B:$C,2,FALSE()))</f>
        <v/>
      </c>
      <c r="D460" s="21" t="n"/>
      <c r="E460" s="20" t="n"/>
      <c r="F460" s="20" t="n"/>
      <c r="G460" s="20" t="n"/>
      <c r="H460" s="22" t="n"/>
      <c r="I460" s="22" t="n"/>
      <c r="J460" s="21" t="n"/>
      <c r="K460" s="20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</row>
    <row r="461" ht="15.75" customHeight="1" s="18">
      <c r="A461" s="20">
        <f>IF(AND(B461="",C461=""),"",ROW()-1)</f>
        <v/>
      </c>
      <c r="B461" s="20" t="n"/>
      <c r="C461" s="21">
        <f>IF(B461="","",VLOOKUP(B461,Projects!$B:$C,2,FALSE()))</f>
        <v/>
      </c>
      <c r="D461" s="21" t="n"/>
      <c r="E461" s="20" t="n"/>
      <c r="F461" s="20" t="n"/>
      <c r="G461" s="20" t="n"/>
      <c r="H461" s="22" t="n"/>
      <c r="I461" s="22" t="n"/>
      <c r="J461" s="21" t="n"/>
      <c r="K461" s="20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</row>
    <row r="462" ht="15.75" customHeight="1" s="18">
      <c r="A462" s="20">
        <f>IF(AND(B462="",C462=""),"",ROW()-1)</f>
        <v/>
      </c>
      <c r="B462" s="20" t="n"/>
      <c r="C462" s="21">
        <f>IF(B462="","",VLOOKUP(B462,Projects!$B:$C,2,FALSE()))</f>
        <v/>
      </c>
      <c r="D462" s="21" t="n"/>
      <c r="E462" s="20" t="n"/>
      <c r="F462" s="20" t="n"/>
      <c r="G462" s="20" t="n"/>
      <c r="H462" s="22" t="n"/>
      <c r="I462" s="22" t="n"/>
      <c r="J462" s="21" t="n"/>
      <c r="K462" s="20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</row>
    <row r="463" ht="15.75" customHeight="1" s="18">
      <c r="A463" s="20">
        <f>IF(AND(B463="",C463=""),"",ROW()-1)</f>
        <v/>
      </c>
      <c r="B463" s="20" t="n"/>
      <c r="C463" s="21">
        <f>IF(B463="","",VLOOKUP(B463,Projects!$B:$C,2,FALSE()))</f>
        <v/>
      </c>
      <c r="D463" s="21" t="n"/>
      <c r="E463" s="20" t="n"/>
      <c r="F463" s="20" t="n"/>
      <c r="G463" s="20" t="n"/>
      <c r="H463" s="22" t="n"/>
      <c r="I463" s="22" t="n"/>
      <c r="J463" s="21" t="n"/>
      <c r="K463" s="20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</row>
    <row r="464" ht="15.75" customHeight="1" s="18">
      <c r="A464" s="20">
        <f>IF(AND(B464="",C464=""),"",ROW()-1)</f>
        <v/>
      </c>
      <c r="B464" s="20" t="n"/>
      <c r="C464" s="21">
        <f>IF(B464="","",VLOOKUP(B464,Projects!$B:$C,2,FALSE()))</f>
        <v/>
      </c>
      <c r="D464" s="21" t="n"/>
      <c r="E464" s="20" t="n"/>
      <c r="F464" s="20" t="n"/>
      <c r="G464" s="20" t="n"/>
      <c r="H464" s="22" t="n"/>
      <c r="I464" s="22" t="n"/>
      <c r="J464" s="21" t="n"/>
      <c r="K464" s="20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</row>
    <row r="465" ht="15.75" customHeight="1" s="18">
      <c r="A465" s="20">
        <f>IF(AND(B465="",C465=""),"",ROW()-1)</f>
        <v/>
      </c>
      <c r="B465" s="20" t="n"/>
      <c r="C465" s="21">
        <f>IF(B465="","",VLOOKUP(B465,Projects!$B:$C,2,FALSE()))</f>
        <v/>
      </c>
      <c r="D465" s="21" t="n"/>
      <c r="E465" s="20" t="n"/>
      <c r="F465" s="20" t="n"/>
      <c r="G465" s="20" t="n"/>
      <c r="H465" s="22" t="n"/>
      <c r="I465" s="22" t="n"/>
      <c r="J465" s="21" t="n"/>
      <c r="K465" s="20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</row>
    <row r="466" ht="15.75" customHeight="1" s="18">
      <c r="A466" s="20">
        <f>IF(AND(B466="",C466=""),"",ROW()-1)</f>
        <v/>
      </c>
      <c r="B466" s="20" t="n"/>
      <c r="C466" s="21">
        <f>IF(B466="","",VLOOKUP(B466,Projects!$B:$C,2,FALSE()))</f>
        <v/>
      </c>
      <c r="D466" s="21" t="n"/>
      <c r="E466" s="20" t="n"/>
      <c r="F466" s="20" t="n"/>
      <c r="G466" s="20" t="n"/>
      <c r="H466" s="22" t="n"/>
      <c r="I466" s="22" t="n"/>
      <c r="J466" s="21" t="n"/>
      <c r="K466" s="20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</row>
    <row r="467" ht="15.75" customHeight="1" s="18">
      <c r="A467" s="20">
        <f>IF(AND(B467="",C467=""),"",ROW()-1)</f>
        <v/>
      </c>
      <c r="B467" s="20" t="n"/>
      <c r="C467" s="21">
        <f>IF(B467="","",VLOOKUP(B467,Projects!$B:$C,2,FALSE()))</f>
        <v/>
      </c>
      <c r="D467" s="21" t="n"/>
      <c r="E467" s="20" t="n"/>
      <c r="F467" s="20" t="n"/>
      <c r="G467" s="20" t="n"/>
      <c r="H467" s="22" t="n"/>
      <c r="I467" s="22" t="n"/>
      <c r="J467" s="21" t="n"/>
      <c r="K467" s="20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</row>
    <row r="468" ht="15.75" customHeight="1" s="18">
      <c r="A468" s="20">
        <f>IF(AND(B468="",C468=""),"",ROW()-1)</f>
        <v/>
      </c>
      <c r="B468" s="20" t="n"/>
      <c r="C468" s="21">
        <f>IF(B468="","",VLOOKUP(B468,Projects!$B:$C,2,FALSE()))</f>
        <v/>
      </c>
      <c r="D468" s="21" t="n"/>
      <c r="E468" s="20" t="n"/>
      <c r="F468" s="20" t="n"/>
      <c r="G468" s="20" t="n"/>
      <c r="H468" s="22" t="n"/>
      <c r="I468" s="22" t="n"/>
      <c r="J468" s="21" t="n"/>
      <c r="K468" s="20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</row>
    <row r="469" ht="15.75" customHeight="1" s="18">
      <c r="A469" s="20">
        <f>IF(AND(B469="",C469=""),"",ROW()-1)</f>
        <v/>
      </c>
      <c r="B469" s="20" t="n"/>
      <c r="C469" s="21">
        <f>IF(B469="","",VLOOKUP(B469,Projects!$B:$C,2,FALSE()))</f>
        <v/>
      </c>
      <c r="D469" s="21" t="n"/>
      <c r="E469" s="20" t="n"/>
      <c r="F469" s="20" t="n"/>
      <c r="G469" s="20" t="n"/>
      <c r="H469" s="22" t="n"/>
      <c r="I469" s="22" t="n"/>
      <c r="J469" s="21" t="n"/>
      <c r="K469" s="20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</row>
    <row r="470" ht="15.75" customHeight="1" s="18">
      <c r="A470" s="20">
        <f>IF(AND(B470="",C470=""),"",ROW()-1)</f>
        <v/>
      </c>
      <c r="B470" s="20" t="n"/>
      <c r="C470" s="21">
        <f>IF(B470="","",VLOOKUP(B470,Projects!$B:$C,2,FALSE()))</f>
        <v/>
      </c>
      <c r="D470" s="21" t="n"/>
      <c r="E470" s="20" t="n"/>
      <c r="F470" s="20" t="n"/>
      <c r="G470" s="20" t="n"/>
      <c r="H470" s="22" t="n"/>
      <c r="I470" s="22" t="n"/>
      <c r="J470" s="21" t="n"/>
      <c r="K470" s="20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</row>
    <row r="471" ht="15.75" customHeight="1" s="18">
      <c r="A471" s="20">
        <f>IF(AND(B471="",C471=""),"",ROW()-1)</f>
        <v/>
      </c>
      <c r="B471" s="20" t="n"/>
      <c r="C471" s="21">
        <f>IF(B471="","",VLOOKUP(B471,Projects!$B:$C,2,FALSE()))</f>
        <v/>
      </c>
      <c r="D471" s="21" t="n"/>
      <c r="E471" s="20" t="n"/>
      <c r="F471" s="20" t="n"/>
      <c r="G471" s="20" t="n"/>
      <c r="H471" s="22" t="n"/>
      <c r="I471" s="22" t="n"/>
      <c r="J471" s="21" t="n"/>
      <c r="K471" s="20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</row>
    <row r="472" ht="15.75" customHeight="1" s="18">
      <c r="A472" s="20">
        <f>IF(AND(B472="",C472=""),"",ROW()-1)</f>
        <v/>
      </c>
      <c r="B472" s="20" t="n"/>
      <c r="C472" s="21">
        <f>IF(B472="","",VLOOKUP(B472,Projects!$B:$C,2,FALSE()))</f>
        <v/>
      </c>
      <c r="D472" s="21" t="n"/>
      <c r="E472" s="20" t="n"/>
      <c r="F472" s="20" t="n"/>
      <c r="G472" s="20" t="n"/>
      <c r="H472" s="22" t="n"/>
      <c r="I472" s="22" t="n"/>
      <c r="J472" s="21" t="n"/>
      <c r="K472" s="20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</row>
    <row r="473" ht="15.75" customHeight="1" s="18">
      <c r="A473" s="20">
        <f>IF(AND(B473="",C473=""),"",ROW()-1)</f>
        <v/>
      </c>
      <c r="B473" s="20" t="n"/>
      <c r="C473" s="21">
        <f>IF(B473="","",VLOOKUP(B473,Projects!$B:$C,2,FALSE()))</f>
        <v/>
      </c>
      <c r="D473" s="21" t="n"/>
      <c r="E473" s="20" t="n"/>
      <c r="F473" s="20" t="n"/>
      <c r="G473" s="20" t="n"/>
      <c r="H473" s="22" t="n"/>
      <c r="I473" s="22" t="n"/>
      <c r="J473" s="21" t="n"/>
      <c r="K473" s="20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</row>
    <row r="474" ht="15.75" customHeight="1" s="18">
      <c r="A474" s="20">
        <f>IF(AND(B474="",C474=""),"",ROW()-1)</f>
        <v/>
      </c>
      <c r="B474" s="20" t="n"/>
      <c r="C474" s="21">
        <f>IF(B474="","",VLOOKUP(B474,Projects!$B:$C,2,FALSE()))</f>
        <v/>
      </c>
      <c r="D474" s="21" t="n"/>
      <c r="E474" s="20" t="n"/>
      <c r="F474" s="20" t="n"/>
      <c r="G474" s="20" t="n"/>
      <c r="H474" s="22" t="n"/>
      <c r="I474" s="22" t="n"/>
      <c r="J474" s="21" t="n"/>
      <c r="K474" s="20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</row>
    <row r="475" ht="15.75" customHeight="1" s="18">
      <c r="A475" s="20">
        <f>IF(AND(B475="",C475=""),"",ROW()-1)</f>
        <v/>
      </c>
      <c r="B475" s="20" t="n"/>
      <c r="C475" s="21">
        <f>IF(B475="","",VLOOKUP(B475,Projects!$B:$C,2,FALSE()))</f>
        <v/>
      </c>
      <c r="D475" s="21" t="n"/>
      <c r="E475" s="20" t="n"/>
      <c r="F475" s="20" t="n"/>
      <c r="G475" s="20" t="n"/>
      <c r="H475" s="22" t="n"/>
      <c r="I475" s="22" t="n"/>
      <c r="J475" s="21" t="n"/>
      <c r="K475" s="20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</row>
    <row r="476" ht="15.75" customHeight="1" s="18">
      <c r="A476" s="20">
        <f>IF(AND(B476="",C476=""),"",ROW()-1)</f>
        <v/>
      </c>
      <c r="B476" s="20" t="n"/>
      <c r="C476" s="21">
        <f>IF(B476="","",VLOOKUP(B476,Projects!$B:$C,2,FALSE()))</f>
        <v/>
      </c>
      <c r="D476" s="21" t="n"/>
      <c r="E476" s="20" t="n"/>
      <c r="F476" s="20" t="n"/>
      <c r="G476" s="20" t="n"/>
      <c r="H476" s="22" t="n"/>
      <c r="I476" s="22" t="n"/>
      <c r="J476" s="21" t="n"/>
      <c r="K476" s="20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</row>
    <row r="477" ht="15.75" customHeight="1" s="18">
      <c r="A477" s="20">
        <f>IF(AND(B477="",C477=""),"",ROW()-1)</f>
        <v/>
      </c>
      <c r="B477" s="20" t="n"/>
      <c r="C477" s="21">
        <f>IF(B477="","",VLOOKUP(B477,Projects!$B:$C,2,FALSE()))</f>
        <v/>
      </c>
      <c r="D477" s="21" t="n"/>
      <c r="E477" s="20" t="n"/>
      <c r="F477" s="20" t="n"/>
      <c r="G477" s="20" t="n"/>
      <c r="H477" s="22" t="n"/>
      <c r="I477" s="22" t="n"/>
      <c r="J477" s="21" t="n"/>
      <c r="K477" s="20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</row>
    <row r="478" ht="15.75" customHeight="1" s="18">
      <c r="A478" s="20">
        <f>IF(AND(B478="",C478=""),"",ROW()-1)</f>
        <v/>
      </c>
      <c r="B478" s="20" t="n"/>
      <c r="C478" s="21">
        <f>IF(B478="","",VLOOKUP(B478,Projects!$B:$C,2,FALSE()))</f>
        <v/>
      </c>
      <c r="D478" s="21" t="n"/>
      <c r="E478" s="20" t="n"/>
      <c r="F478" s="20" t="n"/>
      <c r="G478" s="20" t="n"/>
      <c r="H478" s="22" t="n"/>
      <c r="I478" s="22" t="n"/>
      <c r="J478" s="21" t="n"/>
      <c r="K478" s="20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</row>
    <row r="479" ht="15.75" customHeight="1" s="18">
      <c r="A479" s="20">
        <f>IF(AND(B479="",C479=""),"",ROW()-1)</f>
        <v/>
      </c>
      <c r="B479" s="20" t="n"/>
      <c r="C479" s="21">
        <f>IF(B479="","",VLOOKUP(B479,Projects!$B:$C,2,FALSE()))</f>
        <v/>
      </c>
      <c r="D479" s="21" t="n"/>
      <c r="E479" s="20" t="n"/>
      <c r="F479" s="20" t="n"/>
      <c r="G479" s="20" t="n"/>
      <c r="H479" s="22" t="n"/>
      <c r="I479" s="22" t="n"/>
      <c r="J479" s="21" t="n"/>
      <c r="K479" s="20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</row>
    <row r="480" ht="15.75" customHeight="1" s="18">
      <c r="A480" s="20">
        <f>IF(AND(B480="",C480=""),"",ROW()-1)</f>
        <v/>
      </c>
      <c r="B480" s="20" t="n"/>
      <c r="C480" s="21">
        <f>IF(B480="","",VLOOKUP(B480,Projects!$B:$C,2,FALSE()))</f>
        <v/>
      </c>
      <c r="D480" s="21" t="n"/>
      <c r="E480" s="20" t="n"/>
      <c r="F480" s="20" t="n"/>
      <c r="G480" s="20" t="n"/>
      <c r="H480" s="22" t="n"/>
      <c r="I480" s="22" t="n"/>
      <c r="J480" s="21" t="n"/>
      <c r="K480" s="20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</row>
    <row r="481" ht="15.75" customHeight="1" s="18">
      <c r="A481" s="20">
        <f>IF(AND(B481="",C481=""),"",ROW()-1)</f>
        <v/>
      </c>
      <c r="B481" s="20" t="n"/>
      <c r="C481" s="21">
        <f>IF(B481="","",VLOOKUP(B481,Projects!$B:$C,2,FALSE()))</f>
        <v/>
      </c>
      <c r="D481" s="21" t="n"/>
      <c r="E481" s="20" t="n"/>
      <c r="F481" s="20" t="n"/>
      <c r="G481" s="20" t="n"/>
      <c r="H481" s="22" t="n"/>
      <c r="I481" s="22" t="n"/>
      <c r="J481" s="21" t="n"/>
      <c r="K481" s="20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</row>
    <row r="482" ht="15.75" customHeight="1" s="18">
      <c r="A482" s="20">
        <f>IF(AND(B482="",C482=""),"",ROW()-1)</f>
        <v/>
      </c>
      <c r="B482" s="20" t="n"/>
      <c r="C482" s="21">
        <f>IF(B482="","",VLOOKUP(B482,Projects!$B:$C,2,FALSE()))</f>
        <v/>
      </c>
      <c r="D482" s="21" t="n"/>
      <c r="E482" s="20" t="n"/>
      <c r="F482" s="20" t="n"/>
      <c r="G482" s="20" t="n"/>
      <c r="H482" s="22" t="n"/>
      <c r="I482" s="22" t="n"/>
      <c r="J482" s="21" t="n"/>
      <c r="K482" s="20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</row>
    <row r="483" ht="15.75" customHeight="1" s="18">
      <c r="A483" s="20">
        <f>IF(AND(B483="",C483=""),"",ROW()-1)</f>
        <v/>
      </c>
      <c r="B483" s="20" t="n"/>
      <c r="C483" s="21">
        <f>IF(B483="","",VLOOKUP(B483,Projects!$B:$C,2,FALSE()))</f>
        <v/>
      </c>
      <c r="D483" s="21" t="n"/>
      <c r="E483" s="20" t="n"/>
      <c r="F483" s="20" t="n"/>
      <c r="G483" s="20" t="n"/>
      <c r="H483" s="22" t="n"/>
      <c r="I483" s="22" t="n"/>
      <c r="J483" s="21" t="n"/>
      <c r="K483" s="20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</row>
    <row r="484" ht="15.75" customHeight="1" s="18">
      <c r="A484" s="20">
        <f>IF(AND(B484="",C484=""),"",ROW()-1)</f>
        <v/>
      </c>
      <c r="B484" s="20" t="n"/>
      <c r="C484" s="21">
        <f>IF(B484="","",VLOOKUP(B484,Projects!$B:$C,2,FALSE()))</f>
        <v/>
      </c>
      <c r="D484" s="21" t="n"/>
      <c r="E484" s="20" t="n"/>
      <c r="F484" s="20" t="n"/>
      <c r="G484" s="20" t="n"/>
      <c r="H484" s="22" t="n"/>
      <c r="I484" s="22" t="n"/>
      <c r="J484" s="21" t="n"/>
      <c r="K484" s="20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</row>
    <row r="485" ht="15.75" customHeight="1" s="18">
      <c r="A485" s="20">
        <f>IF(AND(B485="",C485=""),"",ROW()-1)</f>
        <v/>
      </c>
      <c r="B485" s="20" t="n"/>
      <c r="C485" s="21">
        <f>IF(B485="","",VLOOKUP(B485,Projects!$B:$C,2,FALSE()))</f>
        <v/>
      </c>
      <c r="D485" s="21" t="n"/>
      <c r="E485" s="20" t="n"/>
      <c r="F485" s="20" t="n"/>
      <c r="G485" s="20" t="n"/>
      <c r="H485" s="22" t="n"/>
      <c r="I485" s="22" t="n"/>
      <c r="J485" s="21" t="n"/>
      <c r="K485" s="20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</row>
    <row r="486" ht="15.75" customHeight="1" s="18">
      <c r="A486" s="20">
        <f>IF(AND(B486="",C486=""),"",ROW()-1)</f>
        <v/>
      </c>
      <c r="B486" s="20" t="n"/>
      <c r="C486" s="21">
        <f>IF(B486="","",VLOOKUP(B486,Projects!$B:$C,2,FALSE()))</f>
        <v/>
      </c>
      <c r="D486" s="21" t="n"/>
      <c r="E486" s="20" t="n"/>
      <c r="F486" s="20" t="n"/>
      <c r="G486" s="20" t="n"/>
      <c r="H486" s="22" t="n"/>
      <c r="I486" s="22" t="n"/>
      <c r="J486" s="21" t="n"/>
      <c r="K486" s="20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</row>
    <row r="487" ht="15.75" customHeight="1" s="18">
      <c r="A487" s="20">
        <f>IF(AND(B487="",C487=""),"",ROW()-1)</f>
        <v/>
      </c>
      <c r="B487" s="20" t="n"/>
      <c r="C487" s="21">
        <f>IF(B487="","",VLOOKUP(B487,Projects!$B:$C,2,FALSE()))</f>
        <v/>
      </c>
      <c r="D487" s="21" t="n"/>
      <c r="E487" s="20" t="n"/>
      <c r="F487" s="20" t="n"/>
      <c r="G487" s="20" t="n"/>
      <c r="H487" s="22" t="n"/>
      <c r="I487" s="22" t="n"/>
      <c r="J487" s="21" t="n"/>
      <c r="K487" s="20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</row>
    <row r="488" ht="15.75" customHeight="1" s="18">
      <c r="A488" s="20">
        <f>IF(AND(B488="",C488=""),"",ROW()-1)</f>
        <v/>
      </c>
      <c r="B488" s="20" t="n"/>
      <c r="C488" s="21">
        <f>IF(B488="","",VLOOKUP(B488,Projects!$B:$C,2,FALSE()))</f>
        <v/>
      </c>
      <c r="D488" s="21" t="n"/>
      <c r="E488" s="20" t="n"/>
      <c r="F488" s="20" t="n"/>
      <c r="G488" s="20" t="n"/>
      <c r="H488" s="22" t="n"/>
      <c r="I488" s="22" t="n"/>
      <c r="J488" s="21" t="n"/>
      <c r="K488" s="20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</row>
    <row r="489" ht="15.75" customHeight="1" s="18">
      <c r="A489" s="20">
        <f>IF(AND(B489="",C489=""),"",ROW()-1)</f>
        <v/>
      </c>
      <c r="B489" s="20" t="n"/>
      <c r="C489" s="21">
        <f>IF(B489="","",VLOOKUP(B489,Projects!$B:$C,2,FALSE()))</f>
        <v/>
      </c>
      <c r="D489" s="21" t="n"/>
      <c r="E489" s="20" t="n"/>
      <c r="F489" s="20" t="n"/>
      <c r="G489" s="20" t="n"/>
      <c r="H489" s="22" t="n"/>
      <c r="I489" s="22" t="n"/>
      <c r="J489" s="21" t="n"/>
      <c r="K489" s="20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</row>
    <row r="490" ht="15.75" customHeight="1" s="18">
      <c r="A490" s="20">
        <f>IF(AND(B490="",C490=""),"",ROW()-1)</f>
        <v/>
      </c>
      <c r="B490" s="20" t="n"/>
      <c r="C490" s="21">
        <f>IF(B490="","",VLOOKUP(B490,Projects!$B:$C,2,FALSE()))</f>
        <v/>
      </c>
      <c r="D490" s="21" t="n"/>
      <c r="E490" s="20" t="n"/>
      <c r="F490" s="20" t="n"/>
      <c r="G490" s="20" t="n"/>
      <c r="H490" s="22" t="n"/>
      <c r="I490" s="22" t="n"/>
      <c r="J490" s="21" t="n"/>
      <c r="K490" s="20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</row>
    <row r="491" ht="15.75" customHeight="1" s="18">
      <c r="A491" s="20">
        <f>IF(AND(B491="",C491=""),"",ROW()-1)</f>
        <v/>
      </c>
      <c r="B491" s="20" t="n"/>
      <c r="C491" s="21">
        <f>IF(B491="","",VLOOKUP(B491,Projects!$B:$C,2,FALSE()))</f>
        <v/>
      </c>
      <c r="D491" s="21" t="n"/>
      <c r="E491" s="20" t="n"/>
      <c r="F491" s="20" t="n"/>
      <c r="G491" s="20" t="n"/>
      <c r="H491" s="22" t="n"/>
      <c r="I491" s="22" t="n"/>
      <c r="J491" s="21" t="n"/>
      <c r="K491" s="20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</row>
    <row r="492" ht="15.75" customHeight="1" s="18">
      <c r="A492" s="20">
        <f>IF(AND(B492="",C492=""),"",ROW()-1)</f>
        <v/>
      </c>
      <c r="B492" s="20" t="n"/>
      <c r="C492" s="21">
        <f>IF(B492="","",VLOOKUP(B492,Projects!$B:$C,2,FALSE()))</f>
        <v/>
      </c>
      <c r="D492" s="21" t="n"/>
      <c r="E492" s="20" t="n"/>
      <c r="F492" s="20" t="n"/>
      <c r="G492" s="20" t="n"/>
      <c r="H492" s="22" t="n"/>
      <c r="I492" s="22" t="n"/>
      <c r="J492" s="21" t="n"/>
      <c r="K492" s="20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</row>
    <row r="493" ht="15.75" customHeight="1" s="18">
      <c r="A493" s="20">
        <f>IF(AND(B493="",C493=""),"",ROW()-1)</f>
        <v/>
      </c>
      <c r="B493" s="20" t="n"/>
      <c r="C493" s="21">
        <f>IF(B493="","",VLOOKUP(B493,Projects!$B:$C,2,FALSE()))</f>
        <v/>
      </c>
      <c r="D493" s="21" t="n"/>
      <c r="E493" s="20" t="n"/>
      <c r="F493" s="20" t="n"/>
      <c r="G493" s="20" t="n"/>
      <c r="H493" s="22" t="n"/>
      <c r="I493" s="22" t="n"/>
      <c r="J493" s="21" t="n"/>
      <c r="K493" s="20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</row>
    <row r="494" ht="15.75" customHeight="1" s="18">
      <c r="A494" s="20">
        <f>IF(AND(B494="",C494=""),"",ROW()-1)</f>
        <v/>
      </c>
      <c r="B494" s="20" t="n"/>
      <c r="C494" s="21">
        <f>IF(B494="","",VLOOKUP(B494,Projects!$B:$C,2,FALSE()))</f>
        <v/>
      </c>
      <c r="D494" s="21" t="n"/>
      <c r="E494" s="20" t="n"/>
      <c r="F494" s="20" t="n"/>
      <c r="G494" s="20" t="n"/>
      <c r="H494" s="22" t="n"/>
      <c r="I494" s="22" t="n"/>
      <c r="J494" s="21" t="n"/>
      <c r="K494" s="20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</row>
    <row r="495" ht="15.75" customHeight="1" s="18">
      <c r="A495" s="20">
        <f>IF(AND(B495="",C495=""),"",ROW()-1)</f>
        <v/>
      </c>
      <c r="B495" s="20" t="n"/>
      <c r="C495" s="21">
        <f>IF(B495="","",VLOOKUP(B495,Projects!$B:$C,2,FALSE()))</f>
        <v/>
      </c>
      <c r="D495" s="21" t="n"/>
      <c r="E495" s="20" t="n"/>
      <c r="F495" s="20" t="n"/>
      <c r="G495" s="20" t="n"/>
      <c r="H495" s="22" t="n"/>
      <c r="I495" s="22" t="n"/>
      <c r="J495" s="21" t="n"/>
      <c r="K495" s="20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</row>
    <row r="496" ht="15.75" customHeight="1" s="18">
      <c r="A496" s="20">
        <f>IF(AND(B496="",C496=""),"",ROW()-1)</f>
        <v/>
      </c>
      <c r="B496" s="20" t="n"/>
      <c r="C496" s="21">
        <f>IF(B496="","",VLOOKUP(B496,Projects!$B:$C,2,FALSE()))</f>
        <v/>
      </c>
      <c r="D496" s="21" t="n"/>
      <c r="E496" s="20" t="n"/>
      <c r="F496" s="20" t="n"/>
      <c r="G496" s="20" t="n"/>
      <c r="H496" s="22" t="n"/>
      <c r="I496" s="22" t="n"/>
      <c r="J496" s="21" t="n"/>
      <c r="K496" s="20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</row>
    <row r="497" ht="15.75" customHeight="1" s="18">
      <c r="A497" s="20">
        <f>IF(AND(B497="",C497=""),"",ROW()-1)</f>
        <v/>
      </c>
      <c r="B497" s="20" t="n"/>
      <c r="C497" s="21">
        <f>IF(B497="","",VLOOKUP(B497,Projects!$B:$C,2,FALSE()))</f>
        <v/>
      </c>
      <c r="D497" s="21" t="n"/>
      <c r="E497" s="20" t="n"/>
      <c r="F497" s="20" t="n"/>
      <c r="G497" s="20" t="n"/>
      <c r="H497" s="22" t="n"/>
      <c r="I497" s="22" t="n"/>
      <c r="J497" s="21" t="n"/>
      <c r="K497" s="20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</row>
    <row r="498" ht="15.75" customHeight="1" s="18">
      <c r="A498" s="20">
        <f>IF(AND(B498="",C498=""),"",ROW()-1)</f>
        <v/>
      </c>
      <c r="B498" s="20" t="n"/>
      <c r="C498" s="21">
        <f>IF(B498="","",VLOOKUP(B498,Projects!$B:$C,2,FALSE()))</f>
        <v/>
      </c>
      <c r="D498" s="21" t="n"/>
      <c r="E498" s="20" t="n"/>
      <c r="F498" s="20" t="n"/>
      <c r="G498" s="20" t="n"/>
      <c r="H498" s="22" t="n"/>
      <c r="I498" s="22" t="n"/>
      <c r="J498" s="21" t="n"/>
      <c r="K498" s="20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</row>
    <row r="499" ht="15.75" customHeight="1" s="18">
      <c r="A499" s="20">
        <f>IF(AND(B499="",C499=""),"",ROW()-1)</f>
        <v/>
      </c>
      <c r="B499" s="20" t="n"/>
      <c r="C499" s="21">
        <f>IF(B499="","",VLOOKUP(B499,Projects!$B:$C,2,FALSE()))</f>
        <v/>
      </c>
      <c r="D499" s="21" t="n"/>
      <c r="E499" s="20" t="n"/>
      <c r="F499" s="20" t="n"/>
      <c r="G499" s="20" t="n"/>
      <c r="H499" s="22" t="n"/>
      <c r="I499" s="22" t="n"/>
      <c r="J499" s="21" t="n"/>
      <c r="K499" s="20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</row>
    <row r="500" ht="15.75" customHeight="1" s="18">
      <c r="A500" s="20">
        <f>IF(AND(B500="",C500=""),"",ROW()-1)</f>
        <v/>
      </c>
      <c r="B500" s="20" t="n"/>
      <c r="C500" s="21">
        <f>IF(B500="","",VLOOKUP(B500,Projects!$B:$C,2,FALSE()))</f>
        <v/>
      </c>
      <c r="D500" s="21" t="n"/>
      <c r="E500" s="20" t="n"/>
      <c r="F500" s="20" t="n"/>
      <c r="G500" s="20" t="n"/>
      <c r="H500" s="22" t="n"/>
      <c r="I500" s="22" t="n"/>
      <c r="J500" s="21" t="n"/>
      <c r="K500" s="20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</row>
    <row r="501" ht="15.75" customHeight="1" s="18">
      <c r="A501" s="9">
        <f>IF(AND(B501="",C501=""),"",ROW()-1)</f>
        <v/>
      </c>
      <c r="B501" s="9" t="n"/>
      <c r="C501" s="9">
        <f>IF(B501="","",VLOOKUP(B501,Projects!$B:$C,2,FALSE()))</f>
        <v/>
      </c>
      <c r="D501" s="11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</row>
    <row r="502" ht="15.75" customHeight="1" s="18">
      <c r="A502" s="9" t="n"/>
      <c r="B502" s="9" t="n"/>
      <c r="C502" s="9" t="n"/>
      <c r="D502" s="11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</row>
    <row r="503" ht="15.75" customHeight="1" s="18">
      <c r="A503" s="9" t="n"/>
      <c r="B503" s="9" t="n"/>
      <c r="C503" s="9" t="n"/>
      <c r="D503" s="11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</row>
    <row r="504" ht="15.75" customHeight="1" s="18">
      <c r="A504" s="9" t="n"/>
      <c r="B504" s="9" t="n"/>
      <c r="C504" s="9" t="n"/>
      <c r="D504" s="11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</row>
    <row r="505" ht="15.75" customHeight="1" s="18">
      <c r="A505" s="9" t="n"/>
      <c r="B505" s="9" t="n"/>
      <c r="C505" s="9" t="n"/>
      <c r="D505" s="11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</row>
    <row r="506" ht="15.75" customHeight="1" s="18">
      <c r="A506" s="9" t="n"/>
      <c r="B506" s="9" t="n"/>
      <c r="C506" s="9" t="n"/>
      <c r="D506" s="11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</row>
    <row r="507" ht="15.75" customHeight="1" s="18">
      <c r="A507" s="9" t="n"/>
      <c r="B507" s="9" t="n"/>
      <c r="C507" s="9" t="n"/>
      <c r="D507" s="11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</row>
    <row r="508" ht="15.75" customHeight="1" s="18">
      <c r="A508" s="9" t="n"/>
      <c r="B508" s="9" t="n"/>
      <c r="C508" s="9" t="n"/>
      <c r="D508" s="11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</row>
    <row r="509" ht="15.75" customHeight="1" s="18">
      <c r="A509" s="9" t="n"/>
      <c r="B509" s="9" t="n"/>
      <c r="C509" s="9" t="n"/>
      <c r="D509" s="11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</row>
    <row r="510" ht="15.75" customHeight="1" s="18">
      <c r="A510" s="9" t="n"/>
      <c r="B510" s="9" t="n"/>
      <c r="C510" s="9" t="n"/>
      <c r="D510" s="11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</row>
    <row r="511" ht="15.75" customHeight="1" s="18">
      <c r="A511" s="9" t="n"/>
      <c r="B511" s="9" t="n"/>
      <c r="C511" s="9" t="n"/>
      <c r="D511" s="11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</row>
    <row r="512" ht="15.75" customHeight="1" s="18">
      <c r="A512" s="9" t="n"/>
      <c r="B512" s="9" t="n"/>
      <c r="C512" s="9" t="n"/>
      <c r="D512" s="11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</row>
    <row r="513" ht="15.75" customHeight="1" s="18">
      <c r="A513" s="9" t="n"/>
      <c r="B513" s="9" t="n"/>
      <c r="C513" s="9" t="n"/>
      <c r="D513" s="11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</row>
    <row r="514" ht="15.75" customHeight="1" s="18">
      <c r="A514" s="9" t="n"/>
      <c r="B514" s="9" t="n"/>
      <c r="C514" s="9" t="n"/>
      <c r="D514" s="11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</row>
    <row r="515" ht="15.75" customHeight="1" s="18">
      <c r="A515" s="9" t="n"/>
      <c r="B515" s="9" t="n"/>
      <c r="C515" s="9" t="n"/>
      <c r="D515" s="11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</row>
    <row r="516" ht="15.75" customHeight="1" s="18">
      <c r="A516" s="9" t="n"/>
      <c r="B516" s="9" t="n"/>
      <c r="C516" s="9" t="n"/>
      <c r="D516" s="11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</row>
    <row r="517" ht="15.75" customHeight="1" s="18">
      <c r="A517" s="9" t="n"/>
      <c r="B517" s="9" t="n"/>
      <c r="C517" s="9" t="n"/>
      <c r="D517" s="11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</row>
    <row r="518" ht="15.75" customHeight="1" s="18">
      <c r="A518" s="9" t="n"/>
      <c r="B518" s="9" t="n"/>
      <c r="C518" s="9" t="n"/>
      <c r="D518" s="11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</row>
    <row r="519" ht="15.75" customHeight="1" s="18">
      <c r="A519" s="9" t="n"/>
      <c r="B519" s="9" t="n"/>
      <c r="C519" s="9" t="n"/>
      <c r="D519" s="11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</row>
    <row r="520" ht="15.75" customHeight="1" s="18">
      <c r="A520" s="9" t="n"/>
      <c r="B520" s="9" t="n"/>
      <c r="C520" s="9" t="n"/>
      <c r="D520" s="11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</row>
    <row r="521" ht="15.75" customHeight="1" s="18">
      <c r="A521" s="9" t="n"/>
      <c r="B521" s="9" t="n"/>
      <c r="C521" s="9" t="n"/>
      <c r="D521" s="11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</row>
    <row r="522" ht="15.75" customHeight="1" s="18">
      <c r="A522" s="9" t="n"/>
      <c r="B522" s="9" t="n"/>
      <c r="C522" s="9" t="n"/>
      <c r="D522" s="11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</row>
    <row r="523" ht="15.75" customHeight="1" s="18">
      <c r="A523" s="9" t="n"/>
      <c r="B523" s="9" t="n"/>
      <c r="C523" s="9" t="n"/>
      <c r="D523" s="11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</row>
    <row r="524" ht="15.75" customHeight="1" s="18">
      <c r="A524" s="9" t="n"/>
      <c r="B524" s="9" t="n"/>
      <c r="C524" s="9" t="n"/>
      <c r="D524" s="11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</row>
    <row r="525" ht="15.75" customHeight="1" s="18">
      <c r="A525" s="9" t="n"/>
      <c r="B525" s="9" t="n"/>
      <c r="C525" s="9" t="n"/>
      <c r="D525" s="11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</row>
    <row r="526" ht="15.75" customHeight="1" s="18">
      <c r="A526" s="9" t="n"/>
      <c r="B526" s="9" t="n"/>
      <c r="C526" s="9" t="n"/>
      <c r="D526" s="11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</row>
    <row r="527" ht="15.75" customHeight="1" s="18">
      <c r="A527" s="9" t="n"/>
      <c r="B527" s="9" t="n"/>
      <c r="C527" s="9" t="n"/>
      <c r="D527" s="11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</row>
    <row r="528" ht="15.75" customHeight="1" s="18">
      <c r="A528" s="9" t="n"/>
      <c r="B528" s="9" t="n"/>
      <c r="C528" s="9" t="n"/>
      <c r="D528" s="11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</row>
    <row r="529" ht="15.75" customHeight="1" s="18">
      <c r="A529" s="9" t="n"/>
      <c r="B529" s="9" t="n"/>
      <c r="C529" s="9" t="n"/>
      <c r="D529" s="11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</row>
    <row r="530" ht="15.75" customHeight="1" s="18">
      <c r="A530" s="9" t="n"/>
      <c r="B530" s="9" t="n"/>
      <c r="C530" s="9" t="n"/>
      <c r="D530" s="11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</row>
    <row r="531" ht="15.75" customHeight="1" s="18">
      <c r="A531" s="9" t="n"/>
      <c r="B531" s="9" t="n"/>
      <c r="C531" s="9" t="n"/>
      <c r="D531" s="11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</row>
    <row r="532" ht="15.75" customHeight="1" s="18">
      <c r="A532" s="9" t="n"/>
      <c r="B532" s="9" t="n"/>
      <c r="C532" s="9" t="n"/>
      <c r="D532" s="11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</row>
    <row r="533" ht="15.75" customHeight="1" s="18">
      <c r="A533" s="9" t="n"/>
      <c r="B533" s="9" t="n"/>
      <c r="C533" s="9" t="n"/>
      <c r="D533" s="11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</row>
    <row r="534" ht="15.75" customHeight="1" s="18">
      <c r="A534" s="9" t="n"/>
      <c r="B534" s="9" t="n"/>
      <c r="C534" s="9" t="n"/>
      <c r="D534" s="11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</row>
    <row r="535" ht="15.75" customHeight="1" s="18">
      <c r="A535" s="9" t="n"/>
      <c r="B535" s="9" t="n"/>
      <c r="C535" s="9" t="n"/>
      <c r="D535" s="11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</row>
    <row r="536" ht="15.75" customHeight="1" s="18">
      <c r="A536" s="9" t="n"/>
      <c r="B536" s="9" t="n"/>
      <c r="C536" s="9" t="n"/>
      <c r="D536" s="11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</row>
    <row r="537" ht="15.75" customHeight="1" s="18">
      <c r="A537" s="9" t="n"/>
      <c r="B537" s="9" t="n"/>
      <c r="C537" s="9" t="n"/>
      <c r="D537" s="11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</row>
    <row r="538" ht="15.75" customHeight="1" s="18">
      <c r="A538" s="9" t="n"/>
      <c r="B538" s="9" t="n"/>
      <c r="C538" s="9" t="n"/>
      <c r="D538" s="11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</row>
    <row r="539" ht="15.75" customHeight="1" s="18">
      <c r="A539" s="9" t="n"/>
      <c r="B539" s="9" t="n"/>
      <c r="C539" s="9" t="n"/>
      <c r="D539" s="11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</row>
    <row r="540" ht="15.75" customHeight="1" s="18">
      <c r="A540" s="9" t="n"/>
      <c r="B540" s="9" t="n"/>
      <c r="C540" s="9" t="n"/>
      <c r="D540" s="11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</row>
    <row r="541" ht="15.75" customHeight="1" s="18">
      <c r="A541" s="9" t="n"/>
      <c r="B541" s="9" t="n"/>
      <c r="C541" s="9" t="n"/>
      <c r="D541" s="11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</row>
    <row r="542" ht="15.75" customHeight="1" s="18">
      <c r="A542" s="9" t="n"/>
      <c r="B542" s="9" t="n"/>
      <c r="C542" s="9" t="n"/>
      <c r="D542" s="11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</row>
    <row r="543" ht="15.75" customHeight="1" s="18">
      <c r="A543" s="9" t="n"/>
      <c r="B543" s="9" t="n"/>
      <c r="C543" s="9" t="n"/>
      <c r="D543" s="11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</row>
    <row r="544" ht="15.75" customHeight="1" s="18">
      <c r="A544" s="9" t="n"/>
      <c r="B544" s="9" t="n"/>
      <c r="C544" s="9" t="n"/>
      <c r="D544" s="11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</row>
    <row r="545" ht="15.75" customHeight="1" s="18">
      <c r="A545" s="9" t="n"/>
      <c r="B545" s="9" t="n"/>
      <c r="C545" s="9" t="n"/>
      <c r="D545" s="11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</row>
    <row r="546" ht="15.75" customHeight="1" s="18">
      <c r="A546" s="9" t="n"/>
      <c r="B546" s="9" t="n"/>
      <c r="C546" s="9" t="n"/>
      <c r="D546" s="11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</row>
    <row r="547" ht="15.75" customHeight="1" s="18">
      <c r="A547" s="9" t="n"/>
      <c r="B547" s="9" t="n"/>
      <c r="C547" s="9" t="n"/>
      <c r="D547" s="11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</row>
    <row r="548" ht="15.75" customHeight="1" s="18">
      <c r="A548" s="9" t="n"/>
      <c r="B548" s="9" t="n"/>
      <c r="C548" s="9" t="n"/>
      <c r="D548" s="11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</row>
    <row r="549" ht="15.75" customHeight="1" s="18">
      <c r="A549" s="9" t="n"/>
      <c r="B549" s="9" t="n"/>
      <c r="C549" s="9" t="n"/>
      <c r="D549" s="11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</row>
    <row r="550" ht="15.75" customHeight="1" s="18">
      <c r="A550" s="9" t="n"/>
      <c r="B550" s="9" t="n"/>
      <c r="C550" s="9" t="n"/>
      <c r="D550" s="11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</row>
    <row r="551" ht="15.75" customHeight="1" s="18">
      <c r="A551" s="9" t="n"/>
      <c r="B551" s="9" t="n"/>
      <c r="C551" s="9" t="n"/>
      <c r="D551" s="11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</row>
    <row r="552" ht="15.75" customHeight="1" s="18">
      <c r="A552" s="9" t="n"/>
      <c r="B552" s="9" t="n"/>
      <c r="C552" s="9" t="n"/>
      <c r="D552" s="11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</row>
    <row r="553" ht="15.75" customHeight="1" s="18">
      <c r="A553" s="9" t="n"/>
      <c r="B553" s="9" t="n"/>
      <c r="C553" s="9" t="n"/>
      <c r="D553" s="11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</row>
    <row r="554" ht="15.75" customHeight="1" s="18">
      <c r="A554" s="9" t="n"/>
      <c r="B554" s="9" t="n"/>
      <c r="C554" s="9" t="n"/>
      <c r="D554" s="11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</row>
    <row r="555" ht="15.75" customHeight="1" s="18">
      <c r="A555" s="9" t="n"/>
      <c r="B555" s="9" t="n"/>
      <c r="C555" s="9" t="n"/>
      <c r="D555" s="11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</row>
    <row r="556" ht="15.75" customHeight="1" s="18">
      <c r="A556" s="9" t="n"/>
      <c r="B556" s="9" t="n"/>
      <c r="C556" s="9" t="n"/>
      <c r="D556" s="11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</row>
    <row r="557" ht="15.75" customHeight="1" s="18">
      <c r="A557" s="9" t="n"/>
      <c r="B557" s="9" t="n"/>
      <c r="C557" s="9" t="n"/>
      <c r="D557" s="11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</row>
    <row r="558" ht="15.75" customHeight="1" s="18">
      <c r="A558" s="9" t="n"/>
      <c r="B558" s="9" t="n"/>
      <c r="C558" s="9" t="n"/>
      <c r="D558" s="11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</row>
    <row r="559" ht="15.75" customHeight="1" s="18">
      <c r="A559" s="9" t="n"/>
      <c r="B559" s="9" t="n"/>
      <c r="C559" s="9" t="n"/>
      <c r="D559" s="11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</row>
    <row r="560" ht="15.75" customHeight="1" s="18">
      <c r="A560" s="9" t="n"/>
      <c r="B560" s="9" t="n"/>
      <c r="C560" s="9" t="n"/>
      <c r="D560" s="11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</row>
    <row r="561" ht="15.75" customHeight="1" s="18">
      <c r="A561" s="9" t="n"/>
      <c r="B561" s="9" t="n"/>
      <c r="C561" s="9" t="n"/>
      <c r="D561" s="11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</row>
    <row r="562" ht="15.75" customHeight="1" s="18">
      <c r="A562" s="9" t="n"/>
      <c r="B562" s="9" t="n"/>
      <c r="C562" s="9" t="n"/>
      <c r="D562" s="11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</row>
    <row r="563" ht="15.75" customHeight="1" s="18">
      <c r="A563" s="9" t="n"/>
      <c r="B563" s="9" t="n"/>
      <c r="C563" s="9" t="n"/>
      <c r="D563" s="11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</row>
    <row r="564" ht="15.75" customHeight="1" s="18">
      <c r="A564" s="9" t="n"/>
      <c r="B564" s="9" t="n"/>
      <c r="C564" s="9" t="n"/>
      <c r="D564" s="11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</row>
    <row r="565" ht="15.75" customHeight="1" s="18">
      <c r="A565" s="9" t="n"/>
      <c r="B565" s="9" t="n"/>
      <c r="C565" s="9" t="n"/>
      <c r="D565" s="11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</row>
    <row r="566" ht="15.75" customHeight="1" s="18">
      <c r="A566" s="9" t="n"/>
      <c r="B566" s="9" t="n"/>
      <c r="C566" s="9" t="n"/>
      <c r="D566" s="11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</row>
    <row r="567" ht="15.75" customHeight="1" s="18">
      <c r="A567" s="9" t="n"/>
      <c r="B567" s="9" t="n"/>
      <c r="C567" s="9" t="n"/>
      <c r="D567" s="11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</row>
    <row r="568" ht="15.75" customHeight="1" s="18">
      <c r="A568" s="9" t="n"/>
      <c r="B568" s="9" t="n"/>
      <c r="C568" s="9" t="n"/>
      <c r="D568" s="11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</row>
    <row r="569" ht="15.75" customHeight="1" s="18">
      <c r="A569" s="9" t="n"/>
      <c r="B569" s="9" t="n"/>
      <c r="C569" s="9" t="n"/>
      <c r="D569" s="11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</row>
    <row r="570" ht="15.75" customHeight="1" s="18">
      <c r="A570" s="9" t="n"/>
      <c r="B570" s="9" t="n"/>
      <c r="C570" s="9" t="n"/>
      <c r="D570" s="11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</row>
    <row r="571" ht="15.75" customHeight="1" s="18">
      <c r="A571" s="9" t="n"/>
      <c r="B571" s="9" t="n"/>
      <c r="C571" s="9" t="n"/>
      <c r="D571" s="11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</row>
    <row r="572" ht="15.75" customHeight="1" s="18">
      <c r="A572" s="9" t="n"/>
      <c r="B572" s="9" t="n"/>
      <c r="C572" s="9" t="n"/>
      <c r="D572" s="11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</row>
    <row r="573" ht="15.75" customHeight="1" s="18">
      <c r="A573" s="9" t="n"/>
      <c r="B573" s="9" t="n"/>
      <c r="C573" s="9" t="n"/>
      <c r="D573" s="11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</row>
    <row r="574" ht="15.75" customHeight="1" s="18">
      <c r="A574" s="9" t="n"/>
      <c r="B574" s="9" t="n"/>
      <c r="C574" s="9" t="n"/>
      <c r="D574" s="11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</row>
    <row r="575" ht="15.75" customHeight="1" s="18">
      <c r="A575" s="9" t="n"/>
      <c r="B575" s="9" t="n"/>
      <c r="C575" s="9" t="n"/>
      <c r="D575" s="11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</row>
    <row r="576" ht="15.75" customHeight="1" s="18">
      <c r="A576" s="9" t="n"/>
      <c r="B576" s="9" t="n"/>
      <c r="C576" s="9" t="n"/>
      <c r="D576" s="11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</row>
    <row r="577" ht="15.75" customHeight="1" s="18">
      <c r="A577" s="9" t="n"/>
      <c r="B577" s="9" t="n"/>
      <c r="C577" s="9" t="n"/>
      <c r="D577" s="11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</row>
    <row r="578" ht="15.75" customHeight="1" s="18">
      <c r="A578" s="9" t="n"/>
      <c r="B578" s="9" t="n"/>
      <c r="C578" s="9" t="n"/>
      <c r="D578" s="11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</row>
    <row r="579" ht="15.75" customHeight="1" s="18">
      <c r="A579" s="9" t="n"/>
      <c r="B579" s="9" t="n"/>
      <c r="C579" s="9" t="n"/>
      <c r="D579" s="11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</row>
    <row r="580" ht="15.75" customHeight="1" s="18">
      <c r="A580" s="9" t="n"/>
      <c r="B580" s="9" t="n"/>
      <c r="C580" s="9" t="n"/>
      <c r="D580" s="11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</row>
    <row r="581" ht="15.75" customHeight="1" s="18">
      <c r="A581" s="9" t="n"/>
      <c r="B581" s="9" t="n"/>
      <c r="C581" s="9" t="n"/>
      <c r="D581" s="11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</row>
    <row r="582" ht="15.75" customHeight="1" s="18">
      <c r="A582" s="9" t="n"/>
      <c r="B582" s="9" t="n"/>
      <c r="C582" s="9" t="n"/>
      <c r="D582" s="11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</row>
    <row r="583" ht="15.75" customHeight="1" s="18">
      <c r="A583" s="9" t="n"/>
      <c r="B583" s="9" t="n"/>
      <c r="C583" s="9" t="n"/>
      <c r="D583" s="11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</row>
    <row r="584" ht="15.75" customHeight="1" s="18">
      <c r="A584" s="9" t="n"/>
      <c r="B584" s="9" t="n"/>
      <c r="C584" s="9" t="n"/>
      <c r="D584" s="11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</row>
    <row r="585" ht="15.75" customHeight="1" s="18">
      <c r="A585" s="9" t="n"/>
      <c r="B585" s="9" t="n"/>
      <c r="C585" s="9" t="n"/>
      <c r="D585" s="11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</row>
    <row r="586" ht="15.75" customHeight="1" s="18">
      <c r="A586" s="9" t="n"/>
      <c r="B586" s="9" t="n"/>
      <c r="C586" s="9" t="n"/>
      <c r="D586" s="11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</row>
    <row r="587" ht="15.75" customHeight="1" s="18">
      <c r="A587" s="9" t="n"/>
      <c r="B587" s="9" t="n"/>
      <c r="C587" s="9" t="n"/>
      <c r="D587" s="11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</row>
    <row r="588" ht="15.75" customHeight="1" s="18">
      <c r="A588" s="9" t="n"/>
      <c r="B588" s="9" t="n"/>
      <c r="C588" s="9" t="n"/>
      <c r="D588" s="11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</row>
    <row r="589" ht="15.75" customHeight="1" s="18">
      <c r="A589" s="9" t="n"/>
      <c r="B589" s="9" t="n"/>
      <c r="C589" s="9" t="n"/>
      <c r="D589" s="11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</row>
    <row r="590" ht="15.75" customHeight="1" s="18">
      <c r="A590" s="9" t="n"/>
      <c r="B590" s="9" t="n"/>
      <c r="C590" s="9" t="n"/>
      <c r="D590" s="11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</row>
    <row r="591" ht="15.75" customHeight="1" s="18">
      <c r="A591" s="9" t="n"/>
      <c r="B591" s="9" t="n"/>
      <c r="C591" s="9" t="n"/>
      <c r="D591" s="11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</row>
    <row r="592" ht="15.75" customHeight="1" s="18">
      <c r="A592" s="9" t="n"/>
      <c r="B592" s="9" t="n"/>
      <c r="C592" s="9" t="n"/>
      <c r="D592" s="11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</row>
    <row r="593" ht="15.75" customHeight="1" s="18">
      <c r="A593" s="9" t="n"/>
      <c r="B593" s="9" t="n"/>
      <c r="C593" s="9" t="n"/>
      <c r="D593" s="11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</row>
    <row r="594" ht="15.75" customHeight="1" s="18">
      <c r="A594" s="9" t="n"/>
      <c r="B594" s="9" t="n"/>
      <c r="C594" s="9" t="n"/>
      <c r="D594" s="11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</row>
    <row r="595" ht="15.75" customHeight="1" s="18">
      <c r="A595" s="9" t="n"/>
      <c r="B595" s="9" t="n"/>
      <c r="C595" s="9" t="n"/>
      <c r="D595" s="11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</row>
    <row r="596" ht="15.75" customHeight="1" s="18">
      <c r="A596" s="9" t="n"/>
      <c r="B596" s="9" t="n"/>
      <c r="C596" s="9" t="n"/>
      <c r="D596" s="11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</row>
    <row r="597" ht="15.75" customHeight="1" s="18">
      <c r="A597" s="9" t="n"/>
      <c r="B597" s="9" t="n"/>
      <c r="C597" s="9" t="n"/>
      <c r="D597" s="11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</row>
    <row r="598" ht="15.75" customHeight="1" s="18">
      <c r="A598" s="9" t="n"/>
      <c r="B598" s="9" t="n"/>
      <c r="C598" s="9" t="n"/>
      <c r="D598" s="11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</row>
    <row r="599" ht="15.75" customHeight="1" s="18">
      <c r="A599" s="9" t="n"/>
      <c r="B599" s="9" t="n"/>
      <c r="C599" s="9" t="n"/>
      <c r="D599" s="11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</row>
    <row r="600" ht="15.75" customHeight="1" s="18">
      <c r="A600" s="9" t="n"/>
      <c r="B600" s="9" t="n"/>
      <c r="C600" s="9" t="n"/>
      <c r="D600" s="11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</row>
    <row r="601" ht="15.75" customHeight="1" s="18">
      <c r="A601" s="9" t="n"/>
      <c r="B601" s="9" t="n"/>
      <c r="C601" s="9" t="n"/>
      <c r="D601" s="11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</row>
    <row r="602" ht="15.75" customHeight="1" s="18">
      <c r="A602" s="9" t="n"/>
      <c r="B602" s="9" t="n"/>
      <c r="C602" s="9" t="n"/>
      <c r="D602" s="11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</row>
    <row r="603" ht="15.75" customHeight="1" s="18">
      <c r="A603" s="9" t="n"/>
      <c r="B603" s="9" t="n"/>
      <c r="C603" s="9" t="n"/>
      <c r="D603" s="11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</row>
    <row r="604" ht="15.75" customHeight="1" s="18">
      <c r="A604" s="9" t="n"/>
      <c r="B604" s="9" t="n"/>
      <c r="C604" s="9" t="n"/>
      <c r="D604" s="11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</row>
    <row r="605" ht="15.75" customHeight="1" s="18">
      <c r="A605" s="9" t="n"/>
      <c r="B605" s="9" t="n"/>
      <c r="C605" s="9" t="n"/>
      <c r="D605" s="11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</row>
    <row r="606" ht="15.75" customHeight="1" s="18">
      <c r="A606" s="9" t="n"/>
      <c r="B606" s="9" t="n"/>
      <c r="C606" s="9" t="n"/>
      <c r="D606" s="11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</row>
    <row r="607" ht="15.75" customHeight="1" s="18">
      <c r="A607" s="9" t="n"/>
      <c r="B607" s="9" t="n"/>
      <c r="C607" s="9" t="n"/>
      <c r="D607" s="11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</row>
    <row r="608" ht="15.75" customHeight="1" s="18">
      <c r="A608" s="9" t="n"/>
      <c r="B608" s="9" t="n"/>
      <c r="C608" s="9" t="n"/>
      <c r="D608" s="11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</row>
    <row r="609" ht="15.75" customHeight="1" s="18">
      <c r="A609" s="9" t="n"/>
      <c r="B609" s="9" t="n"/>
      <c r="C609" s="9" t="n"/>
      <c r="D609" s="11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</row>
    <row r="610" ht="15.75" customHeight="1" s="18">
      <c r="A610" s="9" t="n"/>
      <c r="B610" s="9" t="n"/>
      <c r="C610" s="9" t="n"/>
      <c r="D610" s="11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</row>
    <row r="611" ht="15.75" customHeight="1" s="18">
      <c r="A611" s="9" t="n"/>
      <c r="B611" s="9" t="n"/>
      <c r="C611" s="9" t="n"/>
      <c r="D611" s="11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</row>
    <row r="612" ht="15.75" customHeight="1" s="18">
      <c r="A612" s="9" t="n"/>
      <c r="B612" s="9" t="n"/>
      <c r="C612" s="9" t="n"/>
      <c r="D612" s="11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</row>
    <row r="613" ht="15.75" customHeight="1" s="18">
      <c r="A613" s="9" t="n"/>
      <c r="B613" s="9" t="n"/>
      <c r="C613" s="9" t="n"/>
      <c r="D613" s="11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</row>
    <row r="614" ht="15.75" customHeight="1" s="18">
      <c r="A614" s="9" t="n"/>
      <c r="B614" s="9" t="n"/>
      <c r="C614" s="9" t="n"/>
      <c r="D614" s="11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</row>
    <row r="615" ht="15.75" customHeight="1" s="18">
      <c r="A615" s="9" t="n"/>
      <c r="B615" s="9" t="n"/>
      <c r="C615" s="9" t="n"/>
      <c r="D615" s="11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</row>
    <row r="616" ht="15.75" customHeight="1" s="18">
      <c r="A616" s="9" t="n"/>
      <c r="B616" s="9" t="n"/>
      <c r="C616" s="9" t="n"/>
      <c r="D616" s="11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</row>
    <row r="617" ht="15.75" customHeight="1" s="18">
      <c r="A617" s="9" t="n"/>
      <c r="B617" s="9" t="n"/>
      <c r="C617" s="9" t="n"/>
      <c r="D617" s="11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</row>
    <row r="618" ht="15.75" customHeight="1" s="18">
      <c r="A618" s="9" t="n"/>
      <c r="B618" s="9" t="n"/>
      <c r="C618" s="9" t="n"/>
      <c r="D618" s="11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</row>
    <row r="619" ht="15.75" customHeight="1" s="18">
      <c r="A619" s="9" t="n"/>
      <c r="B619" s="9" t="n"/>
      <c r="C619" s="9" t="n"/>
      <c r="D619" s="11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</row>
    <row r="620" ht="15.75" customHeight="1" s="18">
      <c r="A620" s="9" t="n"/>
      <c r="B620" s="9" t="n"/>
      <c r="C620" s="9" t="n"/>
      <c r="D620" s="11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</row>
    <row r="621" ht="15.75" customHeight="1" s="18">
      <c r="A621" s="9" t="n"/>
      <c r="B621" s="9" t="n"/>
      <c r="C621" s="9" t="n"/>
      <c r="D621" s="11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</row>
    <row r="622" ht="15.75" customHeight="1" s="18">
      <c r="A622" s="9" t="n"/>
      <c r="B622" s="9" t="n"/>
      <c r="C622" s="9" t="n"/>
      <c r="D622" s="11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</row>
    <row r="623" ht="15.75" customHeight="1" s="18">
      <c r="A623" s="9" t="n"/>
      <c r="B623" s="9" t="n"/>
      <c r="C623" s="9" t="n"/>
      <c r="D623" s="11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</row>
    <row r="624" ht="15.75" customHeight="1" s="18">
      <c r="A624" s="9" t="n"/>
      <c r="B624" s="9" t="n"/>
      <c r="C624" s="9" t="n"/>
      <c r="D624" s="11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</row>
    <row r="625" ht="15.75" customHeight="1" s="18">
      <c r="A625" s="9" t="n"/>
      <c r="B625" s="9" t="n"/>
      <c r="C625" s="9" t="n"/>
      <c r="D625" s="11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</row>
    <row r="626" ht="15.75" customHeight="1" s="18">
      <c r="A626" s="9" t="n"/>
      <c r="B626" s="9" t="n"/>
      <c r="C626" s="9" t="n"/>
      <c r="D626" s="11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</row>
    <row r="627" ht="15.75" customHeight="1" s="18">
      <c r="A627" s="9" t="n"/>
      <c r="B627" s="9" t="n"/>
      <c r="C627" s="9" t="n"/>
      <c r="D627" s="11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</row>
    <row r="628" ht="15.75" customHeight="1" s="18">
      <c r="A628" s="9" t="n"/>
      <c r="B628" s="9" t="n"/>
      <c r="C628" s="9" t="n"/>
      <c r="D628" s="11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</row>
    <row r="629" ht="15.75" customHeight="1" s="18">
      <c r="A629" s="9" t="n"/>
      <c r="B629" s="9" t="n"/>
      <c r="C629" s="9" t="n"/>
      <c r="D629" s="11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</row>
    <row r="630" ht="15.75" customHeight="1" s="18">
      <c r="A630" s="9" t="n"/>
      <c r="B630" s="9" t="n"/>
      <c r="C630" s="9" t="n"/>
      <c r="D630" s="11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</row>
    <row r="631" ht="15.75" customHeight="1" s="18">
      <c r="A631" s="9" t="n"/>
      <c r="B631" s="9" t="n"/>
      <c r="C631" s="9" t="n"/>
      <c r="D631" s="11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</row>
    <row r="632" ht="15.75" customHeight="1" s="18">
      <c r="A632" s="9" t="n"/>
      <c r="B632" s="9" t="n"/>
      <c r="C632" s="9" t="n"/>
      <c r="D632" s="11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</row>
    <row r="633" ht="15.75" customHeight="1" s="18">
      <c r="A633" s="9" t="n"/>
      <c r="B633" s="9" t="n"/>
      <c r="C633" s="9" t="n"/>
      <c r="D633" s="11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</row>
    <row r="634" ht="15.75" customHeight="1" s="18">
      <c r="A634" s="9" t="n"/>
      <c r="B634" s="9" t="n"/>
      <c r="C634" s="9" t="n"/>
      <c r="D634" s="11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</row>
    <row r="635" ht="15.75" customHeight="1" s="18">
      <c r="A635" s="9" t="n"/>
      <c r="B635" s="9" t="n"/>
      <c r="C635" s="9" t="n"/>
      <c r="D635" s="11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</row>
    <row r="636" ht="15.75" customHeight="1" s="18">
      <c r="A636" s="9" t="n"/>
      <c r="B636" s="9" t="n"/>
      <c r="C636" s="9" t="n"/>
      <c r="D636" s="11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</row>
    <row r="637" ht="15.75" customHeight="1" s="18">
      <c r="A637" s="9" t="n"/>
      <c r="B637" s="9" t="n"/>
      <c r="C637" s="9" t="n"/>
      <c r="D637" s="11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</row>
    <row r="638" ht="15.75" customHeight="1" s="18">
      <c r="A638" s="9" t="n"/>
      <c r="B638" s="9" t="n"/>
      <c r="C638" s="9" t="n"/>
      <c r="D638" s="11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</row>
    <row r="639" ht="15.75" customHeight="1" s="18">
      <c r="A639" s="9" t="n"/>
      <c r="B639" s="9" t="n"/>
      <c r="C639" s="9" t="n"/>
      <c r="D639" s="11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</row>
    <row r="640" ht="15.75" customHeight="1" s="18">
      <c r="A640" s="9" t="n"/>
      <c r="B640" s="9" t="n"/>
      <c r="C640" s="9" t="n"/>
      <c r="D640" s="11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</row>
    <row r="641" ht="15.75" customHeight="1" s="18">
      <c r="A641" s="9" t="n"/>
      <c r="B641" s="9" t="n"/>
      <c r="C641" s="9" t="n"/>
      <c r="D641" s="11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</row>
    <row r="642" ht="15.75" customHeight="1" s="18">
      <c r="A642" s="9" t="n"/>
      <c r="B642" s="9" t="n"/>
      <c r="C642" s="9" t="n"/>
      <c r="D642" s="11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</row>
    <row r="643" ht="15.75" customHeight="1" s="18">
      <c r="A643" s="9" t="n"/>
      <c r="B643" s="9" t="n"/>
      <c r="C643" s="9" t="n"/>
      <c r="D643" s="11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</row>
    <row r="644" ht="15.75" customHeight="1" s="18">
      <c r="A644" s="9" t="n"/>
      <c r="B644" s="9" t="n"/>
      <c r="C644" s="9" t="n"/>
      <c r="D644" s="11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</row>
    <row r="645" ht="15.75" customHeight="1" s="18">
      <c r="A645" s="9" t="n"/>
      <c r="B645" s="9" t="n"/>
      <c r="C645" s="9" t="n"/>
      <c r="D645" s="11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</row>
    <row r="646" ht="15.75" customHeight="1" s="18">
      <c r="A646" s="9" t="n"/>
      <c r="B646" s="9" t="n"/>
      <c r="C646" s="9" t="n"/>
      <c r="D646" s="11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</row>
    <row r="647" ht="15.75" customHeight="1" s="18">
      <c r="A647" s="9" t="n"/>
      <c r="B647" s="9" t="n"/>
      <c r="C647" s="9" t="n"/>
      <c r="D647" s="11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</row>
    <row r="648" ht="15.75" customHeight="1" s="18">
      <c r="A648" s="9" t="n"/>
      <c r="B648" s="9" t="n"/>
      <c r="C648" s="9" t="n"/>
      <c r="D648" s="11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</row>
    <row r="649" ht="15.75" customHeight="1" s="18">
      <c r="A649" s="9" t="n"/>
      <c r="B649" s="9" t="n"/>
      <c r="C649" s="9" t="n"/>
      <c r="D649" s="11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</row>
    <row r="650" ht="15.75" customHeight="1" s="18">
      <c r="A650" s="9" t="n"/>
      <c r="B650" s="9" t="n"/>
      <c r="C650" s="9" t="n"/>
      <c r="D650" s="11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</row>
    <row r="651" ht="15.75" customHeight="1" s="18">
      <c r="A651" s="9" t="n"/>
      <c r="B651" s="9" t="n"/>
      <c r="C651" s="9" t="n"/>
      <c r="D651" s="11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</row>
    <row r="652" ht="15.75" customHeight="1" s="18">
      <c r="A652" s="9" t="n"/>
      <c r="B652" s="9" t="n"/>
      <c r="C652" s="9" t="n"/>
      <c r="D652" s="11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</row>
    <row r="653" ht="15.75" customHeight="1" s="18">
      <c r="A653" s="9" t="n"/>
      <c r="B653" s="9" t="n"/>
      <c r="C653" s="9" t="n"/>
      <c r="D653" s="11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</row>
    <row r="654" ht="15.75" customHeight="1" s="18">
      <c r="A654" s="9" t="n"/>
      <c r="B654" s="9" t="n"/>
      <c r="C654" s="9" t="n"/>
      <c r="D654" s="11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</row>
    <row r="655" ht="15.75" customHeight="1" s="18">
      <c r="A655" s="9" t="n"/>
      <c r="B655" s="9" t="n"/>
      <c r="C655" s="9" t="n"/>
      <c r="D655" s="11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</row>
    <row r="656" ht="15.75" customHeight="1" s="18">
      <c r="A656" s="9" t="n"/>
      <c r="B656" s="9" t="n"/>
      <c r="C656" s="9" t="n"/>
      <c r="D656" s="11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</row>
    <row r="657" ht="15.75" customHeight="1" s="18">
      <c r="A657" s="9" t="n"/>
      <c r="B657" s="9" t="n"/>
      <c r="C657" s="9" t="n"/>
      <c r="D657" s="11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</row>
    <row r="658" ht="15.75" customHeight="1" s="18">
      <c r="A658" s="9" t="n"/>
      <c r="B658" s="9" t="n"/>
      <c r="C658" s="9" t="n"/>
      <c r="D658" s="11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</row>
    <row r="659" ht="15.75" customHeight="1" s="18">
      <c r="A659" s="9" t="n"/>
      <c r="B659" s="9" t="n"/>
      <c r="C659" s="9" t="n"/>
      <c r="D659" s="11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</row>
    <row r="660" ht="15.75" customHeight="1" s="18">
      <c r="A660" s="9" t="n"/>
      <c r="B660" s="9" t="n"/>
      <c r="C660" s="9" t="n"/>
      <c r="D660" s="11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</row>
    <row r="661" ht="15.75" customHeight="1" s="18">
      <c r="A661" s="9" t="n"/>
      <c r="B661" s="9" t="n"/>
      <c r="C661" s="9" t="n"/>
      <c r="D661" s="11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</row>
    <row r="662" ht="15.75" customHeight="1" s="18">
      <c r="A662" s="9" t="n"/>
      <c r="B662" s="9" t="n"/>
      <c r="C662" s="9" t="n"/>
      <c r="D662" s="11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</row>
    <row r="663" ht="15.75" customHeight="1" s="18">
      <c r="A663" s="9" t="n"/>
      <c r="B663" s="9" t="n"/>
      <c r="C663" s="9" t="n"/>
      <c r="D663" s="11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</row>
    <row r="664" ht="15.75" customHeight="1" s="18">
      <c r="A664" s="9" t="n"/>
      <c r="B664" s="9" t="n"/>
      <c r="C664" s="9" t="n"/>
      <c r="D664" s="11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</row>
    <row r="665" ht="15.75" customHeight="1" s="18">
      <c r="A665" s="9" t="n"/>
      <c r="B665" s="9" t="n"/>
      <c r="C665" s="9" t="n"/>
      <c r="D665" s="11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</row>
    <row r="666" ht="15.75" customHeight="1" s="18">
      <c r="A666" s="9" t="n"/>
      <c r="B666" s="9" t="n"/>
      <c r="C666" s="9" t="n"/>
      <c r="D666" s="11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</row>
    <row r="667" ht="15.75" customHeight="1" s="18">
      <c r="A667" s="9" t="n"/>
      <c r="B667" s="9" t="n"/>
      <c r="C667" s="9" t="n"/>
      <c r="D667" s="11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</row>
    <row r="668" ht="15.75" customHeight="1" s="18">
      <c r="A668" s="9" t="n"/>
      <c r="B668" s="9" t="n"/>
      <c r="C668" s="9" t="n"/>
      <c r="D668" s="11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</row>
    <row r="669" ht="15.75" customHeight="1" s="18">
      <c r="A669" s="9" t="n"/>
      <c r="B669" s="9" t="n"/>
      <c r="C669" s="9" t="n"/>
      <c r="D669" s="11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</row>
    <row r="670" ht="15.75" customHeight="1" s="18">
      <c r="A670" s="9" t="n"/>
      <c r="B670" s="9" t="n"/>
      <c r="C670" s="9" t="n"/>
      <c r="D670" s="11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</row>
    <row r="671" ht="15.75" customHeight="1" s="18">
      <c r="A671" s="9" t="n"/>
      <c r="B671" s="9" t="n"/>
      <c r="C671" s="9" t="n"/>
      <c r="D671" s="11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</row>
    <row r="672" ht="15.75" customHeight="1" s="18">
      <c r="A672" s="9" t="n"/>
      <c r="B672" s="9" t="n"/>
      <c r="C672" s="9" t="n"/>
      <c r="D672" s="11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</row>
    <row r="673" ht="15.75" customHeight="1" s="18">
      <c r="A673" s="9" t="n"/>
      <c r="B673" s="9" t="n"/>
      <c r="C673" s="9" t="n"/>
      <c r="D673" s="11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</row>
    <row r="674" ht="15.75" customHeight="1" s="18">
      <c r="A674" s="9" t="n"/>
      <c r="B674" s="9" t="n"/>
      <c r="C674" s="9" t="n"/>
      <c r="D674" s="11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</row>
    <row r="675" ht="15.75" customHeight="1" s="18">
      <c r="A675" s="9" t="n"/>
      <c r="B675" s="9" t="n"/>
      <c r="C675" s="9" t="n"/>
      <c r="D675" s="11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</row>
    <row r="676" ht="15.75" customHeight="1" s="18">
      <c r="A676" s="9" t="n"/>
      <c r="B676" s="9" t="n"/>
      <c r="C676" s="9" t="n"/>
      <c r="D676" s="11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</row>
    <row r="677" ht="15.75" customHeight="1" s="18">
      <c r="A677" s="9" t="n"/>
      <c r="B677" s="9" t="n"/>
      <c r="C677" s="9" t="n"/>
      <c r="D677" s="11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</row>
    <row r="678" ht="15.75" customHeight="1" s="18">
      <c r="A678" s="9" t="n"/>
      <c r="B678" s="9" t="n"/>
      <c r="C678" s="9" t="n"/>
      <c r="D678" s="11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</row>
    <row r="679" ht="15.75" customHeight="1" s="18">
      <c r="A679" s="9" t="n"/>
      <c r="B679" s="9" t="n"/>
      <c r="C679" s="9" t="n"/>
      <c r="D679" s="11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</row>
    <row r="680" ht="15.75" customHeight="1" s="18">
      <c r="A680" s="9" t="n"/>
      <c r="B680" s="9" t="n"/>
      <c r="C680" s="9" t="n"/>
      <c r="D680" s="11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</row>
    <row r="681" ht="15.75" customHeight="1" s="18">
      <c r="A681" s="9" t="n"/>
      <c r="B681" s="9" t="n"/>
      <c r="C681" s="9" t="n"/>
      <c r="D681" s="11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</row>
    <row r="682" ht="15.75" customHeight="1" s="18">
      <c r="A682" s="9" t="n"/>
      <c r="B682" s="9" t="n"/>
      <c r="C682" s="9" t="n"/>
      <c r="D682" s="11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</row>
    <row r="683" ht="15.75" customHeight="1" s="18">
      <c r="A683" s="9" t="n"/>
      <c r="B683" s="9" t="n"/>
      <c r="C683" s="9" t="n"/>
      <c r="D683" s="11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</row>
    <row r="684" ht="15.75" customHeight="1" s="18">
      <c r="A684" s="9" t="n"/>
      <c r="B684" s="9" t="n"/>
      <c r="C684" s="9" t="n"/>
      <c r="D684" s="11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</row>
    <row r="685" ht="15.75" customHeight="1" s="18">
      <c r="A685" s="9" t="n"/>
      <c r="B685" s="9" t="n"/>
      <c r="C685" s="9" t="n"/>
      <c r="D685" s="11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</row>
    <row r="686" ht="15.75" customHeight="1" s="18">
      <c r="A686" s="9" t="n"/>
      <c r="B686" s="9" t="n"/>
      <c r="C686" s="9" t="n"/>
      <c r="D686" s="11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</row>
    <row r="687" ht="15.75" customHeight="1" s="18">
      <c r="A687" s="9" t="n"/>
      <c r="B687" s="9" t="n"/>
      <c r="C687" s="9" t="n"/>
      <c r="D687" s="11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</row>
    <row r="688" ht="15.75" customHeight="1" s="18">
      <c r="A688" s="9" t="n"/>
      <c r="B688" s="9" t="n"/>
      <c r="C688" s="9" t="n"/>
      <c r="D688" s="11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</row>
    <row r="689" ht="15.75" customHeight="1" s="18">
      <c r="A689" s="9" t="n"/>
      <c r="B689" s="9" t="n"/>
      <c r="C689" s="9" t="n"/>
      <c r="D689" s="11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</row>
    <row r="690" ht="15.75" customHeight="1" s="18">
      <c r="A690" s="9" t="n"/>
      <c r="B690" s="9" t="n"/>
      <c r="C690" s="9" t="n"/>
      <c r="D690" s="11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</row>
    <row r="691" ht="15.75" customHeight="1" s="18">
      <c r="A691" s="9" t="n"/>
      <c r="B691" s="9" t="n"/>
      <c r="C691" s="9" t="n"/>
      <c r="D691" s="11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</row>
    <row r="692" ht="15.75" customHeight="1" s="18">
      <c r="A692" s="9" t="n"/>
      <c r="B692" s="9" t="n"/>
      <c r="C692" s="9" t="n"/>
      <c r="D692" s="11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</row>
    <row r="693" ht="15.75" customHeight="1" s="18">
      <c r="A693" s="9" t="n"/>
      <c r="B693" s="9" t="n"/>
      <c r="C693" s="9" t="n"/>
      <c r="D693" s="11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</row>
    <row r="694" ht="15.75" customHeight="1" s="18">
      <c r="A694" s="9" t="n"/>
      <c r="B694" s="9" t="n"/>
      <c r="C694" s="9" t="n"/>
      <c r="D694" s="11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</row>
    <row r="695" ht="15.75" customHeight="1" s="18">
      <c r="A695" s="9" t="n"/>
      <c r="B695" s="9" t="n"/>
      <c r="C695" s="9" t="n"/>
      <c r="D695" s="11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</row>
    <row r="696" ht="15.75" customHeight="1" s="18">
      <c r="A696" s="9" t="n"/>
      <c r="B696" s="9" t="n"/>
      <c r="C696" s="9" t="n"/>
      <c r="D696" s="11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</row>
    <row r="697" ht="15.75" customHeight="1" s="18">
      <c r="A697" s="9" t="n"/>
      <c r="B697" s="9" t="n"/>
      <c r="C697" s="9" t="n"/>
      <c r="D697" s="11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</row>
    <row r="698" ht="15.75" customHeight="1" s="18">
      <c r="A698" s="9" t="n"/>
      <c r="B698" s="9" t="n"/>
      <c r="C698" s="9" t="n"/>
      <c r="D698" s="11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</row>
    <row r="699" ht="15.75" customHeight="1" s="18">
      <c r="A699" s="9" t="n"/>
      <c r="B699" s="9" t="n"/>
      <c r="C699" s="9" t="n"/>
      <c r="D699" s="11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</row>
    <row r="700" ht="15.75" customHeight="1" s="18">
      <c r="A700" s="9" t="n"/>
      <c r="B700" s="9" t="n"/>
      <c r="C700" s="9" t="n"/>
      <c r="D700" s="11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</row>
    <row r="701" ht="15.75" customHeight="1" s="18">
      <c r="A701" s="9" t="n"/>
      <c r="B701" s="9" t="n"/>
      <c r="C701" s="9" t="n"/>
      <c r="D701" s="11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</row>
    <row r="702" ht="15.75" customHeight="1" s="18">
      <c r="A702" s="9" t="n"/>
      <c r="B702" s="9" t="n"/>
      <c r="C702" s="9" t="n"/>
      <c r="D702" s="11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</row>
    <row r="703" ht="15.75" customHeight="1" s="18">
      <c r="A703" s="9" t="n"/>
      <c r="B703" s="9" t="n"/>
      <c r="C703" s="9" t="n"/>
      <c r="D703" s="11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</row>
    <row r="704" ht="15.75" customHeight="1" s="18">
      <c r="A704" s="9" t="n"/>
      <c r="B704" s="9" t="n"/>
      <c r="C704" s="9" t="n"/>
      <c r="D704" s="11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</row>
    <row r="705" ht="15.75" customHeight="1" s="18">
      <c r="A705" s="9" t="n"/>
      <c r="B705" s="9" t="n"/>
      <c r="C705" s="9" t="n"/>
      <c r="D705" s="11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</row>
    <row r="706" ht="15.75" customHeight="1" s="18">
      <c r="A706" s="9" t="n"/>
      <c r="B706" s="9" t="n"/>
      <c r="C706" s="9" t="n"/>
      <c r="D706" s="11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</row>
    <row r="707" ht="15.75" customHeight="1" s="18">
      <c r="A707" s="9" t="n"/>
      <c r="B707" s="9" t="n"/>
      <c r="C707" s="9" t="n"/>
      <c r="D707" s="11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</row>
    <row r="708" ht="15.75" customHeight="1" s="18">
      <c r="A708" s="9" t="n"/>
      <c r="B708" s="9" t="n"/>
      <c r="C708" s="9" t="n"/>
      <c r="D708" s="11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</row>
    <row r="709" ht="15.75" customHeight="1" s="18">
      <c r="A709" s="9" t="n"/>
      <c r="B709" s="9" t="n"/>
      <c r="C709" s="9" t="n"/>
      <c r="D709" s="11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</row>
    <row r="710" ht="15.75" customHeight="1" s="18">
      <c r="A710" s="9" t="n"/>
      <c r="B710" s="9" t="n"/>
      <c r="C710" s="9" t="n"/>
      <c r="D710" s="11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</row>
    <row r="711" ht="15.75" customHeight="1" s="18">
      <c r="A711" s="9" t="n"/>
      <c r="B711" s="9" t="n"/>
      <c r="C711" s="9" t="n"/>
      <c r="D711" s="11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</row>
    <row r="712" ht="15.75" customHeight="1" s="18">
      <c r="A712" s="9" t="n"/>
      <c r="B712" s="9" t="n"/>
      <c r="C712" s="9" t="n"/>
      <c r="D712" s="11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</row>
    <row r="713" ht="15.75" customHeight="1" s="18">
      <c r="A713" s="9" t="n"/>
      <c r="B713" s="9" t="n"/>
      <c r="C713" s="9" t="n"/>
      <c r="D713" s="11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</row>
    <row r="714" ht="15.75" customHeight="1" s="18">
      <c r="A714" s="9" t="n"/>
      <c r="B714" s="9" t="n"/>
      <c r="C714" s="9" t="n"/>
      <c r="D714" s="11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</row>
    <row r="715" ht="15.75" customHeight="1" s="18">
      <c r="A715" s="9" t="n"/>
      <c r="B715" s="9" t="n"/>
      <c r="C715" s="9" t="n"/>
      <c r="D715" s="11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</row>
    <row r="716" ht="15.75" customHeight="1" s="18">
      <c r="A716" s="9" t="n"/>
      <c r="B716" s="9" t="n"/>
      <c r="C716" s="9" t="n"/>
      <c r="D716" s="11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</row>
    <row r="717" ht="15.75" customHeight="1" s="18">
      <c r="A717" s="9" t="n"/>
      <c r="B717" s="9" t="n"/>
      <c r="C717" s="9" t="n"/>
      <c r="D717" s="11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</row>
    <row r="718" ht="15.75" customHeight="1" s="18">
      <c r="A718" s="9" t="n"/>
      <c r="B718" s="9" t="n"/>
      <c r="C718" s="9" t="n"/>
      <c r="D718" s="11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</row>
    <row r="719" ht="15.75" customHeight="1" s="18">
      <c r="A719" s="9" t="n"/>
      <c r="B719" s="9" t="n"/>
      <c r="C719" s="9" t="n"/>
      <c r="D719" s="11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</row>
    <row r="720" ht="15.75" customHeight="1" s="18">
      <c r="A720" s="9" t="n"/>
      <c r="B720" s="9" t="n"/>
      <c r="C720" s="9" t="n"/>
      <c r="D720" s="11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</row>
    <row r="721" ht="15.75" customHeight="1" s="18">
      <c r="A721" s="9" t="n"/>
      <c r="B721" s="9" t="n"/>
      <c r="C721" s="9" t="n"/>
      <c r="D721" s="11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</row>
    <row r="722" ht="15.75" customHeight="1" s="18">
      <c r="A722" s="9" t="n"/>
      <c r="B722" s="9" t="n"/>
      <c r="C722" s="9" t="n"/>
      <c r="D722" s="11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</row>
    <row r="723" ht="15.75" customHeight="1" s="18">
      <c r="A723" s="9" t="n"/>
      <c r="B723" s="9" t="n"/>
      <c r="C723" s="9" t="n"/>
      <c r="D723" s="11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</row>
    <row r="724" ht="15.75" customHeight="1" s="18">
      <c r="A724" s="9" t="n"/>
      <c r="B724" s="9" t="n"/>
      <c r="C724" s="9" t="n"/>
      <c r="D724" s="11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</row>
    <row r="725" ht="15.75" customHeight="1" s="18">
      <c r="A725" s="9" t="n"/>
      <c r="B725" s="9" t="n"/>
      <c r="C725" s="9" t="n"/>
      <c r="D725" s="11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</row>
    <row r="726" ht="15.75" customHeight="1" s="18">
      <c r="A726" s="9" t="n"/>
      <c r="B726" s="9" t="n"/>
      <c r="C726" s="9" t="n"/>
      <c r="D726" s="11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</row>
    <row r="727" ht="15.75" customHeight="1" s="18">
      <c r="A727" s="9" t="n"/>
      <c r="B727" s="9" t="n"/>
      <c r="C727" s="9" t="n"/>
      <c r="D727" s="11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</row>
    <row r="728" ht="15.75" customHeight="1" s="18">
      <c r="A728" s="9" t="n"/>
      <c r="B728" s="9" t="n"/>
      <c r="C728" s="9" t="n"/>
      <c r="D728" s="11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</row>
    <row r="729" ht="15.75" customHeight="1" s="18">
      <c r="A729" s="9" t="n"/>
      <c r="B729" s="9" t="n"/>
      <c r="C729" s="9" t="n"/>
      <c r="D729" s="11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</row>
    <row r="730" ht="15.75" customHeight="1" s="18">
      <c r="A730" s="9" t="n"/>
      <c r="B730" s="9" t="n"/>
      <c r="C730" s="9" t="n"/>
      <c r="D730" s="11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</row>
    <row r="731" ht="15.75" customHeight="1" s="18">
      <c r="A731" s="9" t="n"/>
      <c r="B731" s="9" t="n"/>
      <c r="C731" s="9" t="n"/>
      <c r="D731" s="11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</row>
    <row r="732" ht="15.75" customHeight="1" s="18">
      <c r="A732" s="9" t="n"/>
      <c r="B732" s="9" t="n"/>
      <c r="C732" s="9" t="n"/>
      <c r="D732" s="11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</row>
    <row r="733" ht="15.75" customHeight="1" s="18">
      <c r="A733" s="9" t="n"/>
      <c r="B733" s="9" t="n"/>
      <c r="C733" s="9" t="n"/>
      <c r="D733" s="11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</row>
    <row r="734" ht="15.75" customHeight="1" s="18">
      <c r="A734" s="9" t="n"/>
      <c r="B734" s="9" t="n"/>
      <c r="C734" s="9" t="n"/>
      <c r="D734" s="11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</row>
    <row r="735" ht="15.75" customHeight="1" s="18">
      <c r="A735" s="9" t="n"/>
      <c r="B735" s="9" t="n"/>
      <c r="C735" s="9" t="n"/>
      <c r="D735" s="11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</row>
    <row r="736" ht="15.75" customHeight="1" s="18">
      <c r="A736" s="9" t="n"/>
      <c r="B736" s="9" t="n"/>
      <c r="C736" s="9" t="n"/>
      <c r="D736" s="11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</row>
    <row r="737" ht="15.75" customHeight="1" s="18">
      <c r="A737" s="9" t="n"/>
      <c r="B737" s="9" t="n"/>
      <c r="C737" s="9" t="n"/>
      <c r="D737" s="11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</row>
    <row r="738" ht="15.75" customHeight="1" s="18">
      <c r="A738" s="9" t="n"/>
      <c r="B738" s="9" t="n"/>
      <c r="C738" s="9" t="n"/>
      <c r="D738" s="11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</row>
    <row r="739" ht="15.75" customHeight="1" s="18">
      <c r="A739" s="9" t="n"/>
      <c r="B739" s="9" t="n"/>
      <c r="C739" s="9" t="n"/>
      <c r="D739" s="11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</row>
    <row r="740" ht="15.75" customHeight="1" s="18">
      <c r="A740" s="9" t="n"/>
      <c r="B740" s="9" t="n"/>
      <c r="C740" s="9" t="n"/>
      <c r="D740" s="11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</row>
    <row r="741" ht="15.75" customHeight="1" s="18">
      <c r="A741" s="9" t="n"/>
      <c r="B741" s="9" t="n"/>
      <c r="C741" s="9" t="n"/>
      <c r="D741" s="11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</row>
    <row r="742" ht="15.75" customHeight="1" s="18">
      <c r="A742" s="9" t="n"/>
      <c r="B742" s="9" t="n"/>
      <c r="C742" s="9" t="n"/>
      <c r="D742" s="11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</row>
    <row r="743" ht="15.75" customHeight="1" s="18">
      <c r="A743" s="9" t="n"/>
      <c r="B743" s="9" t="n"/>
      <c r="C743" s="9" t="n"/>
      <c r="D743" s="11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</row>
    <row r="744" ht="15.75" customHeight="1" s="18">
      <c r="A744" s="9" t="n"/>
      <c r="B744" s="9" t="n"/>
      <c r="C744" s="9" t="n"/>
      <c r="D744" s="11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</row>
    <row r="745" ht="15.75" customHeight="1" s="18">
      <c r="A745" s="9" t="n"/>
      <c r="B745" s="9" t="n"/>
      <c r="C745" s="9" t="n"/>
      <c r="D745" s="11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</row>
    <row r="746" ht="15.75" customHeight="1" s="18">
      <c r="A746" s="9" t="n"/>
      <c r="B746" s="9" t="n"/>
      <c r="C746" s="9" t="n"/>
      <c r="D746" s="11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</row>
    <row r="747" ht="15.75" customHeight="1" s="18">
      <c r="A747" s="9" t="n"/>
      <c r="B747" s="9" t="n"/>
      <c r="C747" s="9" t="n"/>
      <c r="D747" s="11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</row>
    <row r="748" ht="15.75" customHeight="1" s="18">
      <c r="A748" s="9" t="n"/>
      <c r="B748" s="9" t="n"/>
      <c r="C748" s="9" t="n"/>
      <c r="D748" s="11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</row>
    <row r="749" ht="15.75" customHeight="1" s="18">
      <c r="A749" s="9" t="n"/>
      <c r="B749" s="9" t="n"/>
      <c r="C749" s="9" t="n"/>
      <c r="D749" s="11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</row>
    <row r="750" ht="15.75" customHeight="1" s="18">
      <c r="A750" s="9" t="n"/>
      <c r="B750" s="9" t="n"/>
      <c r="C750" s="9" t="n"/>
      <c r="D750" s="11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</row>
    <row r="751" ht="15.75" customHeight="1" s="18">
      <c r="A751" s="9" t="n"/>
      <c r="B751" s="9" t="n"/>
      <c r="C751" s="9" t="n"/>
      <c r="D751" s="11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</row>
    <row r="752" ht="15.75" customHeight="1" s="18">
      <c r="A752" s="9" t="n"/>
      <c r="B752" s="9" t="n"/>
      <c r="C752" s="9" t="n"/>
      <c r="D752" s="11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</row>
    <row r="753" ht="15.75" customHeight="1" s="18">
      <c r="A753" s="9" t="n"/>
      <c r="B753" s="9" t="n"/>
      <c r="C753" s="9" t="n"/>
      <c r="D753" s="11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</row>
    <row r="754" ht="15.75" customHeight="1" s="18">
      <c r="A754" s="9" t="n"/>
      <c r="B754" s="9" t="n"/>
      <c r="C754" s="9" t="n"/>
      <c r="D754" s="11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</row>
    <row r="755" ht="15.75" customHeight="1" s="18">
      <c r="A755" s="9" t="n"/>
      <c r="B755" s="9" t="n"/>
      <c r="C755" s="9" t="n"/>
      <c r="D755" s="11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</row>
    <row r="756" ht="15.75" customHeight="1" s="18">
      <c r="A756" s="9" t="n"/>
      <c r="B756" s="9" t="n"/>
      <c r="C756" s="9" t="n"/>
      <c r="D756" s="11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</row>
    <row r="757" ht="15.75" customHeight="1" s="18">
      <c r="A757" s="9" t="n"/>
      <c r="B757" s="9" t="n"/>
      <c r="C757" s="9" t="n"/>
      <c r="D757" s="11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</row>
    <row r="758" ht="15.75" customHeight="1" s="18">
      <c r="A758" s="9" t="n"/>
      <c r="B758" s="9" t="n"/>
      <c r="C758" s="9" t="n"/>
      <c r="D758" s="11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</row>
    <row r="759" ht="15.75" customHeight="1" s="18">
      <c r="A759" s="9" t="n"/>
      <c r="B759" s="9" t="n"/>
      <c r="C759" s="9" t="n"/>
      <c r="D759" s="11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</row>
    <row r="760" ht="15.75" customHeight="1" s="18">
      <c r="A760" s="9" t="n"/>
      <c r="B760" s="9" t="n"/>
      <c r="C760" s="9" t="n"/>
      <c r="D760" s="11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</row>
    <row r="761" ht="15.75" customHeight="1" s="18">
      <c r="A761" s="9" t="n"/>
      <c r="B761" s="9" t="n"/>
      <c r="C761" s="9" t="n"/>
      <c r="D761" s="11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</row>
    <row r="762" ht="15.75" customHeight="1" s="18">
      <c r="A762" s="9" t="n"/>
      <c r="B762" s="9" t="n"/>
      <c r="C762" s="9" t="n"/>
      <c r="D762" s="11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</row>
    <row r="763" ht="15.75" customHeight="1" s="18">
      <c r="A763" s="9" t="n"/>
      <c r="B763" s="9" t="n"/>
      <c r="C763" s="9" t="n"/>
      <c r="D763" s="11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</row>
    <row r="764" ht="15.75" customHeight="1" s="18">
      <c r="A764" s="9" t="n"/>
      <c r="B764" s="9" t="n"/>
      <c r="C764" s="9" t="n"/>
      <c r="D764" s="11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</row>
    <row r="765" ht="15.75" customHeight="1" s="18">
      <c r="A765" s="9" t="n"/>
      <c r="B765" s="9" t="n"/>
      <c r="C765" s="9" t="n"/>
      <c r="D765" s="11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</row>
    <row r="766" ht="15.75" customHeight="1" s="18">
      <c r="A766" s="9" t="n"/>
      <c r="B766" s="9" t="n"/>
      <c r="C766" s="9" t="n"/>
      <c r="D766" s="11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</row>
    <row r="767" ht="15.75" customHeight="1" s="18">
      <c r="A767" s="9" t="n"/>
      <c r="B767" s="9" t="n"/>
      <c r="C767" s="9" t="n"/>
      <c r="D767" s="11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</row>
    <row r="768" ht="15.75" customHeight="1" s="18">
      <c r="A768" s="9" t="n"/>
      <c r="B768" s="9" t="n"/>
      <c r="C768" s="9" t="n"/>
      <c r="D768" s="11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</row>
    <row r="769" ht="15.75" customHeight="1" s="18">
      <c r="A769" s="9" t="n"/>
      <c r="B769" s="9" t="n"/>
      <c r="C769" s="9" t="n"/>
      <c r="D769" s="11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</row>
    <row r="770" ht="15.75" customHeight="1" s="18">
      <c r="A770" s="9" t="n"/>
      <c r="B770" s="9" t="n"/>
      <c r="C770" s="9" t="n"/>
      <c r="D770" s="11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</row>
    <row r="771" ht="15.75" customHeight="1" s="18">
      <c r="A771" s="9" t="n"/>
      <c r="B771" s="9" t="n"/>
      <c r="C771" s="9" t="n"/>
      <c r="D771" s="11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</row>
    <row r="772" ht="15.75" customHeight="1" s="18">
      <c r="A772" s="9" t="n"/>
      <c r="B772" s="9" t="n"/>
      <c r="C772" s="9" t="n"/>
      <c r="D772" s="11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</row>
    <row r="773" ht="15.75" customHeight="1" s="18">
      <c r="A773" s="9" t="n"/>
      <c r="B773" s="9" t="n"/>
      <c r="C773" s="9" t="n"/>
      <c r="D773" s="11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</row>
    <row r="774" ht="15.75" customHeight="1" s="18">
      <c r="A774" s="9" t="n"/>
      <c r="B774" s="9" t="n"/>
      <c r="C774" s="9" t="n"/>
      <c r="D774" s="11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</row>
    <row r="775" ht="15.75" customHeight="1" s="18">
      <c r="A775" s="9" t="n"/>
      <c r="B775" s="9" t="n"/>
      <c r="C775" s="9" t="n"/>
      <c r="D775" s="11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</row>
    <row r="776" ht="15.75" customHeight="1" s="18">
      <c r="A776" s="9" t="n"/>
      <c r="B776" s="9" t="n"/>
      <c r="C776" s="9" t="n"/>
      <c r="D776" s="11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</row>
    <row r="777" ht="15.75" customHeight="1" s="18">
      <c r="A777" s="9" t="n"/>
      <c r="B777" s="9" t="n"/>
      <c r="C777" s="9" t="n"/>
      <c r="D777" s="11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</row>
    <row r="778" ht="15.75" customHeight="1" s="18">
      <c r="A778" s="9" t="n"/>
      <c r="B778" s="9" t="n"/>
      <c r="C778" s="9" t="n"/>
      <c r="D778" s="11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</row>
    <row r="779" ht="15.75" customHeight="1" s="18">
      <c r="A779" s="9" t="n"/>
      <c r="B779" s="9" t="n"/>
      <c r="C779" s="9" t="n"/>
      <c r="D779" s="11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</row>
    <row r="780" ht="15.75" customHeight="1" s="18">
      <c r="A780" s="9" t="n"/>
      <c r="B780" s="9" t="n"/>
      <c r="C780" s="9" t="n"/>
      <c r="D780" s="11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</row>
    <row r="781" ht="15.75" customHeight="1" s="18">
      <c r="A781" s="9" t="n"/>
      <c r="B781" s="9" t="n"/>
      <c r="C781" s="9" t="n"/>
      <c r="D781" s="11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</row>
    <row r="782" ht="15.75" customHeight="1" s="18">
      <c r="A782" s="9" t="n"/>
      <c r="B782" s="9" t="n"/>
      <c r="C782" s="9" t="n"/>
      <c r="D782" s="11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</row>
    <row r="783" ht="15.75" customHeight="1" s="18">
      <c r="A783" s="9" t="n"/>
      <c r="B783" s="9" t="n"/>
      <c r="C783" s="9" t="n"/>
      <c r="D783" s="11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</row>
    <row r="784" ht="15.75" customHeight="1" s="18">
      <c r="A784" s="9" t="n"/>
      <c r="B784" s="9" t="n"/>
      <c r="C784" s="9" t="n"/>
      <c r="D784" s="11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</row>
    <row r="785" ht="15.75" customHeight="1" s="18">
      <c r="A785" s="9" t="n"/>
      <c r="B785" s="9" t="n"/>
      <c r="C785" s="9" t="n"/>
      <c r="D785" s="11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</row>
    <row r="786" ht="15.75" customHeight="1" s="18">
      <c r="A786" s="9" t="n"/>
      <c r="B786" s="9" t="n"/>
      <c r="C786" s="9" t="n"/>
      <c r="D786" s="11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</row>
    <row r="787" ht="15.75" customHeight="1" s="18">
      <c r="A787" s="9" t="n"/>
      <c r="B787" s="9" t="n"/>
      <c r="C787" s="9" t="n"/>
      <c r="D787" s="11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</row>
    <row r="788" ht="15.75" customHeight="1" s="18">
      <c r="A788" s="9" t="n"/>
      <c r="B788" s="9" t="n"/>
      <c r="C788" s="9" t="n"/>
      <c r="D788" s="11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</row>
    <row r="789" ht="15.75" customHeight="1" s="18">
      <c r="A789" s="9" t="n"/>
      <c r="B789" s="9" t="n"/>
      <c r="C789" s="9" t="n"/>
      <c r="D789" s="11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</row>
    <row r="790" ht="15.75" customHeight="1" s="18">
      <c r="A790" s="9" t="n"/>
      <c r="B790" s="9" t="n"/>
      <c r="C790" s="9" t="n"/>
      <c r="D790" s="11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</row>
    <row r="791" ht="15.75" customHeight="1" s="18">
      <c r="A791" s="9" t="n"/>
      <c r="B791" s="9" t="n"/>
      <c r="C791" s="9" t="n"/>
      <c r="D791" s="11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</row>
    <row r="792" ht="15.75" customHeight="1" s="18">
      <c r="A792" s="9" t="n"/>
      <c r="B792" s="9" t="n"/>
      <c r="C792" s="9" t="n"/>
      <c r="D792" s="11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</row>
    <row r="793" ht="15.75" customHeight="1" s="18">
      <c r="A793" s="9" t="n"/>
      <c r="B793" s="9" t="n"/>
      <c r="C793" s="9" t="n"/>
      <c r="D793" s="11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</row>
    <row r="794" ht="15.75" customHeight="1" s="18">
      <c r="A794" s="9" t="n"/>
      <c r="B794" s="9" t="n"/>
      <c r="C794" s="9" t="n"/>
      <c r="D794" s="11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</row>
    <row r="795" ht="15.75" customHeight="1" s="18">
      <c r="A795" s="9" t="n"/>
      <c r="B795" s="9" t="n"/>
      <c r="C795" s="9" t="n"/>
      <c r="D795" s="11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</row>
    <row r="796" ht="15.75" customHeight="1" s="18">
      <c r="A796" s="9" t="n"/>
      <c r="B796" s="9" t="n"/>
      <c r="C796" s="9" t="n"/>
      <c r="D796" s="11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</row>
    <row r="797" ht="15.75" customHeight="1" s="18">
      <c r="A797" s="9" t="n"/>
      <c r="B797" s="9" t="n"/>
      <c r="C797" s="9" t="n"/>
      <c r="D797" s="11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</row>
    <row r="798" ht="15.75" customHeight="1" s="18">
      <c r="A798" s="9" t="n"/>
      <c r="B798" s="9" t="n"/>
      <c r="C798" s="9" t="n"/>
      <c r="D798" s="11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</row>
    <row r="799" ht="15.75" customHeight="1" s="18">
      <c r="A799" s="9" t="n"/>
      <c r="B799" s="9" t="n"/>
      <c r="C799" s="9" t="n"/>
      <c r="D799" s="11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</row>
    <row r="800" ht="15.75" customHeight="1" s="18">
      <c r="A800" s="9" t="n"/>
      <c r="B800" s="9" t="n"/>
      <c r="C800" s="9" t="n"/>
      <c r="D800" s="11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</row>
    <row r="801" ht="15.75" customHeight="1" s="18">
      <c r="A801" s="9" t="n"/>
      <c r="B801" s="9" t="n"/>
      <c r="C801" s="9" t="n"/>
      <c r="D801" s="11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</row>
    <row r="802" ht="15.75" customHeight="1" s="18">
      <c r="A802" s="9" t="n"/>
      <c r="B802" s="9" t="n"/>
      <c r="C802" s="9" t="n"/>
      <c r="D802" s="11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</row>
    <row r="803" ht="15.75" customHeight="1" s="18">
      <c r="A803" s="9" t="n"/>
      <c r="B803" s="9" t="n"/>
      <c r="C803" s="9" t="n"/>
      <c r="D803" s="11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</row>
    <row r="804" ht="15.75" customHeight="1" s="18">
      <c r="A804" s="9" t="n"/>
      <c r="B804" s="9" t="n"/>
      <c r="C804" s="9" t="n"/>
      <c r="D804" s="11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</row>
    <row r="805" ht="15.75" customHeight="1" s="18">
      <c r="A805" s="9" t="n"/>
      <c r="B805" s="9" t="n"/>
      <c r="C805" s="9" t="n"/>
      <c r="D805" s="11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</row>
    <row r="806" ht="15.75" customHeight="1" s="18">
      <c r="A806" s="9" t="n"/>
      <c r="B806" s="9" t="n"/>
      <c r="C806" s="9" t="n"/>
      <c r="D806" s="11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</row>
    <row r="807" ht="15.75" customHeight="1" s="18">
      <c r="A807" s="9" t="n"/>
      <c r="B807" s="9" t="n"/>
      <c r="C807" s="9" t="n"/>
      <c r="D807" s="11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</row>
    <row r="808" ht="15.75" customHeight="1" s="18">
      <c r="A808" s="9" t="n"/>
      <c r="B808" s="9" t="n"/>
      <c r="C808" s="9" t="n"/>
      <c r="D808" s="11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</row>
    <row r="809" ht="15.75" customHeight="1" s="18">
      <c r="A809" s="9" t="n"/>
      <c r="B809" s="9" t="n"/>
      <c r="C809" s="9" t="n"/>
      <c r="D809" s="11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</row>
    <row r="810" ht="15.75" customHeight="1" s="18">
      <c r="A810" s="9" t="n"/>
      <c r="B810" s="9" t="n"/>
      <c r="C810" s="9" t="n"/>
      <c r="D810" s="11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</row>
    <row r="811" ht="15.75" customHeight="1" s="18">
      <c r="A811" s="9" t="n"/>
      <c r="B811" s="9" t="n"/>
      <c r="C811" s="9" t="n"/>
      <c r="D811" s="11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</row>
    <row r="812" ht="15.75" customHeight="1" s="18">
      <c r="A812" s="9" t="n"/>
      <c r="B812" s="9" t="n"/>
      <c r="C812" s="9" t="n"/>
      <c r="D812" s="11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</row>
    <row r="813" ht="15.75" customHeight="1" s="18">
      <c r="A813" s="9" t="n"/>
      <c r="B813" s="9" t="n"/>
      <c r="C813" s="9" t="n"/>
      <c r="D813" s="11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</row>
    <row r="814" ht="15.75" customHeight="1" s="18">
      <c r="A814" s="9" t="n"/>
      <c r="B814" s="9" t="n"/>
      <c r="C814" s="9" t="n"/>
      <c r="D814" s="11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</row>
    <row r="815" ht="15.75" customHeight="1" s="18">
      <c r="A815" s="9" t="n"/>
      <c r="B815" s="9" t="n"/>
      <c r="C815" s="9" t="n"/>
      <c r="D815" s="11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</row>
    <row r="816" ht="15.75" customHeight="1" s="18">
      <c r="A816" s="9" t="n"/>
      <c r="B816" s="9" t="n"/>
      <c r="C816" s="9" t="n"/>
      <c r="D816" s="11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</row>
    <row r="817" ht="15.75" customHeight="1" s="18">
      <c r="A817" s="9" t="n"/>
      <c r="B817" s="9" t="n"/>
      <c r="C817" s="9" t="n"/>
      <c r="D817" s="11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</row>
    <row r="818" ht="15.75" customHeight="1" s="18">
      <c r="A818" s="9" t="n"/>
      <c r="B818" s="9" t="n"/>
      <c r="C818" s="9" t="n"/>
      <c r="D818" s="11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</row>
    <row r="819" ht="15.75" customHeight="1" s="18">
      <c r="A819" s="9" t="n"/>
      <c r="B819" s="9" t="n"/>
      <c r="C819" s="9" t="n"/>
      <c r="D819" s="11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</row>
    <row r="820" ht="15.75" customHeight="1" s="18">
      <c r="A820" s="9" t="n"/>
      <c r="B820" s="9" t="n"/>
      <c r="C820" s="9" t="n"/>
      <c r="D820" s="11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</row>
    <row r="821" ht="15.75" customHeight="1" s="18">
      <c r="A821" s="9" t="n"/>
      <c r="B821" s="9" t="n"/>
      <c r="C821" s="9" t="n"/>
      <c r="D821" s="11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</row>
    <row r="822" ht="15.75" customHeight="1" s="18">
      <c r="A822" s="9" t="n"/>
      <c r="B822" s="9" t="n"/>
      <c r="C822" s="9" t="n"/>
      <c r="D822" s="11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</row>
    <row r="823" ht="15.75" customHeight="1" s="18">
      <c r="A823" s="9" t="n"/>
      <c r="B823" s="9" t="n"/>
      <c r="C823" s="9" t="n"/>
      <c r="D823" s="11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</row>
    <row r="824" ht="15.75" customHeight="1" s="18">
      <c r="A824" s="9" t="n"/>
      <c r="B824" s="9" t="n"/>
      <c r="C824" s="9" t="n"/>
      <c r="D824" s="11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</row>
    <row r="825" ht="15.75" customHeight="1" s="18">
      <c r="A825" s="9" t="n"/>
      <c r="B825" s="9" t="n"/>
      <c r="C825" s="9" t="n"/>
      <c r="D825" s="11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</row>
    <row r="826" ht="15.75" customHeight="1" s="18">
      <c r="A826" s="9" t="n"/>
      <c r="B826" s="9" t="n"/>
      <c r="C826" s="9" t="n"/>
      <c r="D826" s="11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</row>
    <row r="827" ht="15.75" customHeight="1" s="18">
      <c r="A827" s="9" t="n"/>
      <c r="B827" s="9" t="n"/>
      <c r="C827" s="9" t="n"/>
      <c r="D827" s="11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</row>
    <row r="828" ht="15.75" customHeight="1" s="18">
      <c r="A828" s="9" t="n"/>
      <c r="B828" s="9" t="n"/>
      <c r="C828" s="9" t="n"/>
      <c r="D828" s="11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</row>
    <row r="829" ht="15.75" customHeight="1" s="18">
      <c r="A829" s="9" t="n"/>
      <c r="B829" s="9" t="n"/>
      <c r="C829" s="9" t="n"/>
      <c r="D829" s="11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</row>
    <row r="830" ht="15.75" customHeight="1" s="18">
      <c r="A830" s="9" t="n"/>
      <c r="B830" s="9" t="n"/>
      <c r="C830" s="9" t="n"/>
      <c r="D830" s="11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</row>
    <row r="831" ht="15.75" customHeight="1" s="18">
      <c r="A831" s="9" t="n"/>
      <c r="B831" s="9" t="n"/>
      <c r="C831" s="9" t="n"/>
      <c r="D831" s="11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</row>
    <row r="832" ht="15.75" customHeight="1" s="18">
      <c r="A832" s="9" t="n"/>
      <c r="B832" s="9" t="n"/>
      <c r="C832" s="9" t="n"/>
      <c r="D832" s="11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</row>
    <row r="833" ht="15.75" customHeight="1" s="18">
      <c r="A833" s="9" t="n"/>
      <c r="B833" s="9" t="n"/>
      <c r="C833" s="9" t="n"/>
      <c r="D833" s="11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</row>
    <row r="834" ht="15.75" customHeight="1" s="18">
      <c r="A834" s="9" t="n"/>
      <c r="B834" s="9" t="n"/>
      <c r="C834" s="9" t="n"/>
      <c r="D834" s="11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</row>
    <row r="835" ht="15.75" customHeight="1" s="18">
      <c r="A835" s="9" t="n"/>
      <c r="B835" s="9" t="n"/>
      <c r="C835" s="9" t="n"/>
      <c r="D835" s="11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</row>
    <row r="836" ht="15.75" customHeight="1" s="18">
      <c r="A836" s="9" t="n"/>
      <c r="B836" s="9" t="n"/>
      <c r="C836" s="9" t="n"/>
      <c r="D836" s="11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</row>
    <row r="837" ht="15.75" customHeight="1" s="18">
      <c r="A837" s="9" t="n"/>
      <c r="B837" s="9" t="n"/>
      <c r="C837" s="9" t="n"/>
      <c r="D837" s="11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</row>
    <row r="838" ht="15.75" customHeight="1" s="18">
      <c r="A838" s="9" t="n"/>
      <c r="B838" s="9" t="n"/>
      <c r="C838" s="9" t="n"/>
      <c r="D838" s="11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</row>
    <row r="839" ht="15.75" customHeight="1" s="18">
      <c r="A839" s="9" t="n"/>
      <c r="B839" s="9" t="n"/>
      <c r="C839" s="9" t="n"/>
      <c r="D839" s="11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</row>
    <row r="840" ht="15.75" customHeight="1" s="18">
      <c r="A840" s="9" t="n"/>
      <c r="B840" s="9" t="n"/>
      <c r="C840" s="9" t="n"/>
      <c r="D840" s="11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</row>
    <row r="841" ht="15.75" customHeight="1" s="18">
      <c r="A841" s="9" t="n"/>
      <c r="B841" s="9" t="n"/>
      <c r="C841" s="9" t="n"/>
      <c r="D841" s="11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</row>
    <row r="842" ht="15.75" customHeight="1" s="18">
      <c r="A842" s="9" t="n"/>
      <c r="B842" s="9" t="n"/>
      <c r="C842" s="9" t="n"/>
      <c r="D842" s="11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</row>
    <row r="843" ht="15.75" customHeight="1" s="18">
      <c r="A843" s="9" t="n"/>
      <c r="B843" s="9" t="n"/>
      <c r="C843" s="9" t="n"/>
      <c r="D843" s="11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</row>
    <row r="844" ht="15.75" customHeight="1" s="18">
      <c r="A844" s="9" t="n"/>
      <c r="B844" s="9" t="n"/>
      <c r="C844" s="9" t="n"/>
      <c r="D844" s="11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</row>
    <row r="845" ht="15.75" customHeight="1" s="18">
      <c r="A845" s="9" t="n"/>
      <c r="B845" s="9" t="n"/>
      <c r="C845" s="9" t="n"/>
      <c r="D845" s="11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</row>
    <row r="846" ht="15.75" customHeight="1" s="18">
      <c r="A846" s="9" t="n"/>
      <c r="B846" s="9" t="n"/>
      <c r="C846" s="9" t="n"/>
      <c r="D846" s="11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</row>
    <row r="847" ht="15.75" customHeight="1" s="18">
      <c r="A847" s="9" t="n"/>
      <c r="B847" s="9" t="n"/>
      <c r="C847" s="9" t="n"/>
      <c r="D847" s="11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</row>
    <row r="848" ht="15.75" customHeight="1" s="18">
      <c r="A848" s="9" t="n"/>
      <c r="B848" s="9" t="n"/>
      <c r="C848" s="9" t="n"/>
      <c r="D848" s="11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</row>
    <row r="849" ht="15.75" customHeight="1" s="18">
      <c r="A849" s="9" t="n"/>
      <c r="B849" s="9" t="n"/>
      <c r="C849" s="9" t="n"/>
      <c r="D849" s="11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</row>
    <row r="850" ht="15.75" customHeight="1" s="18">
      <c r="A850" s="9" t="n"/>
      <c r="B850" s="9" t="n"/>
      <c r="C850" s="9" t="n"/>
      <c r="D850" s="11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</row>
    <row r="851" ht="15.75" customHeight="1" s="18">
      <c r="A851" s="9" t="n"/>
      <c r="B851" s="9" t="n"/>
      <c r="C851" s="9" t="n"/>
      <c r="D851" s="11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</row>
    <row r="852" ht="15.75" customHeight="1" s="18">
      <c r="A852" s="9" t="n"/>
      <c r="B852" s="9" t="n"/>
      <c r="C852" s="9" t="n"/>
      <c r="D852" s="11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</row>
    <row r="853" ht="15.75" customHeight="1" s="18">
      <c r="A853" s="9" t="n"/>
      <c r="B853" s="9" t="n"/>
      <c r="C853" s="9" t="n"/>
      <c r="D853" s="11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</row>
    <row r="854" ht="15.75" customHeight="1" s="18">
      <c r="A854" s="9" t="n"/>
      <c r="B854" s="9" t="n"/>
      <c r="C854" s="9" t="n"/>
      <c r="D854" s="11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</row>
    <row r="855" ht="15.75" customHeight="1" s="18">
      <c r="A855" s="9" t="n"/>
      <c r="B855" s="9" t="n"/>
      <c r="C855" s="9" t="n"/>
      <c r="D855" s="11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</row>
    <row r="856" ht="15.75" customHeight="1" s="18">
      <c r="A856" s="9" t="n"/>
      <c r="B856" s="9" t="n"/>
      <c r="C856" s="9" t="n"/>
      <c r="D856" s="11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</row>
    <row r="857" ht="15.75" customHeight="1" s="18">
      <c r="A857" s="9" t="n"/>
      <c r="B857" s="9" t="n"/>
      <c r="C857" s="9" t="n"/>
      <c r="D857" s="11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</row>
    <row r="858" ht="15.75" customHeight="1" s="18">
      <c r="A858" s="9" t="n"/>
      <c r="B858" s="9" t="n"/>
      <c r="C858" s="9" t="n"/>
      <c r="D858" s="11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</row>
    <row r="859" ht="15.75" customHeight="1" s="18">
      <c r="A859" s="9" t="n"/>
      <c r="B859" s="9" t="n"/>
      <c r="C859" s="9" t="n"/>
      <c r="D859" s="11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</row>
    <row r="860" ht="15.75" customHeight="1" s="18">
      <c r="A860" s="9" t="n"/>
      <c r="B860" s="9" t="n"/>
      <c r="C860" s="9" t="n"/>
      <c r="D860" s="11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</row>
    <row r="861" ht="15.75" customHeight="1" s="18">
      <c r="A861" s="9" t="n"/>
      <c r="B861" s="9" t="n"/>
      <c r="C861" s="9" t="n"/>
      <c r="D861" s="11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</row>
    <row r="862" ht="15.75" customHeight="1" s="18">
      <c r="A862" s="9" t="n"/>
      <c r="B862" s="9" t="n"/>
      <c r="C862" s="9" t="n"/>
      <c r="D862" s="11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</row>
    <row r="863" ht="15.75" customHeight="1" s="18">
      <c r="A863" s="9" t="n"/>
      <c r="B863" s="9" t="n"/>
      <c r="C863" s="9" t="n"/>
      <c r="D863" s="11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</row>
    <row r="864" ht="15.75" customHeight="1" s="18">
      <c r="A864" s="9" t="n"/>
      <c r="B864" s="9" t="n"/>
      <c r="C864" s="9" t="n"/>
      <c r="D864" s="11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</row>
    <row r="865" ht="15.75" customHeight="1" s="18">
      <c r="A865" s="9" t="n"/>
      <c r="B865" s="9" t="n"/>
      <c r="C865" s="9" t="n"/>
      <c r="D865" s="11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</row>
    <row r="866" ht="15.75" customHeight="1" s="18">
      <c r="A866" s="9" t="n"/>
      <c r="B866" s="9" t="n"/>
      <c r="C866" s="9" t="n"/>
      <c r="D866" s="11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</row>
    <row r="867" ht="15.75" customHeight="1" s="18">
      <c r="A867" s="9" t="n"/>
      <c r="B867" s="9" t="n"/>
      <c r="C867" s="9" t="n"/>
      <c r="D867" s="11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</row>
    <row r="868" ht="15.75" customHeight="1" s="18">
      <c r="A868" s="9" t="n"/>
      <c r="B868" s="9" t="n"/>
      <c r="C868" s="9" t="n"/>
      <c r="D868" s="11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</row>
    <row r="869" ht="15.75" customHeight="1" s="18">
      <c r="A869" s="9" t="n"/>
      <c r="B869" s="9" t="n"/>
      <c r="C869" s="9" t="n"/>
      <c r="D869" s="11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</row>
    <row r="870" ht="15.75" customHeight="1" s="18">
      <c r="A870" s="9" t="n"/>
      <c r="B870" s="9" t="n"/>
      <c r="C870" s="9" t="n"/>
      <c r="D870" s="11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</row>
    <row r="871" ht="15.75" customHeight="1" s="18">
      <c r="A871" s="9" t="n"/>
      <c r="B871" s="9" t="n"/>
      <c r="C871" s="9" t="n"/>
      <c r="D871" s="11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</row>
    <row r="872" ht="15.75" customHeight="1" s="18">
      <c r="A872" s="9" t="n"/>
      <c r="B872" s="9" t="n"/>
      <c r="C872" s="9" t="n"/>
      <c r="D872" s="11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</row>
    <row r="873" ht="15.75" customHeight="1" s="18">
      <c r="A873" s="9" t="n"/>
      <c r="B873" s="9" t="n"/>
      <c r="C873" s="9" t="n"/>
      <c r="D873" s="11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</row>
    <row r="874" ht="15.75" customHeight="1" s="18">
      <c r="A874" s="9" t="n"/>
      <c r="B874" s="9" t="n"/>
      <c r="C874" s="9" t="n"/>
      <c r="D874" s="11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</row>
    <row r="875" ht="15.75" customHeight="1" s="18">
      <c r="A875" s="9" t="n"/>
      <c r="B875" s="9" t="n"/>
      <c r="C875" s="9" t="n"/>
      <c r="D875" s="11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</row>
    <row r="876" ht="15.75" customHeight="1" s="18">
      <c r="A876" s="9" t="n"/>
      <c r="B876" s="9" t="n"/>
      <c r="C876" s="9" t="n"/>
      <c r="D876" s="11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</row>
    <row r="877" ht="15.75" customHeight="1" s="18">
      <c r="A877" s="9" t="n"/>
      <c r="B877" s="9" t="n"/>
      <c r="C877" s="9" t="n"/>
      <c r="D877" s="11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</row>
    <row r="878" ht="15.75" customHeight="1" s="18">
      <c r="A878" s="9" t="n"/>
      <c r="B878" s="9" t="n"/>
      <c r="C878" s="9" t="n"/>
      <c r="D878" s="11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</row>
    <row r="879" ht="15.75" customHeight="1" s="18">
      <c r="A879" s="9" t="n"/>
      <c r="B879" s="9" t="n"/>
      <c r="C879" s="9" t="n"/>
      <c r="D879" s="11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</row>
    <row r="880" ht="15.75" customHeight="1" s="18">
      <c r="A880" s="9" t="n"/>
      <c r="B880" s="9" t="n"/>
      <c r="C880" s="9" t="n"/>
      <c r="D880" s="11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</row>
    <row r="881" ht="15.75" customHeight="1" s="18">
      <c r="A881" s="9" t="n"/>
      <c r="B881" s="9" t="n"/>
      <c r="C881" s="9" t="n"/>
      <c r="D881" s="11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</row>
    <row r="882" ht="15.75" customHeight="1" s="18">
      <c r="A882" s="9" t="n"/>
      <c r="B882" s="9" t="n"/>
      <c r="C882" s="9" t="n"/>
      <c r="D882" s="11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</row>
    <row r="883" ht="15.75" customHeight="1" s="18">
      <c r="A883" s="9" t="n"/>
      <c r="B883" s="9" t="n"/>
      <c r="C883" s="9" t="n"/>
      <c r="D883" s="11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</row>
    <row r="884" ht="15.75" customHeight="1" s="18">
      <c r="A884" s="9" t="n"/>
      <c r="B884" s="9" t="n"/>
      <c r="C884" s="9" t="n"/>
      <c r="D884" s="11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</row>
    <row r="885" ht="15.75" customHeight="1" s="18">
      <c r="A885" s="9" t="n"/>
      <c r="B885" s="9" t="n"/>
      <c r="C885" s="9" t="n"/>
      <c r="D885" s="11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</row>
    <row r="886" ht="15.75" customHeight="1" s="18">
      <c r="A886" s="9" t="n"/>
      <c r="B886" s="9" t="n"/>
      <c r="C886" s="9" t="n"/>
      <c r="D886" s="11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</row>
    <row r="887" ht="15.75" customHeight="1" s="18">
      <c r="A887" s="9" t="n"/>
      <c r="B887" s="9" t="n"/>
      <c r="C887" s="9" t="n"/>
      <c r="D887" s="11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</row>
    <row r="888" ht="15.75" customHeight="1" s="18">
      <c r="A888" s="9" t="n"/>
      <c r="B888" s="9" t="n"/>
      <c r="C888" s="9" t="n"/>
      <c r="D888" s="11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</row>
    <row r="889" ht="15.75" customHeight="1" s="18">
      <c r="A889" s="9" t="n"/>
      <c r="B889" s="9" t="n"/>
      <c r="C889" s="9" t="n"/>
      <c r="D889" s="11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</row>
    <row r="890" ht="15.75" customHeight="1" s="18">
      <c r="A890" s="9" t="n"/>
      <c r="B890" s="9" t="n"/>
      <c r="C890" s="9" t="n"/>
      <c r="D890" s="11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</row>
    <row r="891" ht="15.75" customHeight="1" s="18">
      <c r="A891" s="9" t="n"/>
      <c r="B891" s="9" t="n"/>
      <c r="C891" s="9" t="n"/>
      <c r="D891" s="11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</row>
    <row r="892" ht="15.75" customHeight="1" s="18">
      <c r="A892" s="9" t="n"/>
      <c r="B892" s="9" t="n"/>
      <c r="C892" s="9" t="n"/>
      <c r="D892" s="11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</row>
    <row r="893" ht="15.75" customHeight="1" s="18">
      <c r="A893" s="9" t="n"/>
      <c r="B893" s="9" t="n"/>
      <c r="C893" s="9" t="n"/>
      <c r="D893" s="11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</row>
    <row r="894" ht="15.75" customHeight="1" s="18">
      <c r="A894" s="9" t="n"/>
      <c r="B894" s="9" t="n"/>
      <c r="C894" s="9" t="n"/>
      <c r="D894" s="11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</row>
    <row r="895" ht="15.75" customHeight="1" s="18">
      <c r="A895" s="9" t="n"/>
      <c r="B895" s="9" t="n"/>
      <c r="C895" s="9" t="n"/>
      <c r="D895" s="11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</row>
    <row r="896" ht="15.75" customHeight="1" s="18">
      <c r="A896" s="9" t="n"/>
      <c r="B896" s="9" t="n"/>
      <c r="C896" s="9" t="n"/>
      <c r="D896" s="11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</row>
    <row r="897" ht="15.75" customHeight="1" s="18">
      <c r="A897" s="9" t="n"/>
      <c r="B897" s="9" t="n"/>
      <c r="C897" s="9" t="n"/>
      <c r="D897" s="11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</row>
    <row r="898" ht="15.75" customHeight="1" s="18">
      <c r="A898" s="9" t="n"/>
      <c r="B898" s="9" t="n"/>
      <c r="C898" s="9" t="n"/>
      <c r="D898" s="11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</row>
    <row r="899" ht="15.75" customHeight="1" s="18">
      <c r="A899" s="9" t="n"/>
      <c r="B899" s="9" t="n"/>
      <c r="C899" s="9" t="n"/>
      <c r="D899" s="11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</row>
    <row r="900" ht="15.75" customHeight="1" s="18">
      <c r="A900" s="9" t="n"/>
      <c r="B900" s="9" t="n"/>
      <c r="C900" s="9" t="n"/>
      <c r="D900" s="11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</row>
    <row r="901" ht="15.75" customHeight="1" s="18">
      <c r="A901" s="9" t="n"/>
      <c r="B901" s="9" t="n"/>
      <c r="C901" s="9" t="n"/>
      <c r="D901" s="11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</row>
    <row r="902" ht="15.75" customHeight="1" s="18">
      <c r="A902" s="9" t="n"/>
      <c r="B902" s="9" t="n"/>
      <c r="C902" s="9" t="n"/>
      <c r="D902" s="11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</row>
    <row r="903" ht="15.75" customHeight="1" s="18">
      <c r="A903" s="9" t="n"/>
      <c r="B903" s="9" t="n"/>
      <c r="C903" s="9" t="n"/>
      <c r="D903" s="11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</row>
    <row r="904" ht="15.75" customHeight="1" s="18">
      <c r="A904" s="9" t="n"/>
      <c r="B904" s="9" t="n"/>
      <c r="C904" s="9" t="n"/>
      <c r="D904" s="11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</row>
    <row r="905" ht="15.75" customHeight="1" s="18">
      <c r="A905" s="9" t="n"/>
      <c r="B905" s="9" t="n"/>
      <c r="C905" s="9" t="n"/>
      <c r="D905" s="11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</row>
    <row r="906" ht="15.75" customHeight="1" s="18">
      <c r="A906" s="9" t="n"/>
      <c r="B906" s="9" t="n"/>
      <c r="C906" s="9" t="n"/>
      <c r="D906" s="11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</row>
    <row r="907" ht="15.75" customHeight="1" s="18">
      <c r="A907" s="9" t="n"/>
      <c r="B907" s="9" t="n"/>
      <c r="C907" s="9" t="n"/>
      <c r="D907" s="11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</row>
    <row r="908" ht="15.75" customHeight="1" s="18">
      <c r="A908" s="9" t="n"/>
      <c r="B908" s="9" t="n"/>
      <c r="C908" s="9" t="n"/>
      <c r="D908" s="11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</row>
    <row r="909" ht="15.75" customHeight="1" s="18">
      <c r="A909" s="9" t="n"/>
      <c r="B909" s="9" t="n"/>
      <c r="C909" s="9" t="n"/>
      <c r="D909" s="11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</row>
    <row r="910" ht="15.75" customHeight="1" s="18">
      <c r="A910" s="9" t="n"/>
      <c r="B910" s="9" t="n"/>
      <c r="C910" s="9" t="n"/>
      <c r="D910" s="11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</row>
    <row r="911" ht="15.75" customHeight="1" s="18">
      <c r="A911" s="9" t="n"/>
      <c r="B911" s="9" t="n"/>
      <c r="C911" s="9" t="n"/>
      <c r="D911" s="11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</row>
    <row r="912" ht="15.75" customHeight="1" s="18">
      <c r="A912" s="9" t="n"/>
      <c r="B912" s="9" t="n"/>
      <c r="C912" s="9" t="n"/>
      <c r="D912" s="11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</row>
    <row r="913" ht="15.75" customHeight="1" s="18">
      <c r="A913" s="9" t="n"/>
      <c r="B913" s="9" t="n"/>
      <c r="C913" s="9" t="n"/>
      <c r="D913" s="11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</row>
    <row r="914" ht="15.75" customHeight="1" s="18">
      <c r="A914" s="9" t="n"/>
      <c r="B914" s="9" t="n"/>
      <c r="C914" s="9" t="n"/>
      <c r="D914" s="11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</row>
    <row r="915" ht="15.75" customHeight="1" s="18">
      <c r="A915" s="9" t="n"/>
      <c r="B915" s="9" t="n"/>
      <c r="C915" s="9" t="n"/>
      <c r="D915" s="11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</row>
    <row r="916" ht="15.75" customHeight="1" s="18">
      <c r="A916" s="9" t="n"/>
      <c r="B916" s="9" t="n"/>
      <c r="C916" s="9" t="n"/>
      <c r="D916" s="11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</row>
    <row r="917" ht="15.75" customHeight="1" s="18">
      <c r="A917" s="9" t="n"/>
      <c r="B917" s="9" t="n"/>
      <c r="C917" s="9" t="n"/>
      <c r="D917" s="11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</row>
    <row r="918" ht="15.75" customHeight="1" s="18">
      <c r="A918" s="9" t="n"/>
      <c r="B918" s="9" t="n"/>
      <c r="C918" s="9" t="n"/>
      <c r="D918" s="11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</row>
    <row r="919" ht="15.75" customHeight="1" s="18">
      <c r="A919" s="9" t="n"/>
      <c r="B919" s="9" t="n"/>
      <c r="C919" s="9" t="n"/>
      <c r="D919" s="11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</row>
    <row r="920" ht="15.75" customHeight="1" s="18">
      <c r="A920" s="9" t="n"/>
      <c r="B920" s="9" t="n"/>
      <c r="C920" s="9" t="n"/>
      <c r="D920" s="11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</row>
    <row r="921" ht="15.75" customHeight="1" s="18">
      <c r="A921" s="9" t="n"/>
      <c r="B921" s="9" t="n"/>
      <c r="C921" s="9" t="n"/>
      <c r="D921" s="11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</row>
    <row r="922" ht="15.75" customHeight="1" s="18">
      <c r="A922" s="9" t="n"/>
      <c r="B922" s="9" t="n"/>
      <c r="C922" s="9" t="n"/>
      <c r="D922" s="11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</row>
    <row r="923" ht="15.75" customHeight="1" s="18">
      <c r="A923" s="9" t="n"/>
      <c r="B923" s="9" t="n"/>
      <c r="C923" s="9" t="n"/>
      <c r="D923" s="11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</row>
    <row r="924" ht="15.75" customHeight="1" s="18">
      <c r="A924" s="9" t="n"/>
      <c r="B924" s="9" t="n"/>
      <c r="C924" s="9" t="n"/>
      <c r="D924" s="11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</row>
    <row r="925" ht="15.75" customHeight="1" s="18">
      <c r="A925" s="9" t="n"/>
      <c r="B925" s="9" t="n"/>
      <c r="C925" s="9" t="n"/>
      <c r="D925" s="11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</row>
    <row r="926" ht="15.75" customHeight="1" s="18">
      <c r="A926" s="9" t="n"/>
      <c r="B926" s="9" t="n"/>
      <c r="C926" s="9" t="n"/>
      <c r="D926" s="11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</row>
    <row r="927" ht="15.75" customHeight="1" s="18">
      <c r="A927" s="9" t="n"/>
      <c r="B927" s="9" t="n"/>
      <c r="C927" s="9" t="n"/>
      <c r="D927" s="11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</row>
    <row r="928" ht="15.75" customHeight="1" s="18">
      <c r="A928" s="9" t="n"/>
      <c r="B928" s="9" t="n"/>
      <c r="C928" s="9" t="n"/>
      <c r="D928" s="11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</row>
    <row r="929" ht="15.75" customHeight="1" s="18">
      <c r="A929" s="9" t="n"/>
      <c r="B929" s="9" t="n"/>
      <c r="C929" s="9" t="n"/>
      <c r="D929" s="11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</row>
    <row r="930" ht="15.75" customHeight="1" s="18">
      <c r="A930" s="9" t="n"/>
      <c r="B930" s="9" t="n"/>
      <c r="C930" s="9" t="n"/>
      <c r="D930" s="11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</row>
    <row r="931" ht="15.75" customHeight="1" s="18">
      <c r="A931" s="9" t="n"/>
      <c r="B931" s="9" t="n"/>
      <c r="C931" s="9" t="n"/>
      <c r="D931" s="11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</row>
    <row r="932" ht="15.75" customHeight="1" s="18">
      <c r="A932" s="9" t="n"/>
      <c r="B932" s="9" t="n"/>
      <c r="C932" s="9" t="n"/>
      <c r="D932" s="11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</row>
    <row r="933" ht="15.75" customHeight="1" s="18">
      <c r="A933" s="9" t="n"/>
      <c r="B933" s="9" t="n"/>
      <c r="C933" s="9" t="n"/>
      <c r="D933" s="11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</row>
    <row r="934" ht="15.75" customHeight="1" s="18">
      <c r="A934" s="9" t="n"/>
      <c r="B934" s="9" t="n"/>
      <c r="C934" s="9" t="n"/>
      <c r="D934" s="11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</row>
    <row r="935" ht="15.75" customHeight="1" s="18">
      <c r="A935" s="9" t="n"/>
      <c r="B935" s="9" t="n"/>
      <c r="C935" s="9" t="n"/>
      <c r="D935" s="11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</row>
    <row r="936" ht="15.75" customHeight="1" s="18">
      <c r="A936" s="9" t="n"/>
      <c r="B936" s="9" t="n"/>
      <c r="C936" s="9" t="n"/>
      <c r="D936" s="11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</row>
    <row r="937" ht="15.75" customHeight="1" s="18">
      <c r="A937" s="9" t="n"/>
      <c r="B937" s="9" t="n"/>
      <c r="C937" s="9" t="n"/>
      <c r="D937" s="11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</row>
    <row r="938" ht="15.75" customHeight="1" s="18">
      <c r="A938" s="9" t="n"/>
      <c r="B938" s="9" t="n"/>
      <c r="C938" s="9" t="n"/>
      <c r="D938" s="11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</row>
    <row r="939" ht="15.75" customHeight="1" s="18">
      <c r="A939" s="9" t="n"/>
      <c r="B939" s="9" t="n"/>
      <c r="C939" s="9" t="n"/>
      <c r="D939" s="11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</row>
    <row r="940" ht="15.75" customHeight="1" s="18">
      <c r="A940" s="9" t="n"/>
      <c r="B940" s="9" t="n"/>
      <c r="C940" s="9" t="n"/>
      <c r="D940" s="11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</row>
    <row r="941" ht="15.75" customHeight="1" s="18">
      <c r="A941" s="9" t="n"/>
      <c r="B941" s="9" t="n"/>
      <c r="C941" s="9" t="n"/>
      <c r="D941" s="11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</row>
    <row r="942" ht="15.75" customHeight="1" s="18">
      <c r="A942" s="9" t="n"/>
      <c r="B942" s="9" t="n"/>
      <c r="C942" s="9" t="n"/>
      <c r="D942" s="11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</row>
    <row r="943" ht="15.75" customHeight="1" s="18">
      <c r="A943" s="9" t="n"/>
      <c r="B943" s="9" t="n"/>
      <c r="C943" s="9" t="n"/>
      <c r="D943" s="11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</row>
    <row r="944" ht="15.75" customHeight="1" s="18">
      <c r="A944" s="9" t="n"/>
      <c r="B944" s="9" t="n"/>
      <c r="C944" s="9" t="n"/>
      <c r="D944" s="11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</row>
    <row r="945" ht="15.75" customHeight="1" s="18">
      <c r="A945" s="9" t="n"/>
      <c r="B945" s="9" t="n"/>
      <c r="C945" s="9" t="n"/>
      <c r="D945" s="11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</row>
    <row r="946" ht="15.75" customHeight="1" s="18">
      <c r="A946" s="9" t="n"/>
      <c r="B946" s="9" t="n"/>
      <c r="C946" s="9" t="n"/>
      <c r="D946" s="11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</row>
    <row r="947" ht="15.75" customHeight="1" s="18">
      <c r="A947" s="9" t="n"/>
      <c r="B947" s="9" t="n"/>
      <c r="C947" s="9" t="n"/>
      <c r="D947" s="11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</row>
    <row r="948" ht="15.75" customHeight="1" s="18">
      <c r="A948" s="9" t="n"/>
      <c r="B948" s="9" t="n"/>
      <c r="C948" s="9" t="n"/>
      <c r="D948" s="11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</row>
    <row r="949" ht="15.75" customHeight="1" s="18">
      <c r="A949" s="9" t="n"/>
      <c r="B949" s="9" t="n"/>
      <c r="C949" s="9" t="n"/>
      <c r="D949" s="11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</row>
    <row r="950" ht="15.75" customHeight="1" s="18">
      <c r="A950" s="9" t="n"/>
      <c r="B950" s="9" t="n"/>
      <c r="C950" s="9" t="n"/>
      <c r="D950" s="11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</row>
    <row r="951" ht="15.75" customHeight="1" s="18">
      <c r="A951" s="9" t="n"/>
      <c r="B951" s="9" t="n"/>
      <c r="C951" s="9" t="n"/>
      <c r="D951" s="11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</row>
    <row r="952" ht="15.75" customHeight="1" s="18">
      <c r="A952" s="9" t="n"/>
      <c r="B952" s="9" t="n"/>
      <c r="C952" s="9" t="n"/>
      <c r="D952" s="11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</row>
    <row r="953" ht="15.75" customHeight="1" s="18">
      <c r="A953" s="9" t="n"/>
      <c r="B953" s="9" t="n"/>
      <c r="C953" s="9" t="n"/>
      <c r="D953" s="11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</row>
    <row r="954" ht="15.75" customHeight="1" s="18">
      <c r="A954" s="9" t="n"/>
      <c r="B954" s="9" t="n"/>
      <c r="C954" s="9" t="n"/>
      <c r="D954" s="11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</row>
    <row r="955" ht="15.75" customHeight="1" s="18">
      <c r="A955" s="9" t="n"/>
      <c r="B955" s="9" t="n"/>
      <c r="C955" s="9" t="n"/>
      <c r="D955" s="11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</row>
    <row r="956" ht="15.75" customHeight="1" s="18">
      <c r="A956" s="9" t="n"/>
      <c r="B956" s="9" t="n"/>
      <c r="C956" s="9" t="n"/>
      <c r="D956" s="11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</row>
    <row r="957" ht="15.75" customHeight="1" s="18">
      <c r="A957" s="9" t="n"/>
      <c r="B957" s="9" t="n"/>
      <c r="C957" s="9" t="n"/>
      <c r="D957" s="11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</row>
    <row r="958" ht="15.75" customHeight="1" s="18">
      <c r="A958" s="9" t="n"/>
      <c r="B958" s="9" t="n"/>
      <c r="C958" s="9" t="n"/>
      <c r="D958" s="11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</row>
    <row r="959" ht="15.75" customHeight="1" s="18">
      <c r="A959" s="9" t="n"/>
      <c r="B959" s="9" t="n"/>
      <c r="C959" s="9" t="n"/>
      <c r="D959" s="11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</row>
    <row r="960" ht="15.75" customHeight="1" s="18">
      <c r="A960" s="9" t="n"/>
      <c r="B960" s="9" t="n"/>
      <c r="C960" s="9" t="n"/>
      <c r="D960" s="11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</row>
    <row r="961" ht="15.75" customHeight="1" s="18">
      <c r="A961" s="9" t="n"/>
      <c r="B961" s="9" t="n"/>
      <c r="C961" s="9" t="n"/>
      <c r="D961" s="11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</row>
    <row r="962" ht="15.75" customHeight="1" s="18">
      <c r="A962" s="9" t="n"/>
      <c r="B962" s="9" t="n"/>
      <c r="C962" s="9" t="n"/>
      <c r="D962" s="11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</row>
    <row r="963" ht="15.75" customHeight="1" s="18">
      <c r="A963" s="9" t="n"/>
      <c r="B963" s="9" t="n"/>
      <c r="C963" s="9" t="n"/>
      <c r="D963" s="11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</row>
    <row r="964" ht="15.75" customHeight="1" s="18">
      <c r="A964" s="9" t="n"/>
      <c r="B964" s="9" t="n"/>
      <c r="C964" s="9" t="n"/>
      <c r="D964" s="11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</row>
    <row r="965" ht="15.75" customHeight="1" s="18">
      <c r="A965" s="9" t="n"/>
      <c r="B965" s="9" t="n"/>
      <c r="C965" s="9" t="n"/>
      <c r="D965" s="11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</row>
    <row r="966" ht="15.75" customHeight="1" s="18">
      <c r="A966" s="9" t="n"/>
      <c r="B966" s="9" t="n"/>
      <c r="C966" s="9" t="n"/>
      <c r="D966" s="11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</row>
    <row r="967" ht="15.75" customHeight="1" s="18">
      <c r="A967" s="9" t="n"/>
      <c r="B967" s="9" t="n"/>
      <c r="C967" s="9" t="n"/>
      <c r="D967" s="11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</row>
    <row r="968" ht="15.75" customHeight="1" s="18">
      <c r="A968" s="9" t="n"/>
      <c r="B968" s="9" t="n"/>
      <c r="C968" s="9" t="n"/>
      <c r="D968" s="11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</row>
    <row r="969" ht="15.75" customHeight="1" s="18">
      <c r="A969" s="9" t="n"/>
      <c r="B969" s="9" t="n"/>
      <c r="C969" s="9" t="n"/>
      <c r="D969" s="11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</row>
    <row r="970" ht="15.75" customHeight="1" s="18">
      <c r="A970" s="9" t="n"/>
      <c r="B970" s="9" t="n"/>
      <c r="C970" s="9" t="n"/>
      <c r="D970" s="11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</row>
    <row r="971" ht="15.75" customHeight="1" s="18">
      <c r="A971" s="9" t="n"/>
      <c r="B971" s="9" t="n"/>
      <c r="C971" s="9" t="n"/>
      <c r="D971" s="11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</row>
    <row r="972" ht="15.75" customHeight="1" s="18">
      <c r="A972" s="9" t="n"/>
      <c r="B972" s="9" t="n"/>
      <c r="C972" s="9" t="n"/>
      <c r="D972" s="11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</row>
    <row r="973" ht="15.75" customHeight="1" s="18">
      <c r="A973" s="9" t="n"/>
      <c r="B973" s="9" t="n"/>
      <c r="C973" s="9" t="n"/>
      <c r="D973" s="11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</row>
    <row r="974" ht="15.75" customHeight="1" s="18">
      <c r="A974" s="9" t="n"/>
      <c r="B974" s="9" t="n"/>
      <c r="C974" s="9" t="n"/>
      <c r="D974" s="11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</row>
    <row r="975" ht="15.75" customHeight="1" s="18">
      <c r="A975" s="9" t="n"/>
      <c r="B975" s="9" t="n"/>
      <c r="C975" s="9" t="n"/>
      <c r="D975" s="11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</row>
    <row r="976" ht="15.75" customHeight="1" s="18">
      <c r="A976" s="9" t="n"/>
      <c r="B976" s="9" t="n"/>
      <c r="C976" s="9" t="n"/>
      <c r="D976" s="11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</row>
    <row r="977" ht="15.75" customHeight="1" s="18">
      <c r="A977" s="9" t="n"/>
      <c r="B977" s="9" t="n"/>
      <c r="C977" s="9" t="n"/>
      <c r="D977" s="11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</row>
    <row r="978" ht="15.75" customHeight="1" s="18">
      <c r="A978" s="9" t="n"/>
      <c r="B978" s="9" t="n"/>
      <c r="C978" s="9" t="n"/>
      <c r="D978" s="11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</row>
    <row r="979" ht="15.75" customHeight="1" s="18">
      <c r="A979" s="9" t="n"/>
      <c r="B979" s="9" t="n"/>
      <c r="C979" s="9" t="n"/>
      <c r="D979" s="11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</row>
    <row r="980" ht="15.75" customHeight="1" s="18">
      <c r="A980" s="9" t="n"/>
      <c r="B980" s="9" t="n"/>
      <c r="C980" s="9" t="n"/>
      <c r="D980" s="11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</row>
    <row r="981" ht="15.75" customHeight="1" s="18">
      <c r="A981" s="9" t="n"/>
      <c r="B981" s="9" t="n"/>
      <c r="C981" s="9" t="n"/>
      <c r="D981" s="11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</row>
    <row r="982" ht="15.75" customHeight="1" s="18">
      <c r="A982" s="9" t="n"/>
      <c r="B982" s="9" t="n"/>
      <c r="C982" s="9" t="n"/>
      <c r="D982" s="11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</row>
    <row r="983" ht="15.75" customHeight="1" s="18">
      <c r="A983" s="9" t="n"/>
      <c r="B983" s="9" t="n"/>
      <c r="C983" s="9" t="n"/>
      <c r="D983" s="11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</row>
    <row r="984" ht="15.75" customHeight="1" s="18">
      <c r="A984" s="9" t="n"/>
      <c r="B984" s="9" t="n"/>
      <c r="C984" s="9" t="n"/>
      <c r="D984" s="11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</row>
    <row r="985" ht="15.75" customHeight="1" s="18">
      <c r="A985" s="9" t="n"/>
      <c r="B985" s="9" t="n"/>
      <c r="C985" s="9" t="n"/>
      <c r="D985" s="11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</row>
    <row r="986" ht="15.75" customHeight="1" s="18">
      <c r="A986" s="9" t="n"/>
      <c r="B986" s="9" t="n"/>
      <c r="C986" s="9" t="n"/>
      <c r="D986" s="11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</row>
    <row r="987" ht="15.75" customHeight="1" s="18">
      <c r="A987" s="9" t="n"/>
      <c r="B987" s="9" t="n"/>
      <c r="C987" s="9" t="n"/>
      <c r="D987" s="11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</row>
    <row r="988" ht="15.75" customHeight="1" s="18">
      <c r="A988" s="9" t="n"/>
      <c r="B988" s="9" t="n"/>
      <c r="C988" s="9" t="n"/>
      <c r="D988" s="11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</row>
    <row r="989" ht="15.75" customHeight="1" s="18">
      <c r="A989" s="9" t="n"/>
      <c r="B989" s="9" t="n"/>
      <c r="C989" s="9" t="n"/>
      <c r="D989" s="11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</row>
    <row r="990" ht="15.75" customHeight="1" s="18">
      <c r="A990" s="9" t="n"/>
      <c r="B990" s="9" t="n"/>
      <c r="C990" s="9" t="n"/>
      <c r="D990" s="11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</row>
    <row r="991" ht="15.75" customHeight="1" s="18">
      <c r="A991" s="9" t="n"/>
      <c r="B991" s="9" t="n"/>
      <c r="C991" s="9" t="n"/>
      <c r="D991" s="11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</row>
    <row r="992" ht="15.75" customHeight="1" s="18">
      <c r="A992" s="9" t="n"/>
      <c r="B992" s="9" t="n"/>
      <c r="C992" s="9" t="n"/>
      <c r="D992" s="11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</row>
    <row r="993" ht="15.75" customHeight="1" s="18">
      <c r="A993" s="9" t="n"/>
      <c r="B993" s="9" t="n"/>
      <c r="C993" s="9" t="n"/>
      <c r="D993" s="11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</row>
    <row r="994" ht="15.75" customHeight="1" s="18">
      <c r="A994" s="9" t="n"/>
      <c r="B994" s="9" t="n"/>
      <c r="C994" s="9" t="n"/>
      <c r="D994" s="11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</row>
    <row r="995" ht="15.75" customHeight="1" s="18">
      <c r="A995" s="9" t="n"/>
      <c r="B995" s="9" t="n"/>
      <c r="C995" s="9" t="n"/>
      <c r="D995" s="11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</row>
    <row r="996" ht="15.75" customHeight="1" s="18">
      <c r="A996" s="9" t="n"/>
      <c r="B996" s="9" t="n"/>
      <c r="C996" s="9" t="n"/>
      <c r="D996" s="11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</row>
    <row r="997" ht="15.75" customHeight="1" s="18">
      <c r="A997" s="9" t="n"/>
      <c r="B997" s="9" t="n"/>
      <c r="C997" s="9" t="n"/>
      <c r="D997" s="11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</row>
    <row r="998" ht="15.75" customHeight="1" s="18">
      <c r="A998" s="9" t="n"/>
      <c r="B998" s="9" t="n"/>
      <c r="C998" s="9" t="n"/>
      <c r="D998" s="11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</row>
    <row r="999" ht="15.75" customHeight="1" s="18">
      <c r="A999" s="9" t="n"/>
      <c r="B999" s="9" t="n"/>
      <c r="C999" s="9" t="n"/>
      <c r="D999" s="11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</row>
    <row r="1000" ht="15.75" customHeight="1" s="18">
      <c r="A1000" s="9" t="n"/>
      <c r="B1000" s="9" t="n"/>
      <c r="C1000" s="9" t="n"/>
      <c r="D1000" s="11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</row>
  </sheetData>
  <autoFilter ref="A1:K501"/>
  <conditionalFormatting sqref="G2:G501">
    <cfRule type="cellIs" priority="1" operator="equal" dxfId="12">
      <formula>"Open"</formula>
    </cfRule>
    <cfRule type="cellIs" priority="2" operator="equal" dxfId="10">
      <formula>"Doing"</formula>
    </cfRule>
    <cfRule type="cellIs" priority="3" operator="equal" dxfId="13">
      <formula>"Pending"</formula>
    </cfRule>
    <cfRule type="cellIs" priority="4" operator="equal" dxfId="9">
      <formula>"Bug"</formula>
    </cfRule>
    <cfRule type="cellIs" priority="5" operator="equal" dxfId="11">
      <formula>"Done"</formula>
    </cfRule>
  </conditionalFormatting>
  <conditionalFormatting sqref="K2:K501">
    <cfRule type="cellIs" priority="6" operator="equal" dxfId="9">
      <formula>"High"</formula>
    </cfRule>
    <cfRule type="cellIs" priority="7" operator="equal" dxfId="10">
      <formula>"Medium"</formula>
    </cfRule>
    <cfRule type="cellIs" priority="8" operator="equal" dxfId="11">
      <formula>"Low"</formula>
    </cfRule>
  </conditionalFormatting>
  <dataValidations count="4">
    <dataValidation sqref="E2:E501" showDropDown="0" showInputMessage="0" showErrorMessage="0" allowBlank="1" type="list">
      <formula1>HR!$C$2:$C$100</formula1>
    </dataValidation>
    <dataValidation sqref="B2:B501" showDropDown="0" showInputMessage="0" showErrorMessage="0" allowBlank="1" type="list">
      <formula1>Projects!$B$2:$B$100</formula1>
    </dataValidation>
    <dataValidation sqref="G2:G501" showDropDown="0" showInputMessage="0" showErrorMessage="0" allowBlank="1" type="list">
      <formula1>"Open,Doing,Pending,Bug,Done"</formula1>
    </dataValidation>
    <dataValidation sqref="K2:K501" showDropDown="0" showInputMessage="0" showErrorMessage="0" allowBlank="1" type="list">
      <formula1>"High,Medium,Low"</formula1>
    </dataValidation>
  </dataValidations>
  <pageMargins left="0.7" right="0.7" top="0.75" bottom="0.75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BA100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ColWidth="14.43" defaultRowHeight="15" customHeight="1"/>
  <cols>
    <col width="6" customWidth="1" style="18" min="1" max="1"/>
    <col width="12" customWidth="1" style="18" min="2" max="2"/>
    <col width="45" customWidth="1" style="18" min="3" max="3"/>
    <col width="20.86" customWidth="1" style="18" min="4" max="10"/>
    <col width="18" customWidth="1" style="18" min="11" max="53"/>
  </cols>
  <sheetData>
    <row r="1" ht="15" customHeight="1" s="18">
      <c r="A1" s="19" t="inlineStr">
        <is>
          <t>No</t>
        </is>
      </c>
      <c r="B1" s="19" t="inlineStr">
        <is>
          <t>Project ID</t>
        </is>
      </c>
      <c r="C1" s="19" t="inlineStr">
        <is>
          <t>Project Name</t>
        </is>
      </c>
      <c r="D1" s="19">
        <f t="array" ref="D1">IF(INDEX(HR!$B$2:$B$100,COLUMN()-3)="","",INDEX(HR!$B$2:$B$100,COLUMN()-3))</f>
        <v/>
      </c>
      <c r="E1" s="19">
        <f t="array" ref="E1">IF(INDEX(HR!$B$2:$B$100,COLUMN()-3)="","",INDEX(HR!$B$2:$B$100,COLUMN()-3))</f>
        <v/>
      </c>
      <c r="F1" s="19">
        <f t="array" ref="F1">IF(INDEX(HR!$B$2:$B$100,COLUMN()-3)="","",INDEX(HR!$B$2:$B$100,COLUMN()-3))</f>
        <v/>
      </c>
      <c r="G1" s="19">
        <f t="array" ref="G1">IF(INDEX(HR!$B$2:$B$100,COLUMN()-3)="","",INDEX(HR!$B$2:$B$100,COLUMN()-3))</f>
        <v/>
      </c>
      <c r="H1" s="19">
        <f t="array" ref="H1">IF(INDEX(HR!$B$2:$B$100,COLUMN()-3)="","",INDEX(HR!$B$2:$B$100,COLUMN()-3))</f>
        <v/>
      </c>
      <c r="I1" s="19">
        <f t="array" ref="I1">IF(INDEX(HR!$B$2:$B$100,COLUMN()-3)="","",INDEX(HR!$B$2:$B$100,COLUMN()-3))</f>
        <v/>
      </c>
      <c r="J1" s="19">
        <f t="array" ref="J1">IF(INDEX(HR!$B$2:$B$100,COLUMN()-3)="","",INDEX(HR!$B$2:$B$100,COLUMN()-3))</f>
        <v/>
      </c>
      <c r="K1" s="19">
        <f t="array" ref="K1">IF(INDEX(HR!$B$2:$B$100,COLUMN()-3)="","",INDEX(HR!$B$2:$B$100,COLUMN()-3))</f>
        <v/>
      </c>
      <c r="L1" s="19">
        <f t="array" ref="L1">IF(INDEX(HR!$B$2:$B$100,COLUMN()-3)="","",INDEX(HR!$B$2:$B$100,COLUMN()-3))</f>
        <v/>
      </c>
      <c r="M1" s="19">
        <f t="array" ref="M1">IF(INDEX(HR!$B$2:$B$100,COLUMN()-3)="","",INDEX(HR!$B$2:$B$100,COLUMN()-3))</f>
        <v/>
      </c>
      <c r="N1" s="19">
        <f t="array" ref="N1">IF(INDEX(HR!$B$2:$B$100,COLUMN()-3)="","",INDEX(HR!$B$2:$B$100,COLUMN()-3))</f>
        <v/>
      </c>
      <c r="O1" s="19">
        <f t="array" ref="O1">IF(INDEX(HR!$B$2:$B$100,COLUMN()-3)="","",INDEX(HR!$B$2:$B$100,COLUMN()-3))</f>
        <v/>
      </c>
      <c r="P1" s="19">
        <f t="array" ref="P1">IF(INDEX(HR!$B$2:$B$100,COLUMN()-3)="","",INDEX(HR!$B$2:$B$100,COLUMN()-3))</f>
        <v/>
      </c>
      <c r="Q1" s="19">
        <f t="array" ref="Q1">IF(INDEX(HR!$B$2:$B$100,COLUMN()-3)="","",INDEX(HR!$B$2:$B$100,COLUMN()-3))</f>
        <v/>
      </c>
      <c r="R1" s="19">
        <f t="array" ref="R1">IF(INDEX(HR!$B$2:$B$100,COLUMN()-3)="","",INDEX(HR!$B$2:$B$100,COLUMN()-3))</f>
        <v/>
      </c>
      <c r="S1" s="19">
        <f t="array" ref="S1">IF(INDEX(HR!$B$2:$B$100,COLUMN()-3)="","",INDEX(HR!$B$2:$B$100,COLUMN()-3))</f>
        <v/>
      </c>
      <c r="T1" s="19">
        <f t="array" ref="T1">IF(INDEX(HR!$B$2:$B$100,COLUMN()-3)="","",INDEX(HR!$B$2:$B$100,COLUMN()-3))</f>
        <v/>
      </c>
      <c r="U1" s="19">
        <f t="array" ref="U1">IF(INDEX(HR!$B$2:$B$100,COLUMN()-3)="","",INDEX(HR!$B$2:$B$100,COLUMN()-3))</f>
        <v/>
      </c>
      <c r="V1" s="19">
        <f t="array" ref="V1">IF(INDEX(HR!$B$2:$B$100,COLUMN()-3)="","",INDEX(HR!$B$2:$B$100,COLUMN()-3))</f>
        <v/>
      </c>
      <c r="W1" s="19">
        <f t="array" ref="W1">IF(INDEX(HR!$B$2:$B$100,COLUMN()-3)="","",INDEX(HR!$B$2:$B$100,COLUMN()-3))</f>
        <v/>
      </c>
      <c r="X1" s="19">
        <f t="array" ref="X1">IF(INDEX(HR!$B$2:$B$100,COLUMN()-3)="","",INDEX(HR!$B$2:$B$100,COLUMN()-3))</f>
        <v/>
      </c>
      <c r="Y1" s="19">
        <f t="array" ref="Y1">IF(INDEX(HR!$B$2:$B$100,COLUMN()-3)="","",INDEX(HR!$B$2:$B$100,COLUMN()-3))</f>
        <v/>
      </c>
      <c r="Z1" s="19">
        <f t="array" ref="Z1">IF(INDEX(HR!$B$2:$B$100,COLUMN()-3)="","",INDEX(HR!$B$2:$B$100,COLUMN()-3))</f>
        <v/>
      </c>
      <c r="AA1" s="19">
        <f t="array" ref="AA1">IF(INDEX(HR!$B$2:$B$100,COLUMN()-3)="","",INDEX(HR!$B$2:$B$100,COLUMN()-3))</f>
        <v/>
      </c>
      <c r="AB1" s="19">
        <f t="array" ref="AB1">IF(INDEX(HR!$B$2:$B$100,COLUMN()-3)="","",INDEX(HR!$B$2:$B$100,COLUMN()-3))</f>
        <v/>
      </c>
      <c r="AC1" s="19">
        <f t="array" ref="AC1">IF(INDEX(HR!$B$2:$B$100,COLUMN()-3)="","",INDEX(HR!$B$2:$B$100,COLUMN()-3))</f>
        <v/>
      </c>
      <c r="AD1" s="19">
        <f t="array" ref="AD1">IF(INDEX(HR!$B$2:$B$100,COLUMN()-3)="","",INDEX(HR!$B$2:$B$100,COLUMN()-3))</f>
        <v/>
      </c>
      <c r="AE1" s="19">
        <f t="array" ref="AE1">IF(INDEX(HR!$B$2:$B$100,COLUMN()-3)="","",INDEX(HR!$B$2:$B$100,COLUMN()-3))</f>
        <v/>
      </c>
      <c r="AF1" s="19">
        <f t="array" ref="AF1">IF(INDEX(HR!$B$2:$B$100,COLUMN()-3)="","",INDEX(HR!$B$2:$B$100,COLUMN()-3))</f>
        <v/>
      </c>
      <c r="AG1" s="19">
        <f t="array" ref="AG1">IF(INDEX(HR!$B$2:$B$100,COLUMN()-3)="","",INDEX(HR!$B$2:$B$100,COLUMN()-3))</f>
        <v/>
      </c>
      <c r="AH1" s="19">
        <f t="array" ref="AH1">IF(INDEX(HR!$B$2:$B$100,COLUMN()-3)="","",INDEX(HR!$B$2:$B$100,COLUMN()-3))</f>
        <v/>
      </c>
      <c r="AI1" s="19">
        <f t="array" ref="AI1">IF(INDEX(HR!$B$2:$B$100,COLUMN()-3)="","",INDEX(HR!$B$2:$B$100,COLUMN()-3))</f>
        <v/>
      </c>
      <c r="AJ1" s="19">
        <f t="array" ref="AJ1">IF(INDEX(HR!$B$2:$B$100,COLUMN()-3)="","",INDEX(HR!$B$2:$B$100,COLUMN()-3))</f>
        <v/>
      </c>
      <c r="AK1" s="19">
        <f t="array" ref="AK1">IF(INDEX(HR!$B$2:$B$100,COLUMN()-3)="","",INDEX(HR!$B$2:$B$100,COLUMN()-3))</f>
        <v/>
      </c>
      <c r="AL1" s="19">
        <f t="array" ref="AL1">IF(INDEX(HR!$B$2:$B$100,COLUMN()-3)="","",INDEX(HR!$B$2:$B$100,COLUMN()-3))</f>
        <v/>
      </c>
      <c r="AM1" s="19">
        <f t="array" ref="AM1">IF(INDEX(HR!$B$2:$B$100,COLUMN()-3)="","",INDEX(HR!$B$2:$B$100,COLUMN()-3))</f>
        <v/>
      </c>
      <c r="AN1" s="19">
        <f t="array" ref="AN1">IF(INDEX(HR!$B$2:$B$100,COLUMN()-3)="","",INDEX(HR!$B$2:$B$100,COLUMN()-3))</f>
        <v/>
      </c>
      <c r="AO1" s="19">
        <f t="array" ref="AO1">IF(INDEX(HR!$B$2:$B$100,COLUMN()-3)="","",INDEX(HR!$B$2:$B$100,COLUMN()-3))</f>
        <v/>
      </c>
      <c r="AP1" s="19">
        <f t="array" ref="AP1">IF(INDEX(HR!$B$2:$B$100,COLUMN()-3)="","",INDEX(HR!$B$2:$B$100,COLUMN()-3))</f>
        <v/>
      </c>
      <c r="AQ1" s="19">
        <f t="array" ref="AQ1">IF(INDEX(HR!$B$2:$B$100,COLUMN()-3)="","",INDEX(HR!$B$2:$B$100,COLUMN()-3))</f>
        <v/>
      </c>
      <c r="AR1" s="19">
        <f t="array" ref="AR1">IF(INDEX(HR!$B$2:$B$100,COLUMN()-3)="","",INDEX(HR!$B$2:$B$100,COLUMN()-3))</f>
        <v/>
      </c>
      <c r="AS1" s="19">
        <f t="array" ref="AS1">IF(INDEX(HR!$B$2:$B$100,COLUMN()-3)="","",INDEX(HR!$B$2:$B$100,COLUMN()-3))</f>
        <v/>
      </c>
      <c r="AT1" s="19">
        <f t="array" ref="AT1">IF(INDEX(HR!$B$2:$B$100,COLUMN()-3)="","",INDEX(HR!$B$2:$B$100,COLUMN()-3))</f>
        <v/>
      </c>
      <c r="AU1" s="19">
        <f t="array" ref="AU1">IF(INDEX(HR!$B$2:$B$100,COLUMN()-3)="","",INDEX(HR!$B$2:$B$100,COLUMN()-3))</f>
        <v/>
      </c>
      <c r="AV1" s="19">
        <f t="array" ref="AV1">IF(INDEX(HR!$B$2:$B$100,COLUMN()-3)="","",INDEX(HR!$B$2:$B$100,COLUMN()-3))</f>
        <v/>
      </c>
      <c r="AW1" s="19">
        <f t="array" ref="AW1">IF(INDEX(HR!$B$2:$B$100,COLUMN()-3)="","",INDEX(HR!$B$2:$B$100,COLUMN()-3))</f>
        <v/>
      </c>
      <c r="AX1" s="19">
        <f t="array" ref="AX1">IF(INDEX(HR!$B$2:$B$100,COLUMN()-3)="","",INDEX(HR!$B$2:$B$100,COLUMN()-3))</f>
        <v/>
      </c>
      <c r="AY1" s="19">
        <f t="array" ref="AY1">IF(INDEX(HR!$B$2:$B$100,COLUMN()-3)="","",INDEX(HR!$B$2:$B$100,COLUMN()-3))</f>
        <v/>
      </c>
      <c r="AZ1" s="19">
        <f t="array" ref="AZ1">IF(INDEX(HR!$B$2:$B$100,COLUMN()-3)="","",INDEX(HR!$B$2:$B$100,COLUMN()-3))</f>
        <v/>
      </c>
      <c r="BA1" s="19">
        <f t="array" ref="BA1">IF(INDEX(HR!$B$2:$B$100,COLUMN()-3)="","",INDEX(HR!$B$2:$B$100,COLUMN()-3))</f>
        <v/>
      </c>
    </row>
    <row r="2" ht="15" customHeight="1" s="18">
      <c r="A2" s="20">
        <f>IF(Projects!A2="","",Projects!A2)</f>
        <v/>
      </c>
      <c r="B2" s="20">
        <f>IF(Projects!B2="","",Projects!B2)</f>
        <v/>
      </c>
      <c r="C2" s="21">
        <f>IF(Projects!C2="","",Projects!C2)</f>
        <v/>
      </c>
      <c r="D2" s="20" t="n"/>
      <c r="E2" s="20" t="inlineStr">
        <is>
          <t>R</t>
        </is>
      </c>
      <c r="F2" s="20" t="n"/>
      <c r="G2" s="20" t="n"/>
      <c r="H2" s="20" t="n"/>
      <c r="I2" s="20" t="n"/>
      <c r="J2" s="20" t="n"/>
      <c r="K2" s="20" t="n"/>
      <c r="L2" s="20" t="n"/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  <c r="AA2" s="20" t="n"/>
      <c r="AB2" s="20" t="n"/>
      <c r="AC2" s="20" t="n"/>
      <c r="AD2" s="20" t="n"/>
      <c r="AE2" s="20" t="n"/>
      <c r="AF2" s="20" t="n"/>
      <c r="AG2" s="20" t="n"/>
      <c r="AH2" s="20" t="n"/>
      <c r="AI2" s="20" t="n"/>
      <c r="AJ2" s="20" t="n"/>
      <c r="AK2" s="20" t="n"/>
      <c r="AL2" s="20" t="n"/>
      <c r="AM2" s="20" t="n"/>
      <c r="AN2" s="20" t="n"/>
      <c r="AO2" s="20" t="n"/>
      <c r="AP2" s="20" t="n"/>
      <c r="AQ2" s="20" t="n"/>
      <c r="AR2" s="20" t="n"/>
      <c r="AS2" s="20" t="n"/>
      <c r="AT2" s="20" t="n"/>
      <c r="AU2" s="20" t="n"/>
      <c r="AV2" s="20" t="n"/>
      <c r="AW2" s="20" t="n"/>
      <c r="AX2" s="20" t="n"/>
      <c r="AY2" s="20" t="n"/>
      <c r="AZ2" s="20" t="n"/>
      <c r="BA2" s="20" t="n"/>
    </row>
    <row r="3" ht="15" customHeight="1" s="18">
      <c r="A3" s="20">
        <f>IF(Projects!A3="","",Projects!A3)</f>
        <v/>
      </c>
      <c r="B3" s="20">
        <f>IF(Projects!B3="","",Projects!B3)</f>
        <v/>
      </c>
      <c r="C3" s="21">
        <f>IF(Projects!C3="","",Projects!C3)</f>
        <v/>
      </c>
      <c r="D3" s="20" t="n"/>
      <c r="E3" s="20" t="inlineStr">
        <is>
          <t>R</t>
        </is>
      </c>
      <c r="F3" s="20" t="inlineStr">
        <is>
          <t>S</t>
        </is>
      </c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</row>
    <row r="4" ht="15" customHeight="1" s="18">
      <c r="A4" s="20">
        <f>IF(Projects!A4="","",Projects!A4)</f>
        <v/>
      </c>
      <c r="B4" s="20">
        <f>IF(Projects!B4="","",Projects!B4)</f>
        <v/>
      </c>
      <c r="C4" s="21">
        <f>IF(Projects!C4="","",Projects!C4)</f>
        <v/>
      </c>
      <c r="D4" s="20" t="inlineStr">
        <is>
          <t>R</t>
        </is>
      </c>
      <c r="E4" s="20" t="n"/>
      <c r="F4" s="20" t="n"/>
      <c r="G4" s="20" t="n"/>
      <c r="H4" s="20" t="n"/>
      <c r="I4" s="20" t="n"/>
      <c r="J4" s="20" t="n"/>
      <c r="K4" s="20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  <c r="AE4" s="20" t="n"/>
      <c r="AF4" s="20" t="n"/>
      <c r="AG4" s="20" t="n"/>
      <c r="AH4" s="20" t="n"/>
      <c r="AI4" s="20" t="n"/>
      <c r="AJ4" s="20" t="n"/>
      <c r="AK4" s="20" t="n"/>
      <c r="AL4" s="20" t="n"/>
      <c r="AM4" s="20" t="n"/>
      <c r="AN4" s="20" t="n"/>
      <c r="AO4" s="20" t="n"/>
      <c r="AP4" s="20" t="n"/>
      <c r="AQ4" s="20" t="n"/>
      <c r="AR4" s="20" t="n"/>
      <c r="AS4" s="20" t="n"/>
      <c r="AT4" s="20" t="n"/>
      <c r="AU4" s="20" t="n"/>
      <c r="AV4" s="20" t="n"/>
      <c r="AW4" s="20" t="n"/>
      <c r="AX4" s="20" t="n"/>
      <c r="AY4" s="20" t="n"/>
      <c r="AZ4" s="20" t="n"/>
      <c r="BA4" s="20" t="n"/>
    </row>
    <row r="5" ht="15" customHeight="1" s="18">
      <c r="A5" s="20">
        <f>IF(Projects!A5="","",Projects!A5)</f>
        <v/>
      </c>
      <c r="B5" s="20">
        <f>IF(Projects!B5="","",Projects!B5)</f>
        <v/>
      </c>
      <c r="C5" s="21">
        <f>IF(Projects!C5="","",Projects!C5)</f>
        <v/>
      </c>
      <c r="D5" s="20" t="n"/>
      <c r="E5" s="20" t="inlineStr">
        <is>
          <t>R</t>
        </is>
      </c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  <c r="AE5" s="20" t="n"/>
      <c r="AF5" s="20" t="n"/>
      <c r="AG5" s="20" t="n"/>
      <c r="AH5" s="20" t="n"/>
      <c r="AI5" s="20" t="n"/>
      <c r="AJ5" s="20" t="n"/>
      <c r="AK5" s="20" t="n"/>
      <c r="AL5" s="20" t="n"/>
      <c r="AM5" s="20" t="n"/>
      <c r="AN5" s="20" t="n"/>
      <c r="AO5" s="20" t="n"/>
      <c r="AP5" s="20" t="n"/>
      <c r="AQ5" s="20" t="n"/>
      <c r="AR5" s="20" t="n"/>
      <c r="AS5" s="20" t="n"/>
      <c r="AT5" s="20" t="n"/>
      <c r="AU5" s="20" t="n"/>
      <c r="AV5" s="20" t="n"/>
      <c r="AW5" s="20" t="n"/>
      <c r="AX5" s="20" t="n"/>
      <c r="AY5" s="20" t="n"/>
      <c r="AZ5" s="20" t="n"/>
      <c r="BA5" s="20" t="n"/>
    </row>
    <row r="6" ht="15" customHeight="1" s="18">
      <c r="A6" s="20">
        <f>IF(Projects!A6="","",Projects!A6)</f>
        <v/>
      </c>
      <c r="B6" s="20">
        <f>IF(Projects!B6="","",Projects!B6)</f>
        <v/>
      </c>
      <c r="C6" s="21">
        <f>IF(Projects!C6="","",Projects!C6)</f>
        <v/>
      </c>
      <c r="D6" s="20" t="n"/>
      <c r="E6" s="20" t="inlineStr">
        <is>
          <t>R</t>
        </is>
      </c>
      <c r="F6" s="20" t="inlineStr">
        <is>
          <t>S</t>
        </is>
      </c>
      <c r="G6" s="20" t="n"/>
      <c r="H6" s="20" t="inlineStr">
        <is>
          <t>R</t>
        </is>
      </c>
      <c r="I6" s="20" t="inlineStr">
        <is>
          <t>S</t>
        </is>
      </c>
      <c r="J6" s="20" t="inlineStr">
        <is>
          <t>S</t>
        </is>
      </c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  <c r="AE6" s="20" t="n"/>
      <c r="AF6" s="20" t="n"/>
      <c r="AG6" s="20" t="n"/>
      <c r="AH6" s="20" t="n"/>
      <c r="AI6" s="20" t="n"/>
      <c r="AJ6" s="20" t="n"/>
      <c r="AK6" s="20" t="n"/>
      <c r="AL6" s="20" t="n"/>
      <c r="AM6" s="20" t="n"/>
      <c r="AN6" s="20" t="n"/>
      <c r="AO6" s="20" t="n"/>
      <c r="AP6" s="20" t="n"/>
      <c r="AQ6" s="20" t="n"/>
      <c r="AR6" s="20" t="n"/>
      <c r="AS6" s="20" t="n"/>
      <c r="AT6" s="20" t="n"/>
      <c r="AU6" s="20" t="n"/>
      <c r="AV6" s="20" t="n"/>
      <c r="AW6" s="20" t="n"/>
      <c r="AX6" s="20" t="n"/>
      <c r="AY6" s="20" t="n"/>
      <c r="AZ6" s="20" t="n"/>
      <c r="BA6" s="20" t="n"/>
    </row>
    <row r="7" ht="15" customHeight="1" s="18">
      <c r="A7" s="20">
        <f>IF(Projects!A7="","",Projects!A7)</f>
        <v/>
      </c>
      <c r="B7" s="20">
        <f>IF(Projects!B7="","",Projects!B7)</f>
        <v/>
      </c>
      <c r="C7" s="21">
        <f>IF(Projects!C7="","",Projects!C7)</f>
        <v/>
      </c>
      <c r="D7" s="20" t="inlineStr">
        <is>
          <t>R</t>
        </is>
      </c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  <c r="AE7" s="20" t="n"/>
      <c r="AF7" s="20" t="n"/>
      <c r="AG7" s="20" t="n"/>
      <c r="AH7" s="20" t="n"/>
      <c r="AI7" s="20" t="n"/>
      <c r="AJ7" s="20" t="n"/>
      <c r="AK7" s="20" t="n"/>
      <c r="AL7" s="20" t="n"/>
      <c r="AM7" s="20" t="n"/>
      <c r="AN7" s="20" t="n"/>
      <c r="AO7" s="20" t="n"/>
      <c r="AP7" s="20" t="n"/>
      <c r="AQ7" s="20" t="n"/>
      <c r="AR7" s="20" t="n"/>
      <c r="AS7" s="20" t="n"/>
      <c r="AT7" s="20" t="n"/>
      <c r="AU7" s="20" t="n"/>
      <c r="AV7" s="20" t="n"/>
      <c r="AW7" s="20" t="n"/>
      <c r="AX7" s="20" t="n"/>
      <c r="AY7" s="20" t="n"/>
      <c r="AZ7" s="20" t="n"/>
      <c r="BA7" s="20" t="n"/>
    </row>
    <row r="8" ht="15" customHeight="1" s="18">
      <c r="A8" s="20">
        <f>IF(Projects!A8="","",Projects!A8)</f>
        <v/>
      </c>
      <c r="B8" s="20">
        <f>IF(Projects!B8="","",Projects!B8)</f>
        <v/>
      </c>
      <c r="C8" s="21">
        <f>IF(Projects!C8="","",Projects!C8)</f>
        <v/>
      </c>
      <c r="D8" s="20" t="n"/>
      <c r="E8" s="20" t="inlineStr">
        <is>
          <t>R</t>
        </is>
      </c>
      <c r="F8" s="20" t="n"/>
      <c r="G8" s="20" t="n"/>
      <c r="H8" s="20" t="inlineStr">
        <is>
          <t>R</t>
        </is>
      </c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20" t="n"/>
      <c r="AH8" s="20" t="n"/>
      <c r="AI8" s="20" t="n"/>
      <c r="AJ8" s="20" t="n"/>
      <c r="AK8" s="20" t="n"/>
      <c r="AL8" s="20" t="n"/>
      <c r="AM8" s="20" t="n"/>
      <c r="AN8" s="20" t="n"/>
      <c r="AO8" s="20" t="n"/>
      <c r="AP8" s="20" t="n"/>
      <c r="AQ8" s="20" t="n"/>
      <c r="AR8" s="20" t="n"/>
      <c r="AS8" s="20" t="n"/>
      <c r="AT8" s="20" t="n"/>
      <c r="AU8" s="20" t="n"/>
      <c r="AV8" s="20" t="n"/>
      <c r="AW8" s="20" t="n"/>
      <c r="AX8" s="20" t="n"/>
      <c r="AY8" s="20" t="n"/>
      <c r="AZ8" s="20" t="n"/>
      <c r="BA8" s="20" t="n"/>
    </row>
    <row r="9" ht="15" customHeight="1" s="18">
      <c r="A9" s="20">
        <f>IF(Projects!A9="","",Projects!A9)</f>
        <v/>
      </c>
      <c r="B9" s="20">
        <f>IF(Projects!B9="","",Projects!B9)</f>
        <v/>
      </c>
      <c r="C9" s="21">
        <f>IF(Projects!C9="","",Projects!C9)</f>
        <v/>
      </c>
      <c r="D9" s="20" t="n"/>
      <c r="E9" s="20" t="inlineStr">
        <is>
          <t>R</t>
        </is>
      </c>
      <c r="F9" s="20" t="inlineStr">
        <is>
          <t>R</t>
        </is>
      </c>
      <c r="G9" s="20" t="n"/>
      <c r="H9" s="20" t="n"/>
      <c r="I9" s="20" t="inlineStr">
        <is>
          <t>S</t>
        </is>
      </c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20" t="n"/>
      <c r="AI9" s="20" t="n"/>
      <c r="AJ9" s="2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  <c r="AX9" s="20" t="n"/>
      <c r="AY9" s="20" t="n"/>
      <c r="AZ9" s="20" t="n"/>
      <c r="BA9" s="20" t="n"/>
    </row>
    <row r="10" ht="15" customHeight="1" s="18">
      <c r="A10" s="20">
        <f>IF(Projects!A10="","",Projects!A10)</f>
        <v/>
      </c>
      <c r="B10" s="20">
        <f>IF(Projects!B10="","",Projects!B10)</f>
        <v/>
      </c>
      <c r="C10" s="21">
        <f>IF(Projects!C10="","",Projects!C10)</f>
        <v/>
      </c>
      <c r="D10" s="20" t="n"/>
      <c r="E10" s="20" t="n"/>
      <c r="F10" s="20" t="n"/>
      <c r="G10" s="20" t="inlineStr">
        <is>
          <t>R</t>
        </is>
      </c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</row>
    <row r="11" ht="15" customHeight="1" s="18">
      <c r="A11" s="20">
        <f>IF(Projects!A11="","",Projects!A11)</f>
        <v/>
      </c>
      <c r="B11" s="20">
        <f>IF(Projects!B11="","",Projects!B11)</f>
        <v/>
      </c>
      <c r="C11" s="21">
        <f>IF(Projects!C11="","",Projects!C11)</f>
        <v/>
      </c>
      <c r="D11" s="20" t="n"/>
      <c r="E11" s="20" t="inlineStr">
        <is>
          <t>R</t>
        </is>
      </c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20" t="n"/>
      <c r="AI11" s="20" t="n"/>
      <c r="AJ11" s="2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  <c r="AX11" s="20" t="n"/>
      <c r="AY11" s="20" t="n"/>
      <c r="AZ11" s="20" t="n"/>
      <c r="BA11" s="20" t="n"/>
    </row>
    <row r="12" ht="15" customHeight="1" s="18">
      <c r="A12" s="20">
        <f>IF(Projects!A12="","",Projects!A12)</f>
        <v/>
      </c>
      <c r="B12" s="20">
        <f>IF(Projects!B12="","",Projects!B12)</f>
        <v/>
      </c>
      <c r="C12" s="21">
        <f>IF(Projects!C12="","",Projects!C12)</f>
        <v/>
      </c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0" t="n"/>
      <c r="AL12" s="20" t="n"/>
      <c r="AM12" s="20" t="n"/>
      <c r="AN12" s="20" t="n"/>
      <c r="AO12" s="20" t="n"/>
      <c r="AP12" s="20" t="n"/>
      <c r="AQ12" s="20" t="n"/>
      <c r="AR12" s="20" t="n"/>
      <c r="AS12" s="20" t="n"/>
      <c r="AT12" s="20" t="n"/>
      <c r="AU12" s="20" t="n"/>
      <c r="AV12" s="20" t="n"/>
      <c r="AW12" s="20" t="n"/>
      <c r="AX12" s="20" t="n"/>
      <c r="AY12" s="20" t="n"/>
      <c r="AZ12" s="20" t="n"/>
      <c r="BA12" s="20" t="n"/>
    </row>
    <row r="13" ht="15" customHeight="1" s="18">
      <c r="A13" s="20">
        <f>IF(Projects!A13="","",Projects!A13)</f>
        <v/>
      </c>
      <c r="B13" s="20">
        <f>IF(Projects!B13="","",Projects!B13)</f>
        <v/>
      </c>
      <c r="C13" s="21">
        <f>IF(Projects!C13="","",Projects!C13)</f>
        <v/>
      </c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20" t="n"/>
      <c r="AH13" s="20" t="n"/>
      <c r="AI13" s="20" t="n"/>
      <c r="AJ13" s="20" t="n"/>
      <c r="AK13" s="20" t="n"/>
      <c r="AL13" s="20" t="n"/>
      <c r="AM13" s="20" t="n"/>
      <c r="AN13" s="20" t="n"/>
      <c r="AO13" s="20" t="n"/>
      <c r="AP13" s="20" t="n"/>
      <c r="AQ13" s="20" t="n"/>
      <c r="AR13" s="20" t="n"/>
      <c r="AS13" s="20" t="n"/>
      <c r="AT13" s="20" t="n"/>
      <c r="AU13" s="20" t="n"/>
      <c r="AV13" s="20" t="n"/>
      <c r="AW13" s="20" t="n"/>
      <c r="AX13" s="20" t="n"/>
      <c r="AY13" s="20" t="n"/>
      <c r="AZ13" s="20" t="n"/>
      <c r="BA13" s="20" t="n"/>
    </row>
    <row r="14" ht="15" customHeight="1" s="18">
      <c r="A14" s="20">
        <f>IF(Projects!A14="","",Projects!A14)</f>
        <v/>
      </c>
      <c r="B14" s="20">
        <f>IF(Projects!B14="","",Projects!B14)</f>
        <v/>
      </c>
      <c r="C14" s="21">
        <f>IF(Projects!C14="","",Projects!C14)</f>
        <v/>
      </c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  <c r="AF14" s="20" t="n"/>
      <c r="AG14" s="20" t="n"/>
      <c r="AH14" s="20" t="n"/>
      <c r="AI14" s="20" t="n"/>
      <c r="AJ14" s="20" t="n"/>
      <c r="AK14" s="20" t="n"/>
      <c r="AL14" s="20" t="n"/>
      <c r="AM14" s="20" t="n"/>
      <c r="AN14" s="20" t="n"/>
      <c r="AO14" s="20" t="n"/>
      <c r="AP14" s="20" t="n"/>
      <c r="AQ14" s="20" t="n"/>
      <c r="AR14" s="20" t="n"/>
      <c r="AS14" s="20" t="n"/>
      <c r="AT14" s="20" t="n"/>
      <c r="AU14" s="20" t="n"/>
      <c r="AV14" s="20" t="n"/>
      <c r="AW14" s="20" t="n"/>
      <c r="AX14" s="20" t="n"/>
      <c r="AY14" s="20" t="n"/>
      <c r="AZ14" s="20" t="n"/>
      <c r="BA14" s="20" t="n"/>
    </row>
    <row r="15" ht="15" customHeight="1" s="18">
      <c r="A15" s="20">
        <f>IF(Projects!A15="","",Projects!A15)</f>
        <v/>
      </c>
      <c r="B15" s="20">
        <f>IF(Projects!B15="","",Projects!B15)</f>
        <v/>
      </c>
      <c r="C15" s="21">
        <f>IF(Projects!C15="","",Projects!C15)</f>
        <v/>
      </c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20" t="n"/>
      <c r="AI15" s="20" t="n"/>
      <c r="AJ15" s="20" t="n"/>
      <c r="AK15" s="20" t="n"/>
      <c r="AL15" s="20" t="n"/>
      <c r="AM15" s="20" t="n"/>
      <c r="AN15" s="20" t="n"/>
      <c r="AO15" s="20" t="n"/>
      <c r="AP15" s="20" t="n"/>
      <c r="AQ15" s="20" t="n"/>
      <c r="AR15" s="20" t="n"/>
      <c r="AS15" s="20" t="n"/>
      <c r="AT15" s="20" t="n"/>
      <c r="AU15" s="20" t="n"/>
      <c r="AV15" s="20" t="n"/>
      <c r="AW15" s="20" t="n"/>
      <c r="AX15" s="20" t="n"/>
      <c r="AY15" s="20" t="n"/>
      <c r="AZ15" s="20" t="n"/>
      <c r="BA15" s="20" t="n"/>
    </row>
    <row r="16" ht="15" customHeight="1" s="18">
      <c r="A16" s="20">
        <f>IF(Projects!A16="","",Projects!A16)</f>
        <v/>
      </c>
      <c r="B16" s="20">
        <f>IF(Projects!B16="","",Projects!B16)</f>
        <v/>
      </c>
      <c r="C16" s="21">
        <f>IF(Projects!C16="","",Projects!C16)</f>
        <v/>
      </c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20" t="n"/>
      <c r="AI16" s="20" t="n"/>
      <c r="AJ16" s="2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  <c r="AX16" s="20" t="n"/>
      <c r="AY16" s="20" t="n"/>
      <c r="AZ16" s="20" t="n"/>
      <c r="BA16" s="20" t="n"/>
    </row>
    <row r="17" ht="15" customHeight="1" s="18">
      <c r="A17" s="20">
        <f>IF(Projects!A17="","",Projects!A17)</f>
        <v/>
      </c>
      <c r="B17" s="20">
        <f>IF(Projects!B17="","",Projects!B17)</f>
        <v/>
      </c>
      <c r="C17" s="21">
        <f>IF(Projects!C17="","",Projects!C17)</f>
        <v/>
      </c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20" t="n"/>
      <c r="AI17" s="20" t="n"/>
      <c r="AJ17" s="2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  <c r="AX17" s="20" t="n"/>
      <c r="AY17" s="20" t="n"/>
      <c r="AZ17" s="20" t="n"/>
      <c r="BA17" s="20" t="n"/>
    </row>
    <row r="18" ht="15" customHeight="1" s="18">
      <c r="A18" s="20">
        <f>IF(Projects!A18="","",Projects!A18)</f>
        <v/>
      </c>
      <c r="B18" s="20">
        <f>IF(Projects!B18="","",Projects!B18)</f>
        <v/>
      </c>
      <c r="C18" s="21">
        <f>IF(Projects!C18="","",Projects!C18)</f>
        <v/>
      </c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20" t="n"/>
      <c r="AI18" s="20" t="n"/>
      <c r="AJ18" s="2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20" t="n"/>
      <c r="AZ18" s="20" t="n"/>
      <c r="BA18" s="20" t="n"/>
    </row>
    <row r="19" ht="15" customHeight="1" s="18">
      <c r="A19" s="20">
        <f>IF(Projects!A19="","",Projects!A19)</f>
        <v/>
      </c>
      <c r="B19" s="20">
        <f>IF(Projects!B19="","",Projects!B19)</f>
        <v/>
      </c>
      <c r="C19" s="21">
        <f>IF(Projects!C19="","",Projects!C19)</f>
        <v/>
      </c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  <c r="AF19" s="20" t="n"/>
      <c r="AG19" s="20" t="n"/>
      <c r="AH19" s="20" t="n"/>
      <c r="AI19" s="20" t="n"/>
      <c r="AJ19" s="20" t="n"/>
      <c r="AK19" s="20" t="n"/>
      <c r="AL19" s="20" t="n"/>
      <c r="AM19" s="20" t="n"/>
      <c r="AN19" s="20" t="n"/>
      <c r="AO19" s="20" t="n"/>
      <c r="AP19" s="20" t="n"/>
      <c r="AQ19" s="20" t="n"/>
      <c r="AR19" s="20" t="n"/>
      <c r="AS19" s="20" t="n"/>
      <c r="AT19" s="20" t="n"/>
      <c r="AU19" s="20" t="n"/>
      <c r="AV19" s="20" t="n"/>
      <c r="AW19" s="20" t="n"/>
      <c r="AX19" s="20" t="n"/>
      <c r="AY19" s="20" t="n"/>
      <c r="AZ19" s="20" t="n"/>
      <c r="BA19" s="20" t="n"/>
    </row>
    <row r="20" ht="15" customHeight="1" s="18">
      <c r="A20" s="20">
        <f>IF(Projects!A20="","",Projects!A20)</f>
        <v/>
      </c>
      <c r="B20" s="20">
        <f>IF(Projects!B20="","",Projects!B20)</f>
        <v/>
      </c>
      <c r="C20" s="21">
        <f>IF(Projects!C20="","",Projects!C20)</f>
        <v/>
      </c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  <c r="AF20" s="20" t="n"/>
      <c r="AG20" s="20" t="n"/>
      <c r="AH20" s="20" t="n"/>
      <c r="AI20" s="20" t="n"/>
      <c r="AJ20" s="20" t="n"/>
      <c r="AK20" s="20" t="n"/>
      <c r="AL20" s="20" t="n"/>
      <c r="AM20" s="20" t="n"/>
      <c r="AN20" s="20" t="n"/>
      <c r="AO20" s="20" t="n"/>
      <c r="AP20" s="20" t="n"/>
      <c r="AQ20" s="20" t="n"/>
      <c r="AR20" s="20" t="n"/>
      <c r="AS20" s="20" t="n"/>
      <c r="AT20" s="20" t="n"/>
      <c r="AU20" s="20" t="n"/>
      <c r="AV20" s="20" t="n"/>
      <c r="AW20" s="20" t="n"/>
      <c r="AX20" s="20" t="n"/>
      <c r="AY20" s="20" t="n"/>
      <c r="AZ20" s="20" t="n"/>
      <c r="BA20" s="20" t="n"/>
    </row>
    <row r="21" ht="15" customHeight="1" s="18">
      <c r="A21" s="20">
        <f>IF(Projects!A21="","",Projects!A21)</f>
        <v/>
      </c>
      <c r="B21" s="20">
        <f>IF(Projects!B21="","",Projects!B21)</f>
        <v/>
      </c>
      <c r="C21" s="21">
        <f>IF(Projects!C21="","",Projects!C21)</f>
        <v/>
      </c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  <c r="AE21" s="20" t="n"/>
      <c r="AF21" s="20" t="n"/>
      <c r="AG21" s="20" t="n"/>
      <c r="AH21" s="20" t="n"/>
      <c r="AI21" s="20" t="n"/>
      <c r="AJ21" s="20" t="n"/>
      <c r="AK21" s="20" t="n"/>
      <c r="AL21" s="20" t="n"/>
      <c r="AM21" s="20" t="n"/>
      <c r="AN21" s="20" t="n"/>
      <c r="AO21" s="20" t="n"/>
      <c r="AP21" s="20" t="n"/>
      <c r="AQ21" s="20" t="n"/>
      <c r="AR21" s="20" t="n"/>
      <c r="AS21" s="20" t="n"/>
      <c r="AT21" s="20" t="n"/>
      <c r="AU21" s="20" t="n"/>
      <c r="AV21" s="20" t="n"/>
      <c r="AW21" s="20" t="n"/>
      <c r="AX21" s="20" t="n"/>
      <c r="AY21" s="20" t="n"/>
      <c r="AZ21" s="20" t="n"/>
      <c r="BA21" s="20" t="n"/>
    </row>
    <row r="22" ht="15" customHeight="1" s="18">
      <c r="A22" s="20">
        <f>IF(Projects!A22="","",Projects!A22)</f>
        <v/>
      </c>
      <c r="B22" s="20">
        <f>IF(Projects!B22="","",Projects!B22)</f>
        <v/>
      </c>
      <c r="C22" s="21">
        <f>IF(Projects!C22="","",Projects!C22)</f>
        <v/>
      </c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  <c r="AE22" s="20" t="n"/>
      <c r="AF22" s="20" t="n"/>
      <c r="AG22" s="20" t="n"/>
      <c r="AH22" s="20" t="n"/>
      <c r="AI22" s="20" t="n"/>
      <c r="AJ22" s="20" t="n"/>
      <c r="AK22" s="20" t="n"/>
      <c r="AL22" s="20" t="n"/>
      <c r="AM22" s="20" t="n"/>
      <c r="AN22" s="20" t="n"/>
      <c r="AO22" s="20" t="n"/>
      <c r="AP22" s="20" t="n"/>
      <c r="AQ22" s="20" t="n"/>
      <c r="AR22" s="20" t="n"/>
      <c r="AS22" s="20" t="n"/>
      <c r="AT22" s="20" t="n"/>
      <c r="AU22" s="20" t="n"/>
      <c r="AV22" s="20" t="n"/>
      <c r="AW22" s="20" t="n"/>
      <c r="AX22" s="20" t="n"/>
      <c r="AY22" s="20" t="n"/>
      <c r="AZ22" s="20" t="n"/>
      <c r="BA22" s="20" t="n"/>
    </row>
    <row r="23" ht="15" customHeight="1" s="18">
      <c r="A23" s="20">
        <f>IF(Projects!A23="","",Projects!A23)</f>
        <v/>
      </c>
      <c r="B23" s="20">
        <f>IF(Projects!B23="","",Projects!B23)</f>
        <v/>
      </c>
      <c r="C23" s="21">
        <f>IF(Projects!C23="","",Projects!C23)</f>
        <v/>
      </c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  <c r="AE23" s="20" t="n"/>
      <c r="AF23" s="20" t="n"/>
      <c r="AG23" s="20" t="n"/>
      <c r="AH23" s="20" t="n"/>
      <c r="AI23" s="20" t="n"/>
      <c r="AJ23" s="20" t="n"/>
      <c r="AK23" s="20" t="n"/>
      <c r="AL23" s="20" t="n"/>
      <c r="AM23" s="20" t="n"/>
      <c r="AN23" s="20" t="n"/>
      <c r="AO23" s="20" t="n"/>
      <c r="AP23" s="20" t="n"/>
      <c r="AQ23" s="20" t="n"/>
      <c r="AR23" s="20" t="n"/>
      <c r="AS23" s="20" t="n"/>
      <c r="AT23" s="20" t="n"/>
      <c r="AU23" s="20" t="n"/>
      <c r="AV23" s="20" t="n"/>
      <c r="AW23" s="20" t="n"/>
      <c r="AX23" s="20" t="n"/>
      <c r="AY23" s="20" t="n"/>
      <c r="AZ23" s="20" t="n"/>
      <c r="BA23" s="20" t="n"/>
    </row>
    <row r="24" ht="15" customHeight="1" s="18">
      <c r="A24" s="20">
        <f>IF(Projects!A24="","",Projects!A24)</f>
        <v/>
      </c>
      <c r="B24" s="20">
        <f>IF(Projects!B24="","",Projects!B24)</f>
        <v/>
      </c>
      <c r="C24" s="21">
        <f>IF(Projects!C24="","",Projects!C24)</f>
        <v/>
      </c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  <c r="AE24" s="20" t="n"/>
      <c r="AF24" s="20" t="n"/>
      <c r="AG24" s="20" t="n"/>
      <c r="AH24" s="20" t="n"/>
      <c r="AI24" s="20" t="n"/>
      <c r="AJ24" s="20" t="n"/>
      <c r="AK24" s="20" t="n"/>
      <c r="AL24" s="20" t="n"/>
      <c r="AM24" s="20" t="n"/>
      <c r="AN24" s="20" t="n"/>
      <c r="AO24" s="20" t="n"/>
      <c r="AP24" s="20" t="n"/>
      <c r="AQ24" s="20" t="n"/>
      <c r="AR24" s="20" t="n"/>
      <c r="AS24" s="20" t="n"/>
      <c r="AT24" s="20" t="n"/>
      <c r="AU24" s="20" t="n"/>
      <c r="AV24" s="20" t="n"/>
      <c r="AW24" s="20" t="n"/>
      <c r="AX24" s="20" t="n"/>
      <c r="AY24" s="20" t="n"/>
      <c r="AZ24" s="20" t="n"/>
      <c r="BA24" s="20" t="n"/>
    </row>
    <row r="25" ht="15" customHeight="1" s="18">
      <c r="A25" s="20">
        <f>IF(Projects!A25="","",Projects!A25)</f>
        <v/>
      </c>
      <c r="B25" s="20">
        <f>IF(Projects!B25="","",Projects!B25)</f>
        <v/>
      </c>
      <c r="C25" s="21">
        <f>IF(Projects!C25="","",Projects!C25)</f>
        <v/>
      </c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  <c r="AE25" s="20" t="n"/>
      <c r="AF25" s="20" t="n"/>
      <c r="AG25" s="20" t="n"/>
      <c r="AH25" s="20" t="n"/>
      <c r="AI25" s="20" t="n"/>
      <c r="AJ25" s="20" t="n"/>
      <c r="AK25" s="20" t="n"/>
      <c r="AL25" s="20" t="n"/>
      <c r="AM25" s="20" t="n"/>
      <c r="AN25" s="20" t="n"/>
      <c r="AO25" s="20" t="n"/>
      <c r="AP25" s="20" t="n"/>
      <c r="AQ25" s="20" t="n"/>
      <c r="AR25" s="20" t="n"/>
      <c r="AS25" s="20" t="n"/>
      <c r="AT25" s="20" t="n"/>
      <c r="AU25" s="20" t="n"/>
      <c r="AV25" s="20" t="n"/>
      <c r="AW25" s="20" t="n"/>
      <c r="AX25" s="20" t="n"/>
      <c r="AY25" s="20" t="n"/>
      <c r="AZ25" s="20" t="n"/>
      <c r="BA25" s="20" t="n"/>
    </row>
    <row r="26" ht="15" customHeight="1" s="18">
      <c r="A26" s="20">
        <f>IF(Projects!A26="","",Projects!A26)</f>
        <v/>
      </c>
      <c r="B26" s="20">
        <f>IF(Projects!B26="","",Projects!B26)</f>
        <v/>
      </c>
      <c r="C26" s="21">
        <f>IF(Projects!C26="","",Projects!C26)</f>
        <v/>
      </c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  <c r="AE26" s="20" t="n"/>
      <c r="AF26" s="20" t="n"/>
      <c r="AG26" s="20" t="n"/>
      <c r="AH26" s="20" t="n"/>
      <c r="AI26" s="20" t="n"/>
      <c r="AJ26" s="20" t="n"/>
      <c r="AK26" s="20" t="n"/>
      <c r="AL26" s="20" t="n"/>
      <c r="AM26" s="20" t="n"/>
      <c r="AN26" s="20" t="n"/>
      <c r="AO26" s="20" t="n"/>
      <c r="AP26" s="20" t="n"/>
      <c r="AQ26" s="20" t="n"/>
      <c r="AR26" s="20" t="n"/>
      <c r="AS26" s="20" t="n"/>
      <c r="AT26" s="20" t="n"/>
      <c r="AU26" s="20" t="n"/>
      <c r="AV26" s="20" t="n"/>
      <c r="AW26" s="20" t="n"/>
      <c r="AX26" s="20" t="n"/>
      <c r="AY26" s="20" t="n"/>
      <c r="AZ26" s="20" t="n"/>
      <c r="BA26" s="20" t="n"/>
    </row>
    <row r="27" ht="15" customHeight="1" s="18">
      <c r="A27" s="20">
        <f>IF(Projects!A27="","",Projects!A27)</f>
        <v/>
      </c>
      <c r="B27" s="20">
        <f>IF(Projects!B27="","",Projects!B27)</f>
        <v/>
      </c>
      <c r="C27" s="21">
        <f>IF(Projects!C27="","",Projects!C27)</f>
        <v/>
      </c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  <c r="AE27" s="20" t="n"/>
      <c r="AF27" s="20" t="n"/>
      <c r="AG27" s="20" t="n"/>
      <c r="AH27" s="20" t="n"/>
      <c r="AI27" s="20" t="n"/>
      <c r="AJ27" s="20" t="n"/>
      <c r="AK27" s="20" t="n"/>
      <c r="AL27" s="20" t="n"/>
      <c r="AM27" s="20" t="n"/>
      <c r="AN27" s="20" t="n"/>
      <c r="AO27" s="20" t="n"/>
      <c r="AP27" s="20" t="n"/>
      <c r="AQ27" s="20" t="n"/>
      <c r="AR27" s="20" t="n"/>
      <c r="AS27" s="20" t="n"/>
      <c r="AT27" s="20" t="n"/>
      <c r="AU27" s="20" t="n"/>
      <c r="AV27" s="20" t="n"/>
      <c r="AW27" s="20" t="n"/>
      <c r="AX27" s="20" t="n"/>
      <c r="AY27" s="20" t="n"/>
      <c r="AZ27" s="20" t="n"/>
      <c r="BA27" s="20" t="n"/>
    </row>
    <row r="28" ht="15" customHeight="1" s="18">
      <c r="A28" s="20">
        <f>IF(Projects!A28="","",Projects!A28)</f>
        <v/>
      </c>
      <c r="B28" s="20">
        <f>IF(Projects!B28="","",Projects!B28)</f>
        <v/>
      </c>
      <c r="C28" s="21">
        <f>IF(Projects!C28="","",Projects!C28)</f>
        <v/>
      </c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  <c r="AE28" s="20" t="n"/>
      <c r="AF28" s="20" t="n"/>
      <c r="AG28" s="20" t="n"/>
      <c r="AH28" s="20" t="n"/>
      <c r="AI28" s="20" t="n"/>
      <c r="AJ28" s="20" t="n"/>
      <c r="AK28" s="20" t="n"/>
      <c r="AL28" s="20" t="n"/>
      <c r="AM28" s="20" t="n"/>
      <c r="AN28" s="20" t="n"/>
      <c r="AO28" s="20" t="n"/>
      <c r="AP28" s="20" t="n"/>
      <c r="AQ28" s="20" t="n"/>
      <c r="AR28" s="20" t="n"/>
      <c r="AS28" s="20" t="n"/>
      <c r="AT28" s="20" t="n"/>
      <c r="AU28" s="20" t="n"/>
      <c r="AV28" s="20" t="n"/>
      <c r="AW28" s="20" t="n"/>
      <c r="AX28" s="20" t="n"/>
      <c r="AY28" s="20" t="n"/>
      <c r="AZ28" s="20" t="n"/>
      <c r="BA28" s="20" t="n"/>
    </row>
    <row r="29" ht="15" customHeight="1" s="18">
      <c r="A29" s="20">
        <f>IF(Projects!A29="","",Projects!A29)</f>
        <v/>
      </c>
      <c r="B29" s="20">
        <f>IF(Projects!B29="","",Projects!B29)</f>
        <v/>
      </c>
      <c r="C29" s="21">
        <f>IF(Projects!C29="","",Projects!C29)</f>
        <v/>
      </c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  <c r="AE29" s="20" t="n"/>
      <c r="AF29" s="20" t="n"/>
      <c r="AG29" s="20" t="n"/>
      <c r="AH29" s="20" t="n"/>
      <c r="AI29" s="20" t="n"/>
      <c r="AJ29" s="2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  <c r="AX29" s="20" t="n"/>
      <c r="AY29" s="20" t="n"/>
      <c r="AZ29" s="20" t="n"/>
      <c r="BA29" s="20" t="n"/>
    </row>
    <row r="30" ht="15" customHeight="1" s="18">
      <c r="A30" s="20">
        <f>IF(Projects!A30="","",Projects!A30)</f>
        <v/>
      </c>
      <c r="B30" s="20">
        <f>IF(Projects!B30="","",Projects!B30)</f>
        <v/>
      </c>
      <c r="C30" s="21">
        <f>IF(Projects!C30="","",Projects!C30)</f>
        <v/>
      </c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  <c r="AE30" s="20" t="n"/>
      <c r="AF30" s="20" t="n"/>
      <c r="AG30" s="20" t="n"/>
      <c r="AH30" s="20" t="n"/>
      <c r="AI30" s="20" t="n"/>
      <c r="AJ30" s="20" t="n"/>
      <c r="AK30" s="20" t="n"/>
      <c r="AL30" s="20" t="n"/>
      <c r="AM30" s="20" t="n"/>
      <c r="AN30" s="20" t="n"/>
      <c r="AO30" s="20" t="n"/>
      <c r="AP30" s="20" t="n"/>
      <c r="AQ30" s="20" t="n"/>
      <c r="AR30" s="20" t="n"/>
      <c r="AS30" s="20" t="n"/>
      <c r="AT30" s="20" t="n"/>
      <c r="AU30" s="20" t="n"/>
      <c r="AV30" s="20" t="n"/>
      <c r="AW30" s="20" t="n"/>
      <c r="AX30" s="20" t="n"/>
      <c r="AY30" s="20" t="n"/>
      <c r="AZ30" s="20" t="n"/>
      <c r="BA30" s="20" t="n"/>
    </row>
    <row r="31" ht="15" customHeight="1" s="18">
      <c r="A31" s="20">
        <f>IF(Projects!A31="","",Projects!A31)</f>
        <v/>
      </c>
      <c r="B31" s="20">
        <f>IF(Projects!B31="","",Projects!B31)</f>
        <v/>
      </c>
      <c r="C31" s="21">
        <f>IF(Projects!C31="","",Projects!C31)</f>
        <v/>
      </c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  <c r="AE31" s="20" t="n"/>
      <c r="AF31" s="20" t="n"/>
      <c r="AG31" s="20" t="n"/>
      <c r="AH31" s="20" t="n"/>
      <c r="AI31" s="20" t="n"/>
      <c r="AJ31" s="2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  <c r="AX31" s="20" t="n"/>
      <c r="AY31" s="20" t="n"/>
      <c r="AZ31" s="20" t="n"/>
      <c r="BA31" s="20" t="n"/>
    </row>
    <row r="32" ht="15" customHeight="1" s="18">
      <c r="A32" s="20">
        <f>IF(Projects!A32="","",Projects!A32)</f>
        <v/>
      </c>
      <c r="B32" s="20">
        <f>IF(Projects!B32="","",Projects!B32)</f>
        <v/>
      </c>
      <c r="C32" s="21">
        <f>IF(Projects!C32="","",Projects!C32)</f>
        <v/>
      </c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  <c r="AE32" s="20" t="n"/>
      <c r="AF32" s="20" t="n"/>
      <c r="AG32" s="20" t="n"/>
      <c r="AH32" s="20" t="n"/>
      <c r="AI32" s="20" t="n"/>
      <c r="AJ32" s="20" t="n"/>
      <c r="AK32" s="20" t="n"/>
      <c r="AL32" s="20" t="n"/>
      <c r="AM32" s="20" t="n"/>
      <c r="AN32" s="20" t="n"/>
      <c r="AO32" s="20" t="n"/>
      <c r="AP32" s="20" t="n"/>
      <c r="AQ32" s="20" t="n"/>
      <c r="AR32" s="20" t="n"/>
      <c r="AS32" s="20" t="n"/>
      <c r="AT32" s="20" t="n"/>
      <c r="AU32" s="20" t="n"/>
      <c r="AV32" s="20" t="n"/>
      <c r="AW32" s="20" t="n"/>
      <c r="AX32" s="20" t="n"/>
      <c r="AY32" s="20" t="n"/>
      <c r="AZ32" s="20" t="n"/>
      <c r="BA32" s="20" t="n"/>
    </row>
    <row r="33" ht="15" customHeight="1" s="18">
      <c r="A33" s="20">
        <f>IF(Projects!A33="","",Projects!A33)</f>
        <v/>
      </c>
      <c r="B33" s="20">
        <f>IF(Projects!B33="","",Projects!B33)</f>
        <v/>
      </c>
      <c r="C33" s="21">
        <f>IF(Projects!C33="","",Projects!C33)</f>
        <v/>
      </c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  <c r="AE33" s="20" t="n"/>
      <c r="AF33" s="20" t="n"/>
      <c r="AG33" s="20" t="n"/>
      <c r="AH33" s="20" t="n"/>
      <c r="AI33" s="20" t="n"/>
      <c r="AJ33" s="20" t="n"/>
      <c r="AK33" s="20" t="n"/>
      <c r="AL33" s="20" t="n"/>
      <c r="AM33" s="20" t="n"/>
      <c r="AN33" s="20" t="n"/>
      <c r="AO33" s="20" t="n"/>
      <c r="AP33" s="20" t="n"/>
      <c r="AQ33" s="20" t="n"/>
      <c r="AR33" s="20" t="n"/>
      <c r="AS33" s="20" t="n"/>
      <c r="AT33" s="20" t="n"/>
      <c r="AU33" s="20" t="n"/>
      <c r="AV33" s="20" t="n"/>
      <c r="AW33" s="20" t="n"/>
      <c r="AX33" s="20" t="n"/>
      <c r="AY33" s="20" t="n"/>
      <c r="AZ33" s="20" t="n"/>
      <c r="BA33" s="20" t="n"/>
    </row>
    <row r="34" ht="15" customHeight="1" s="18">
      <c r="A34" s="20">
        <f>IF(Projects!A34="","",Projects!A34)</f>
        <v/>
      </c>
      <c r="B34" s="20">
        <f>IF(Projects!B34="","",Projects!B34)</f>
        <v/>
      </c>
      <c r="C34" s="21">
        <f>IF(Projects!C34="","",Projects!C34)</f>
        <v/>
      </c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  <c r="AE34" s="20" t="n"/>
      <c r="AF34" s="20" t="n"/>
      <c r="AG34" s="20" t="n"/>
      <c r="AH34" s="20" t="n"/>
      <c r="AI34" s="20" t="n"/>
      <c r="AJ34" s="20" t="n"/>
      <c r="AK34" s="20" t="n"/>
      <c r="AL34" s="20" t="n"/>
      <c r="AM34" s="20" t="n"/>
      <c r="AN34" s="20" t="n"/>
      <c r="AO34" s="20" t="n"/>
      <c r="AP34" s="20" t="n"/>
      <c r="AQ34" s="20" t="n"/>
      <c r="AR34" s="20" t="n"/>
      <c r="AS34" s="20" t="n"/>
      <c r="AT34" s="20" t="n"/>
      <c r="AU34" s="20" t="n"/>
      <c r="AV34" s="20" t="n"/>
      <c r="AW34" s="20" t="n"/>
      <c r="AX34" s="20" t="n"/>
      <c r="AY34" s="20" t="n"/>
      <c r="AZ34" s="20" t="n"/>
      <c r="BA34" s="20" t="n"/>
    </row>
    <row r="35" ht="15" customHeight="1" s="18">
      <c r="A35" s="20">
        <f>IF(Projects!A35="","",Projects!A35)</f>
        <v/>
      </c>
      <c r="B35" s="20">
        <f>IF(Projects!B35="","",Projects!B35)</f>
        <v/>
      </c>
      <c r="C35" s="21">
        <f>IF(Projects!C35="","",Projects!C35)</f>
        <v/>
      </c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  <c r="AE35" s="20" t="n"/>
      <c r="AF35" s="20" t="n"/>
      <c r="AG35" s="20" t="n"/>
      <c r="AH35" s="20" t="n"/>
      <c r="AI35" s="20" t="n"/>
      <c r="AJ35" s="20" t="n"/>
      <c r="AK35" s="20" t="n"/>
      <c r="AL35" s="20" t="n"/>
      <c r="AM35" s="20" t="n"/>
      <c r="AN35" s="20" t="n"/>
      <c r="AO35" s="20" t="n"/>
      <c r="AP35" s="20" t="n"/>
      <c r="AQ35" s="20" t="n"/>
      <c r="AR35" s="20" t="n"/>
      <c r="AS35" s="20" t="n"/>
      <c r="AT35" s="20" t="n"/>
      <c r="AU35" s="20" t="n"/>
      <c r="AV35" s="20" t="n"/>
      <c r="AW35" s="20" t="n"/>
      <c r="AX35" s="20" t="n"/>
      <c r="AY35" s="20" t="n"/>
      <c r="AZ35" s="20" t="n"/>
      <c r="BA35" s="20" t="n"/>
    </row>
    <row r="36" ht="15" customHeight="1" s="18">
      <c r="A36" s="20">
        <f>IF(Projects!A36="","",Projects!A36)</f>
        <v/>
      </c>
      <c r="B36" s="20">
        <f>IF(Projects!B36="","",Projects!B36)</f>
        <v/>
      </c>
      <c r="C36" s="21">
        <f>IF(Projects!C36="","",Projects!C36)</f>
        <v/>
      </c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  <c r="AE36" s="20" t="n"/>
      <c r="AF36" s="20" t="n"/>
      <c r="AG36" s="20" t="n"/>
      <c r="AH36" s="20" t="n"/>
      <c r="AI36" s="20" t="n"/>
      <c r="AJ36" s="20" t="n"/>
      <c r="AK36" s="20" t="n"/>
      <c r="AL36" s="20" t="n"/>
      <c r="AM36" s="20" t="n"/>
      <c r="AN36" s="20" t="n"/>
      <c r="AO36" s="20" t="n"/>
      <c r="AP36" s="20" t="n"/>
      <c r="AQ36" s="20" t="n"/>
      <c r="AR36" s="20" t="n"/>
      <c r="AS36" s="20" t="n"/>
      <c r="AT36" s="20" t="n"/>
      <c r="AU36" s="20" t="n"/>
      <c r="AV36" s="20" t="n"/>
      <c r="AW36" s="20" t="n"/>
      <c r="AX36" s="20" t="n"/>
      <c r="AY36" s="20" t="n"/>
      <c r="AZ36" s="20" t="n"/>
      <c r="BA36" s="20" t="n"/>
    </row>
    <row r="37" ht="15" customHeight="1" s="18">
      <c r="A37" s="20">
        <f>IF(Projects!A37="","",Projects!A37)</f>
        <v/>
      </c>
      <c r="B37" s="20">
        <f>IF(Projects!B37="","",Projects!B37)</f>
        <v/>
      </c>
      <c r="C37" s="21">
        <f>IF(Projects!C37="","",Projects!C37)</f>
        <v/>
      </c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  <c r="AE37" s="20" t="n"/>
      <c r="AF37" s="20" t="n"/>
      <c r="AG37" s="20" t="n"/>
      <c r="AH37" s="20" t="n"/>
      <c r="AI37" s="20" t="n"/>
      <c r="AJ37" s="20" t="n"/>
      <c r="AK37" s="20" t="n"/>
      <c r="AL37" s="20" t="n"/>
      <c r="AM37" s="20" t="n"/>
      <c r="AN37" s="20" t="n"/>
      <c r="AO37" s="20" t="n"/>
      <c r="AP37" s="20" t="n"/>
      <c r="AQ37" s="20" t="n"/>
      <c r="AR37" s="20" t="n"/>
      <c r="AS37" s="20" t="n"/>
      <c r="AT37" s="20" t="n"/>
      <c r="AU37" s="20" t="n"/>
      <c r="AV37" s="20" t="n"/>
      <c r="AW37" s="20" t="n"/>
      <c r="AX37" s="20" t="n"/>
      <c r="AY37" s="20" t="n"/>
      <c r="AZ37" s="20" t="n"/>
      <c r="BA37" s="20" t="n"/>
    </row>
    <row r="38" ht="15" customHeight="1" s="18">
      <c r="A38" s="20">
        <f>IF(Projects!A38="","",Projects!A38)</f>
        <v/>
      </c>
      <c r="B38" s="20">
        <f>IF(Projects!B38="","",Projects!B38)</f>
        <v/>
      </c>
      <c r="C38" s="21">
        <f>IF(Projects!C38="","",Projects!C38)</f>
        <v/>
      </c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  <c r="AE38" s="20" t="n"/>
      <c r="AF38" s="20" t="n"/>
      <c r="AG38" s="20" t="n"/>
      <c r="AH38" s="20" t="n"/>
      <c r="AI38" s="20" t="n"/>
      <c r="AJ38" s="20" t="n"/>
      <c r="AK38" s="20" t="n"/>
      <c r="AL38" s="20" t="n"/>
      <c r="AM38" s="20" t="n"/>
      <c r="AN38" s="20" t="n"/>
      <c r="AO38" s="20" t="n"/>
      <c r="AP38" s="20" t="n"/>
      <c r="AQ38" s="20" t="n"/>
      <c r="AR38" s="20" t="n"/>
      <c r="AS38" s="20" t="n"/>
      <c r="AT38" s="20" t="n"/>
      <c r="AU38" s="20" t="n"/>
      <c r="AV38" s="20" t="n"/>
      <c r="AW38" s="20" t="n"/>
      <c r="AX38" s="20" t="n"/>
      <c r="AY38" s="20" t="n"/>
      <c r="AZ38" s="20" t="n"/>
      <c r="BA38" s="20" t="n"/>
    </row>
    <row r="39" ht="15" customHeight="1" s="18">
      <c r="A39" s="20">
        <f>IF(Projects!A39="","",Projects!A39)</f>
        <v/>
      </c>
      <c r="B39" s="20">
        <f>IF(Projects!B39="","",Projects!B39)</f>
        <v/>
      </c>
      <c r="C39" s="21">
        <f>IF(Projects!C39="","",Projects!C39)</f>
        <v/>
      </c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  <c r="AE39" s="20" t="n"/>
      <c r="AF39" s="20" t="n"/>
      <c r="AG39" s="20" t="n"/>
      <c r="AH39" s="20" t="n"/>
      <c r="AI39" s="20" t="n"/>
      <c r="AJ39" s="20" t="n"/>
      <c r="AK39" s="20" t="n"/>
      <c r="AL39" s="20" t="n"/>
      <c r="AM39" s="20" t="n"/>
      <c r="AN39" s="20" t="n"/>
      <c r="AO39" s="20" t="n"/>
      <c r="AP39" s="20" t="n"/>
      <c r="AQ39" s="20" t="n"/>
      <c r="AR39" s="20" t="n"/>
      <c r="AS39" s="20" t="n"/>
      <c r="AT39" s="20" t="n"/>
      <c r="AU39" s="20" t="n"/>
      <c r="AV39" s="20" t="n"/>
      <c r="AW39" s="20" t="n"/>
      <c r="AX39" s="20" t="n"/>
      <c r="AY39" s="20" t="n"/>
      <c r="AZ39" s="20" t="n"/>
      <c r="BA39" s="20" t="n"/>
    </row>
    <row r="40" ht="15" customHeight="1" s="18">
      <c r="A40" s="20">
        <f>IF(Projects!A40="","",Projects!A40)</f>
        <v/>
      </c>
      <c r="B40" s="20">
        <f>IF(Projects!B40="","",Projects!B40)</f>
        <v/>
      </c>
      <c r="C40" s="21">
        <f>IF(Projects!C40="","",Projects!C40)</f>
        <v/>
      </c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  <c r="AE40" s="20" t="n"/>
      <c r="AF40" s="20" t="n"/>
      <c r="AG40" s="20" t="n"/>
      <c r="AH40" s="20" t="n"/>
      <c r="AI40" s="20" t="n"/>
      <c r="AJ40" s="20" t="n"/>
      <c r="AK40" s="20" t="n"/>
      <c r="AL40" s="20" t="n"/>
      <c r="AM40" s="20" t="n"/>
      <c r="AN40" s="20" t="n"/>
      <c r="AO40" s="20" t="n"/>
      <c r="AP40" s="20" t="n"/>
      <c r="AQ40" s="20" t="n"/>
      <c r="AR40" s="20" t="n"/>
      <c r="AS40" s="20" t="n"/>
      <c r="AT40" s="20" t="n"/>
      <c r="AU40" s="20" t="n"/>
      <c r="AV40" s="20" t="n"/>
      <c r="AW40" s="20" t="n"/>
      <c r="AX40" s="20" t="n"/>
      <c r="AY40" s="20" t="n"/>
      <c r="AZ40" s="20" t="n"/>
      <c r="BA40" s="20" t="n"/>
    </row>
    <row r="41" ht="15" customHeight="1" s="18">
      <c r="A41" s="20">
        <f>IF(Projects!A41="","",Projects!A41)</f>
        <v/>
      </c>
      <c r="B41" s="20">
        <f>IF(Projects!B41="","",Projects!B41)</f>
        <v/>
      </c>
      <c r="C41" s="21">
        <f>IF(Projects!C41="","",Projects!C41)</f>
        <v/>
      </c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  <c r="AE41" s="20" t="n"/>
      <c r="AF41" s="20" t="n"/>
      <c r="AG41" s="20" t="n"/>
      <c r="AH41" s="20" t="n"/>
      <c r="AI41" s="20" t="n"/>
      <c r="AJ41" s="20" t="n"/>
      <c r="AK41" s="20" t="n"/>
      <c r="AL41" s="20" t="n"/>
      <c r="AM41" s="20" t="n"/>
      <c r="AN41" s="20" t="n"/>
      <c r="AO41" s="20" t="n"/>
      <c r="AP41" s="20" t="n"/>
      <c r="AQ41" s="20" t="n"/>
      <c r="AR41" s="20" t="n"/>
      <c r="AS41" s="20" t="n"/>
      <c r="AT41" s="20" t="n"/>
      <c r="AU41" s="20" t="n"/>
      <c r="AV41" s="20" t="n"/>
      <c r="AW41" s="20" t="n"/>
      <c r="AX41" s="20" t="n"/>
      <c r="AY41" s="20" t="n"/>
      <c r="AZ41" s="20" t="n"/>
      <c r="BA41" s="20" t="n"/>
    </row>
    <row r="42" ht="15" customHeight="1" s="18">
      <c r="A42" s="20">
        <f>IF(Projects!A42="","",Projects!A42)</f>
        <v/>
      </c>
      <c r="B42" s="20">
        <f>IF(Projects!B42="","",Projects!B42)</f>
        <v/>
      </c>
      <c r="C42" s="21">
        <f>IF(Projects!C42="","",Projects!C42)</f>
        <v/>
      </c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  <c r="AE42" s="20" t="n"/>
      <c r="AF42" s="20" t="n"/>
      <c r="AG42" s="20" t="n"/>
      <c r="AH42" s="20" t="n"/>
      <c r="AI42" s="20" t="n"/>
      <c r="AJ42" s="20" t="n"/>
      <c r="AK42" s="20" t="n"/>
      <c r="AL42" s="20" t="n"/>
      <c r="AM42" s="20" t="n"/>
      <c r="AN42" s="20" t="n"/>
      <c r="AO42" s="20" t="n"/>
      <c r="AP42" s="20" t="n"/>
      <c r="AQ42" s="20" t="n"/>
      <c r="AR42" s="20" t="n"/>
      <c r="AS42" s="20" t="n"/>
      <c r="AT42" s="20" t="n"/>
      <c r="AU42" s="20" t="n"/>
      <c r="AV42" s="20" t="n"/>
      <c r="AW42" s="20" t="n"/>
      <c r="AX42" s="20" t="n"/>
      <c r="AY42" s="20" t="n"/>
      <c r="AZ42" s="20" t="n"/>
      <c r="BA42" s="20" t="n"/>
    </row>
    <row r="43" ht="15" customHeight="1" s="18">
      <c r="A43" s="20">
        <f>IF(Projects!A43="","",Projects!A43)</f>
        <v/>
      </c>
      <c r="B43" s="20">
        <f>IF(Projects!B43="","",Projects!B43)</f>
        <v/>
      </c>
      <c r="C43" s="21">
        <f>IF(Projects!C43="","",Projects!C43)</f>
        <v/>
      </c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  <c r="AE43" s="20" t="n"/>
      <c r="AF43" s="20" t="n"/>
      <c r="AG43" s="20" t="n"/>
      <c r="AH43" s="20" t="n"/>
      <c r="AI43" s="20" t="n"/>
      <c r="AJ43" s="20" t="n"/>
      <c r="AK43" s="20" t="n"/>
      <c r="AL43" s="20" t="n"/>
      <c r="AM43" s="20" t="n"/>
      <c r="AN43" s="20" t="n"/>
      <c r="AO43" s="20" t="n"/>
      <c r="AP43" s="20" t="n"/>
      <c r="AQ43" s="20" t="n"/>
      <c r="AR43" s="20" t="n"/>
      <c r="AS43" s="20" t="n"/>
      <c r="AT43" s="20" t="n"/>
      <c r="AU43" s="20" t="n"/>
      <c r="AV43" s="20" t="n"/>
      <c r="AW43" s="20" t="n"/>
      <c r="AX43" s="20" t="n"/>
      <c r="AY43" s="20" t="n"/>
      <c r="AZ43" s="20" t="n"/>
      <c r="BA43" s="20" t="n"/>
    </row>
    <row r="44" ht="15" customHeight="1" s="18">
      <c r="A44" s="20">
        <f>IF(Projects!A44="","",Projects!A44)</f>
        <v/>
      </c>
      <c r="B44" s="20">
        <f>IF(Projects!B44="","",Projects!B44)</f>
        <v/>
      </c>
      <c r="C44" s="21">
        <f>IF(Projects!C44="","",Projects!C44)</f>
        <v/>
      </c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  <c r="AE44" s="20" t="n"/>
      <c r="AF44" s="20" t="n"/>
      <c r="AG44" s="20" t="n"/>
      <c r="AH44" s="20" t="n"/>
      <c r="AI44" s="20" t="n"/>
      <c r="AJ44" s="20" t="n"/>
      <c r="AK44" s="20" t="n"/>
      <c r="AL44" s="20" t="n"/>
      <c r="AM44" s="20" t="n"/>
      <c r="AN44" s="20" t="n"/>
      <c r="AO44" s="20" t="n"/>
      <c r="AP44" s="20" t="n"/>
      <c r="AQ44" s="20" t="n"/>
      <c r="AR44" s="20" t="n"/>
      <c r="AS44" s="20" t="n"/>
      <c r="AT44" s="20" t="n"/>
      <c r="AU44" s="20" t="n"/>
      <c r="AV44" s="20" t="n"/>
      <c r="AW44" s="20" t="n"/>
      <c r="AX44" s="20" t="n"/>
      <c r="AY44" s="20" t="n"/>
      <c r="AZ44" s="20" t="n"/>
      <c r="BA44" s="20" t="n"/>
    </row>
    <row r="45" ht="15" customHeight="1" s="18">
      <c r="A45" s="20">
        <f>IF(Projects!A45="","",Projects!A45)</f>
        <v/>
      </c>
      <c r="B45" s="20">
        <f>IF(Projects!B45="","",Projects!B45)</f>
        <v/>
      </c>
      <c r="C45" s="21">
        <f>IF(Projects!C45="","",Projects!C45)</f>
        <v/>
      </c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  <c r="AE45" s="20" t="n"/>
      <c r="AF45" s="20" t="n"/>
      <c r="AG45" s="20" t="n"/>
      <c r="AH45" s="20" t="n"/>
      <c r="AI45" s="20" t="n"/>
      <c r="AJ45" s="20" t="n"/>
      <c r="AK45" s="20" t="n"/>
      <c r="AL45" s="20" t="n"/>
      <c r="AM45" s="20" t="n"/>
      <c r="AN45" s="20" t="n"/>
      <c r="AO45" s="20" t="n"/>
      <c r="AP45" s="20" t="n"/>
      <c r="AQ45" s="20" t="n"/>
      <c r="AR45" s="20" t="n"/>
      <c r="AS45" s="20" t="n"/>
      <c r="AT45" s="20" t="n"/>
      <c r="AU45" s="20" t="n"/>
      <c r="AV45" s="20" t="n"/>
      <c r="AW45" s="20" t="n"/>
      <c r="AX45" s="20" t="n"/>
      <c r="AY45" s="20" t="n"/>
      <c r="AZ45" s="20" t="n"/>
      <c r="BA45" s="20" t="n"/>
    </row>
    <row r="46" ht="15" customHeight="1" s="18">
      <c r="A46" s="20">
        <f>IF(Projects!A46="","",Projects!A46)</f>
        <v/>
      </c>
      <c r="B46" s="20">
        <f>IF(Projects!B46="","",Projects!B46)</f>
        <v/>
      </c>
      <c r="C46" s="21">
        <f>IF(Projects!C46="","",Projects!C46)</f>
        <v/>
      </c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  <c r="AE46" s="20" t="n"/>
      <c r="AF46" s="20" t="n"/>
      <c r="AG46" s="20" t="n"/>
      <c r="AH46" s="20" t="n"/>
      <c r="AI46" s="20" t="n"/>
      <c r="AJ46" s="20" t="n"/>
      <c r="AK46" s="20" t="n"/>
      <c r="AL46" s="20" t="n"/>
      <c r="AM46" s="20" t="n"/>
      <c r="AN46" s="20" t="n"/>
      <c r="AO46" s="20" t="n"/>
      <c r="AP46" s="20" t="n"/>
      <c r="AQ46" s="20" t="n"/>
      <c r="AR46" s="20" t="n"/>
      <c r="AS46" s="20" t="n"/>
      <c r="AT46" s="20" t="n"/>
      <c r="AU46" s="20" t="n"/>
      <c r="AV46" s="20" t="n"/>
      <c r="AW46" s="20" t="n"/>
      <c r="AX46" s="20" t="n"/>
      <c r="AY46" s="20" t="n"/>
      <c r="AZ46" s="20" t="n"/>
      <c r="BA46" s="20" t="n"/>
    </row>
    <row r="47" ht="15" customHeight="1" s="18">
      <c r="A47" s="20">
        <f>IF(Projects!A47="","",Projects!A47)</f>
        <v/>
      </c>
      <c r="B47" s="20">
        <f>IF(Projects!B47="","",Projects!B47)</f>
        <v/>
      </c>
      <c r="C47" s="21">
        <f>IF(Projects!C47="","",Projects!C47)</f>
        <v/>
      </c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  <c r="AE47" s="20" t="n"/>
      <c r="AF47" s="20" t="n"/>
      <c r="AG47" s="20" t="n"/>
      <c r="AH47" s="20" t="n"/>
      <c r="AI47" s="20" t="n"/>
      <c r="AJ47" s="20" t="n"/>
      <c r="AK47" s="20" t="n"/>
      <c r="AL47" s="20" t="n"/>
      <c r="AM47" s="20" t="n"/>
      <c r="AN47" s="20" t="n"/>
      <c r="AO47" s="20" t="n"/>
      <c r="AP47" s="20" t="n"/>
      <c r="AQ47" s="20" t="n"/>
      <c r="AR47" s="20" t="n"/>
      <c r="AS47" s="20" t="n"/>
      <c r="AT47" s="20" t="n"/>
      <c r="AU47" s="20" t="n"/>
      <c r="AV47" s="20" t="n"/>
      <c r="AW47" s="20" t="n"/>
      <c r="AX47" s="20" t="n"/>
      <c r="AY47" s="20" t="n"/>
      <c r="AZ47" s="20" t="n"/>
      <c r="BA47" s="20" t="n"/>
    </row>
    <row r="48" ht="15" customHeight="1" s="18">
      <c r="A48" s="20">
        <f>IF(Projects!A48="","",Projects!A48)</f>
        <v/>
      </c>
      <c r="B48" s="20">
        <f>IF(Projects!B48="","",Projects!B48)</f>
        <v/>
      </c>
      <c r="C48" s="21">
        <f>IF(Projects!C48="","",Projects!C48)</f>
        <v/>
      </c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  <c r="AE48" s="20" t="n"/>
      <c r="AF48" s="20" t="n"/>
      <c r="AG48" s="20" t="n"/>
      <c r="AH48" s="20" t="n"/>
      <c r="AI48" s="20" t="n"/>
      <c r="AJ48" s="20" t="n"/>
      <c r="AK48" s="20" t="n"/>
      <c r="AL48" s="20" t="n"/>
      <c r="AM48" s="20" t="n"/>
      <c r="AN48" s="20" t="n"/>
      <c r="AO48" s="20" t="n"/>
      <c r="AP48" s="20" t="n"/>
      <c r="AQ48" s="20" t="n"/>
      <c r="AR48" s="20" t="n"/>
      <c r="AS48" s="20" t="n"/>
      <c r="AT48" s="20" t="n"/>
      <c r="AU48" s="20" t="n"/>
      <c r="AV48" s="20" t="n"/>
      <c r="AW48" s="20" t="n"/>
      <c r="AX48" s="20" t="n"/>
      <c r="AY48" s="20" t="n"/>
      <c r="AZ48" s="20" t="n"/>
      <c r="BA48" s="20" t="n"/>
    </row>
    <row r="49" ht="15" customHeight="1" s="18">
      <c r="A49" s="20">
        <f>IF(Projects!A49="","",Projects!A49)</f>
        <v/>
      </c>
      <c r="B49" s="20">
        <f>IF(Projects!B49="","",Projects!B49)</f>
        <v/>
      </c>
      <c r="C49" s="21">
        <f>IF(Projects!C49="","",Projects!C49)</f>
        <v/>
      </c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  <c r="AE49" s="20" t="n"/>
      <c r="AF49" s="20" t="n"/>
      <c r="AG49" s="20" t="n"/>
      <c r="AH49" s="20" t="n"/>
      <c r="AI49" s="20" t="n"/>
      <c r="AJ49" s="20" t="n"/>
      <c r="AK49" s="20" t="n"/>
      <c r="AL49" s="20" t="n"/>
      <c r="AM49" s="20" t="n"/>
      <c r="AN49" s="20" t="n"/>
      <c r="AO49" s="20" t="n"/>
      <c r="AP49" s="20" t="n"/>
      <c r="AQ49" s="20" t="n"/>
      <c r="AR49" s="20" t="n"/>
      <c r="AS49" s="20" t="n"/>
      <c r="AT49" s="20" t="n"/>
      <c r="AU49" s="20" t="n"/>
      <c r="AV49" s="20" t="n"/>
      <c r="AW49" s="20" t="n"/>
      <c r="AX49" s="20" t="n"/>
      <c r="AY49" s="20" t="n"/>
      <c r="AZ49" s="20" t="n"/>
      <c r="BA49" s="20" t="n"/>
    </row>
    <row r="50" ht="15" customHeight="1" s="18">
      <c r="A50" s="20">
        <f>IF(Projects!A50="","",Projects!A50)</f>
        <v/>
      </c>
      <c r="B50" s="20">
        <f>IF(Projects!B50="","",Projects!B50)</f>
        <v/>
      </c>
      <c r="C50" s="21">
        <f>IF(Projects!C50="","",Projects!C50)</f>
        <v/>
      </c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  <c r="AE50" s="20" t="n"/>
      <c r="AF50" s="20" t="n"/>
      <c r="AG50" s="20" t="n"/>
      <c r="AH50" s="20" t="n"/>
      <c r="AI50" s="20" t="n"/>
      <c r="AJ50" s="20" t="n"/>
      <c r="AK50" s="20" t="n"/>
      <c r="AL50" s="20" t="n"/>
      <c r="AM50" s="20" t="n"/>
      <c r="AN50" s="20" t="n"/>
      <c r="AO50" s="20" t="n"/>
      <c r="AP50" s="20" t="n"/>
      <c r="AQ50" s="20" t="n"/>
      <c r="AR50" s="20" t="n"/>
      <c r="AS50" s="20" t="n"/>
      <c r="AT50" s="20" t="n"/>
      <c r="AU50" s="20" t="n"/>
      <c r="AV50" s="20" t="n"/>
      <c r="AW50" s="20" t="n"/>
      <c r="AX50" s="20" t="n"/>
      <c r="AY50" s="20" t="n"/>
      <c r="AZ50" s="20" t="n"/>
      <c r="BA50" s="20" t="n"/>
    </row>
    <row r="51" ht="15" customHeight="1" s="18">
      <c r="A51" s="20">
        <f>IF(Projects!A51="","",Projects!A51)</f>
        <v/>
      </c>
      <c r="B51" s="20">
        <f>IF(Projects!B51="","",Projects!B51)</f>
        <v/>
      </c>
      <c r="C51" s="21">
        <f>IF(Projects!C51="","",Projects!C51)</f>
        <v/>
      </c>
      <c r="D51" s="20" t="n"/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  <c r="AE51" s="20" t="n"/>
      <c r="AF51" s="20" t="n"/>
      <c r="AG51" s="20" t="n"/>
      <c r="AH51" s="20" t="n"/>
      <c r="AI51" s="20" t="n"/>
      <c r="AJ51" s="20" t="n"/>
      <c r="AK51" s="20" t="n"/>
      <c r="AL51" s="20" t="n"/>
      <c r="AM51" s="20" t="n"/>
      <c r="AN51" s="20" t="n"/>
      <c r="AO51" s="20" t="n"/>
      <c r="AP51" s="20" t="n"/>
      <c r="AQ51" s="20" t="n"/>
      <c r="AR51" s="20" t="n"/>
      <c r="AS51" s="20" t="n"/>
      <c r="AT51" s="20" t="n"/>
      <c r="AU51" s="20" t="n"/>
      <c r="AV51" s="20" t="n"/>
      <c r="AW51" s="20" t="n"/>
      <c r="AX51" s="20" t="n"/>
      <c r="AY51" s="20" t="n"/>
      <c r="AZ51" s="20" t="n"/>
      <c r="BA51" s="20" t="n"/>
    </row>
    <row r="52" ht="15" customHeight="1" s="18">
      <c r="A52" s="20">
        <f>IF(Projects!A52="","",Projects!A52)</f>
        <v/>
      </c>
      <c r="B52" s="20">
        <f>IF(Projects!B52="","",Projects!B52)</f>
        <v/>
      </c>
      <c r="C52" s="21">
        <f>IF(Projects!C52="","",Projects!C52)</f>
        <v/>
      </c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  <c r="AE52" s="20" t="n"/>
      <c r="AF52" s="20" t="n"/>
      <c r="AG52" s="20" t="n"/>
      <c r="AH52" s="20" t="n"/>
      <c r="AI52" s="20" t="n"/>
      <c r="AJ52" s="20" t="n"/>
      <c r="AK52" s="20" t="n"/>
      <c r="AL52" s="20" t="n"/>
      <c r="AM52" s="20" t="n"/>
      <c r="AN52" s="20" t="n"/>
      <c r="AO52" s="20" t="n"/>
      <c r="AP52" s="20" t="n"/>
      <c r="AQ52" s="20" t="n"/>
      <c r="AR52" s="20" t="n"/>
      <c r="AS52" s="20" t="n"/>
      <c r="AT52" s="20" t="n"/>
      <c r="AU52" s="20" t="n"/>
      <c r="AV52" s="20" t="n"/>
      <c r="AW52" s="20" t="n"/>
      <c r="AX52" s="20" t="n"/>
      <c r="AY52" s="20" t="n"/>
      <c r="AZ52" s="20" t="n"/>
      <c r="BA52" s="20" t="n"/>
    </row>
    <row r="53" ht="15" customHeight="1" s="18">
      <c r="A53" s="20">
        <f>IF(Projects!A53="","",Projects!A53)</f>
        <v/>
      </c>
      <c r="B53" s="20">
        <f>IF(Projects!B53="","",Projects!B53)</f>
        <v/>
      </c>
      <c r="C53" s="21">
        <f>IF(Projects!C53="","",Projects!C53)</f>
        <v/>
      </c>
      <c r="D53" s="20" t="n"/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  <c r="AE53" s="20" t="n"/>
      <c r="AF53" s="20" t="n"/>
      <c r="AG53" s="20" t="n"/>
      <c r="AH53" s="20" t="n"/>
      <c r="AI53" s="20" t="n"/>
      <c r="AJ53" s="20" t="n"/>
      <c r="AK53" s="20" t="n"/>
      <c r="AL53" s="20" t="n"/>
      <c r="AM53" s="20" t="n"/>
      <c r="AN53" s="20" t="n"/>
      <c r="AO53" s="20" t="n"/>
      <c r="AP53" s="20" t="n"/>
      <c r="AQ53" s="20" t="n"/>
      <c r="AR53" s="20" t="n"/>
      <c r="AS53" s="20" t="n"/>
      <c r="AT53" s="20" t="n"/>
      <c r="AU53" s="20" t="n"/>
      <c r="AV53" s="20" t="n"/>
      <c r="AW53" s="20" t="n"/>
      <c r="AX53" s="20" t="n"/>
      <c r="AY53" s="20" t="n"/>
      <c r="AZ53" s="20" t="n"/>
      <c r="BA53" s="20" t="n"/>
    </row>
    <row r="54" ht="15" customHeight="1" s="18">
      <c r="A54" s="20">
        <f>IF(Projects!A54="","",Projects!A54)</f>
        <v/>
      </c>
      <c r="B54" s="20">
        <f>IF(Projects!B54="","",Projects!B54)</f>
        <v/>
      </c>
      <c r="C54" s="21">
        <f>IF(Projects!C54="","",Projects!C54)</f>
        <v/>
      </c>
      <c r="D54" s="20" t="n"/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  <c r="AE54" s="20" t="n"/>
      <c r="AF54" s="20" t="n"/>
      <c r="AG54" s="20" t="n"/>
      <c r="AH54" s="20" t="n"/>
      <c r="AI54" s="20" t="n"/>
      <c r="AJ54" s="20" t="n"/>
      <c r="AK54" s="20" t="n"/>
      <c r="AL54" s="20" t="n"/>
      <c r="AM54" s="20" t="n"/>
      <c r="AN54" s="20" t="n"/>
      <c r="AO54" s="20" t="n"/>
      <c r="AP54" s="20" t="n"/>
      <c r="AQ54" s="20" t="n"/>
      <c r="AR54" s="20" t="n"/>
      <c r="AS54" s="20" t="n"/>
      <c r="AT54" s="20" t="n"/>
      <c r="AU54" s="20" t="n"/>
      <c r="AV54" s="20" t="n"/>
      <c r="AW54" s="20" t="n"/>
      <c r="AX54" s="20" t="n"/>
      <c r="AY54" s="20" t="n"/>
      <c r="AZ54" s="20" t="n"/>
      <c r="BA54" s="20" t="n"/>
    </row>
    <row r="55" ht="15" customHeight="1" s="18">
      <c r="A55" s="20">
        <f>IF(Projects!A55="","",Projects!A55)</f>
        <v/>
      </c>
      <c r="B55" s="20">
        <f>IF(Projects!B55="","",Projects!B55)</f>
        <v/>
      </c>
      <c r="C55" s="21">
        <f>IF(Projects!C55="","",Projects!C55)</f>
        <v/>
      </c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  <c r="AE55" s="20" t="n"/>
      <c r="AF55" s="20" t="n"/>
      <c r="AG55" s="20" t="n"/>
      <c r="AH55" s="20" t="n"/>
      <c r="AI55" s="20" t="n"/>
      <c r="AJ55" s="20" t="n"/>
      <c r="AK55" s="20" t="n"/>
      <c r="AL55" s="20" t="n"/>
      <c r="AM55" s="20" t="n"/>
      <c r="AN55" s="20" t="n"/>
      <c r="AO55" s="20" t="n"/>
      <c r="AP55" s="20" t="n"/>
      <c r="AQ55" s="20" t="n"/>
      <c r="AR55" s="20" t="n"/>
      <c r="AS55" s="20" t="n"/>
      <c r="AT55" s="20" t="n"/>
      <c r="AU55" s="20" t="n"/>
      <c r="AV55" s="20" t="n"/>
      <c r="AW55" s="20" t="n"/>
      <c r="AX55" s="20" t="n"/>
      <c r="AY55" s="20" t="n"/>
      <c r="AZ55" s="20" t="n"/>
      <c r="BA55" s="20" t="n"/>
    </row>
    <row r="56" ht="15" customHeight="1" s="18">
      <c r="A56" s="20">
        <f>IF(Projects!A56="","",Projects!A56)</f>
        <v/>
      </c>
      <c r="B56" s="20">
        <f>IF(Projects!B56="","",Projects!B56)</f>
        <v/>
      </c>
      <c r="C56" s="21">
        <f>IF(Projects!C56="","",Projects!C56)</f>
        <v/>
      </c>
      <c r="D56" s="20" t="n"/>
      <c r="E56" s="20" t="n"/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  <c r="AE56" s="20" t="n"/>
      <c r="AF56" s="20" t="n"/>
      <c r="AG56" s="20" t="n"/>
      <c r="AH56" s="20" t="n"/>
      <c r="AI56" s="20" t="n"/>
      <c r="AJ56" s="20" t="n"/>
      <c r="AK56" s="20" t="n"/>
      <c r="AL56" s="20" t="n"/>
      <c r="AM56" s="20" t="n"/>
      <c r="AN56" s="20" t="n"/>
      <c r="AO56" s="20" t="n"/>
      <c r="AP56" s="20" t="n"/>
      <c r="AQ56" s="20" t="n"/>
      <c r="AR56" s="20" t="n"/>
      <c r="AS56" s="20" t="n"/>
      <c r="AT56" s="20" t="n"/>
      <c r="AU56" s="20" t="n"/>
      <c r="AV56" s="20" t="n"/>
      <c r="AW56" s="20" t="n"/>
      <c r="AX56" s="20" t="n"/>
      <c r="AY56" s="20" t="n"/>
      <c r="AZ56" s="20" t="n"/>
      <c r="BA56" s="20" t="n"/>
    </row>
    <row r="57" ht="15" customHeight="1" s="18">
      <c r="A57" s="20">
        <f>IF(Projects!A57="","",Projects!A57)</f>
        <v/>
      </c>
      <c r="B57" s="20">
        <f>IF(Projects!B57="","",Projects!B57)</f>
        <v/>
      </c>
      <c r="C57" s="21">
        <f>IF(Projects!C57="","",Projects!C57)</f>
        <v/>
      </c>
      <c r="D57" s="20" t="n"/>
      <c r="E57" s="20" t="n"/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  <c r="AE57" s="20" t="n"/>
      <c r="AF57" s="20" t="n"/>
      <c r="AG57" s="20" t="n"/>
      <c r="AH57" s="20" t="n"/>
      <c r="AI57" s="20" t="n"/>
      <c r="AJ57" s="20" t="n"/>
      <c r="AK57" s="20" t="n"/>
      <c r="AL57" s="20" t="n"/>
      <c r="AM57" s="20" t="n"/>
      <c r="AN57" s="20" t="n"/>
      <c r="AO57" s="20" t="n"/>
      <c r="AP57" s="20" t="n"/>
      <c r="AQ57" s="20" t="n"/>
      <c r="AR57" s="20" t="n"/>
      <c r="AS57" s="20" t="n"/>
      <c r="AT57" s="20" t="n"/>
      <c r="AU57" s="20" t="n"/>
      <c r="AV57" s="20" t="n"/>
      <c r="AW57" s="20" t="n"/>
      <c r="AX57" s="20" t="n"/>
      <c r="AY57" s="20" t="n"/>
      <c r="AZ57" s="20" t="n"/>
      <c r="BA57" s="20" t="n"/>
    </row>
    <row r="58" ht="15" customHeight="1" s="18">
      <c r="A58" s="20">
        <f>IF(Projects!A58="","",Projects!A58)</f>
        <v/>
      </c>
      <c r="B58" s="20">
        <f>IF(Projects!B58="","",Projects!B58)</f>
        <v/>
      </c>
      <c r="C58" s="21">
        <f>IF(Projects!C58="","",Projects!C58)</f>
        <v/>
      </c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  <c r="AE58" s="20" t="n"/>
      <c r="AF58" s="20" t="n"/>
      <c r="AG58" s="20" t="n"/>
      <c r="AH58" s="20" t="n"/>
      <c r="AI58" s="20" t="n"/>
      <c r="AJ58" s="20" t="n"/>
      <c r="AK58" s="20" t="n"/>
      <c r="AL58" s="20" t="n"/>
      <c r="AM58" s="20" t="n"/>
      <c r="AN58" s="20" t="n"/>
      <c r="AO58" s="20" t="n"/>
      <c r="AP58" s="20" t="n"/>
      <c r="AQ58" s="20" t="n"/>
      <c r="AR58" s="20" t="n"/>
      <c r="AS58" s="20" t="n"/>
      <c r="AT58" s="20" t="n"/>
      <c r="AU58" s="20" t="n"/>
      <c r="AV58" s="20" t="n"/>
      <c r="AW58" s="20" t="n"/>
      <c r="AX58" s="20" t="n"/>
      <c r="AY58" s="20" t="n"/>
      <c r="AZ58" s="20" t="n"/>
      <c r="BA58" s="20" t="n"/>
    </row>
    <row r="59" ht="15" customHeight="1" s="18">
      <c r="A59" s="20">
        <f>IF(Projects!A59="","",Projects!A59)</f>
        <v/>
      </c>
      <c r="B59" s="20">
        <f>IF(Projects!B59="","",Projects!B59)</f>
        <v/>
      </c>
      <c r="C59" s="21">
        <f>IF(Projects!C59="","",Projects!C59)</f>
        <v/>
      </c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  <c r="AE59" s="20" t="n"/>
      <c r="AF59" s="20" t="n"/>
      <c r="AG59" s="20" t="n"/>
      <c r="AH59" s="20" t="n"/>
      <c r="AI59" s="20" t="n"/>
      <c r="AJ59" s="20" t="n"/>
      <c r="AK59" s="20" t="n"/>
      <c r="AL59" s="20" t="n"/>
      <c r="AM59" s="20" t="n"/>
      <c r="AN59" s="20" t="n"/>
      <c r="AO59" s="20" t="n"/>
      <c r="AP59" s="20" t="n"/>
      <c r="AQ59" s="20" t="n"/>
      <c r="AR59" s="20" t="n"/>
      <c r="AS59" s="20" t="n"/>
      <c r="AT59" s="20" t="n"/>
      <c r="AU59" s="20" t="n"/>
      <c r="AV59" s="20" t="n"/>
      <c r="AW59" s="20" t="n"/>
      <c r="AX59" s="20" t="n"/>
      <c r="AY59" s="20" t="n"/>
      <c r="AZ59" s="20" t="n"/>
      <c r="BA59" s="20" t="n"/>
    </row>
    <row r="60" ht="15" customHeight="1" s="18">
      <c r="A60" s="20">
        <f>IF(Projects!A60="","",Projects!A60)</f>
        <v/>
      </c>
      <c r="B60" s="20">
        <f>IF(Projects!B60="","",Projects!B60)</f>
        <v/>
      </c>
      <c r="C60" s="21">
        <f>IF(Projects!C60="","",Projects!C60)</f>
        <v/>
      </c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  <c r="AE60" s="20" t="n"/>
      <c r="AF60" s="20" t="n"/>
      <c r="AG60" s="20" t="n"/>
      <c r="AH60" s="20" t="n"/>
      <c r="AI60" s="20" t="n"/>
      <c r="AJ60" s="20" t="n"/>
      <c r="AK60" s="20" t="n"/>
      <c r="AL60" s="20" t="n"/>
      <c r="AM60" s="20" t="n"/>
      <c r="AN60" s="20" t="n"/>
      <c r="AO60" s="20" t="n"/>
      <c r="AP60" s="20" t="n"/>
      <c r="AQ60" s="20" t="n"/>
      <c r="AR60" s="20" t="n"/>
      <c r="AS60" s="20" t="n"/>
      <c r="AT60" s="20" t="n"/>
      <c r="AU60" s="20" t="n"/>
      <c r="AV60" s="20" t="n"/>
      <c r="AW60" s="20" t="n"/>
      <c r="AX60" s="20" t="n"/>
      <c r="AY60" s="20" t="n"/>
      <c r="AZ60" s="20" t="n"/>
      <c r="BA60" s="20" t="n"/>
    </row>
    <row r="61" ht="15" customHeight="1" s="18">
      <c r="A61" s="20">
        <f>IF(Projects!A61="","",Projects!A61)</f>
        <v/>
      </c>
      <c r="B61" s="20">
        <f>IF(Projects!B61="","",Projects!B61)</f>
        <v/>
      </c>
      <c r="C61" s="21">
        <f>IF(Projects!C61="","",Projects!C61)</f>
        <v/>
      </c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  <c r="AE61" s="20" t="n"/>
      <c r="AF61" s="20" t="n"/>
      <c r="AG61" s="20" t="n"/>
      <c r="AH61" s="20" t="n"/>
      <c r="AI61" s="20" t="n"/>
      <c r="AJ61" s="20" t="n"/>
      <c r="AK61" s="20" t="n"/>
      <c r="AL61" s="20" t="n"/>
      <c r="AM61" s="20" t="n"/>
      <c r="AN61" s="20" t="n"/>
      <c r="AO61" s="20" t="n"/>
      <c r="AP61" s="20" t="n"/>
      <c r="AQ61" s="20" t="n"/>
      <c r="AR61" s="20" t="n"/>
      <c r="AS61" s="20" t="n"/>
      <c r="AT61" s="20" t="n"/>
      <c r="AU61" s="20" t="n"/>
      <c r="AV61" s="20" t="n"/>
      <c r="AW61" s="20" t="n"/>
      <c r="AX61" s="20" t="n"/>
      <c r="AY61" s="20" t="n"/>
      <c r="AZ61" s="20" t="n"/>
      <c r="BA61" s="20" t="n"/>
    </row>
    <row r="62" ht="15" customHeight="1" s="18">
      <c r="A62" s="20">
        <f>IF(Projects!A62="","",Projects!A62)</f>
        <v/>
      </c>
      <c r="B62" s="20">
        <f>IF(Projects!B62="","",Projects!B62)</f>
        <v/>
      </c>
      <c r="C62" s="21">
        <f>IF(Projects!C62="","",Projects!C62)</f>
        <v/>
      </c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  <c r="AE62" s="20" t="n"/>
      <c r="AF62" s="20" t="n"/>
      <c r="AG62" s="20" t="n"/>
      <c r="AH62" s="20" t="n"/>
      <c r="AI62" s="20" t="n"/>
      <c r="AJ62" s="20" t="n"/>
      <c r="AK62" s="20" t="n"/>
      <c r="AL62" s="20" t="n"/>
      <c r="AM62" s="20" t="n"/>
      <c r="AN62" s="20" t="n"/>
      <c r="AO62" s="20" t="n"/>
      <c r="AP62" s="20" t="n"/>
      <c r="AQ62" s="20" t="n"/>
      <c r="AR62" s="20" t="n"/>
      <c r="AS62" s="20" t="n"/>
      <c r="AT62" s="20" t="n"/>
      <c r="AU62" s="20" t="n"/>
      <c r="AV62" s="20" t="n"/>
      <c r="AW62" s="20" t="n"/>
      <c r="AX62" s="20" t="n"/>
      <c r="AY62" s="20" t="n"/>
      <c r="AZ62" s="20" t="n"/>
      <c r="BA62" s="20" t="n"/>
    </row>
    <row r="63" ht="15" customHeight="1" s="18">
      <c r="A63" s="20">
        <f>IF(Projects!A63="","",Projects!A63)</f>
        <v/>
      </c>
      <c r="B63" s="20">
        <f>IF(Projects!B63="","",Projects!B63)</f>
        <v/>
      </c>
      <c r="C63" s="21">
        <f>IF(Projects!C63="","",Projects!C63)</f>
        <v/>
      </c>
      <c r="D63" s="20" t="n"/>
      <c r="E63" s="20" t="n"/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  <c r="AE63" s="20" t="n"/>
      <c r="AF63" s="20" t="n"/>
      <c r="AG63" s="20" t="n"/>
      <c r="AH63" s="20" t="n"/>
      <c r="AI63" s="20" t="n"/>
      <c r="AJ63" s="20" t="n"/>
      <c r="AK63" s="20" t="n"/>
      <c r="AL63" s="20" t="n"/>
      <c r="AM63" s="20" t="n"/>
      <c r="AN63" s="20" t="n"/>
      <c r="AO63" s="20" t="n"/>
      <c r="AP63" s="20" t="n"/>
      <c r="AQ63" s="20" t="n"/>
      <c r="AR63" s="20" t="n"/>
      <c r="AS63" s="20" t="n"/>
      <c r="AT63" s="20" t="n"/>
      <c r="AU63" s="20" t="n"/>
      <c r="AV63" s="20" t="n"/>
      <c r="AW63" s="20" t="n"/>
      <c r="AX63" s="20" t="n"/>
      <c r="AY63" s="20" t="n"/>
      <c r="AZ63" s="20" t="n"/>
      <c r="BA63" s="20" t="n"/>
    </row>
    <row r="64" ht="15" customHeight="1" s="18">
      <c r="A64" s="20">
        <f>IF(Projects!A64="","",Projects!A64)</f>
        <v/>
      </c>
      <c r="B64" s="20">
        <f>IF(Projects!B64="","",Projects!B64)</f>
        <v/>
      </c>
      <c r="C64" s="21">
        <f>IF(Projects!C64="","",Projects!C64)</f>
        <v/>
      </c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  <c r="AE64" s="20" t="n"/>
      <c r="AF64" s="20" t="n"/>
      <c r="AG64" s="20" t="n"/>
      <c r="AH64" s="20" t="n"/>
      <c r="AI64" s="20" t="n"/>
      <c r="AJ64" s="20" t="n"/>
      <c r="AK64" s="20" t="n"/>
      <c r="AL64" s="20" t="n"/>
      <c r="AM64" s="20" t="n"/>
      <c r="AN64" s="20" t="n"/>
      <c r="AO64" s="20" t="n"/>
      <c r="AP64" s="20" t="n"/>
      <c r="AQ64" s="20" t="n"/>
      <c r="AR64" s="20" t="n"/>
      <c r="AS64" s="20" t="n"/>
      <c r="AT64" s="20" t="n"/>
      <c r="AU64" s="20" t="n"/>
      <c r="AV64" s="20" t="n"/>
      <c r="AW64" s="20" t="n"/>
      <c r="AX64" s="20" t="n"/>
      <c r="AY64" s="20" t="n"/>
      <c r="AZ64" s="20" t="n"/>
      <c r="BA64" s="20" t="n"/>
    </row>
    <row r="65" ht="15" customHeight="1" s="18">
      <c r="A65" s="20">
        <f>IF(Projects!A65="","",Projects!A65)</f>
        <v/>
      </c>
      <c r="B65" s="20">
        <f>IF(Projects!B65="","",Projects!B65)</f>
        <v/>
      </c>
      <c r="C65" s="21">
        <f>IF(Projects!C65="","",Projects!C65)</f>
        <v/>
      </c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  <c r="AE65" s="20" t="n"/>
      <c r="AF65" s="20" t="n"/>
      <c r="AG65" s="20" t="n"/>
      <c r="AH65" s="20" t="n"/>
      <c r="AI65" s="20" t="n"/>
      <c r="AJ65" s="20" t="n"/>
      <c r="AK65" s="20" t="n"/>
      <c r="AL65" s="20" t="n"/>
      <c r="AM65" s="20" t="n"/>
      <c r="AN65" s="20" t="n"/>
      <c r="AO65" s="20" t="n"/>
      <c r="AP65" s="20" t="n"/>
      <c r="AQ65" s="20" t="n"/>
      <c r="AR65" s="20" t="n"/>
      <c r="AS65" s="20" t="n"/>
      <c r="AT65" s="20" t="n"/>
      <c r="AU65" s="20" t="n"/>
      <c r="AV65" s="20" t="n"/>
      <c r="AW65" s="20" t="n"/>
      <c r="AX65" s="20" t="n"/>
      <c r="AY65" s="20" t="n"/>
      <c r="AZ65" s="20" t="n"/>
      <c r="BA65" s="20" t="n"/>
    </row>
    <row r="66" ht="15" customHeight="1" s="18">
      <c r="A66" s="20">
        <f>IF(Projects!A66="","",Projects!A66)</f>
        <v/>
      </c>
      <c r="B66" s="20">
        <f>IF(Projects!B66="","",Projects!B66)</f>
        <v/>
      </c>
      <c r="C66" s="21">
        <f>IF(Projects!C66="","",Projects!C66)</f>
        <v/>
      </c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  <c r="AI66" s="20" t="n"/>
      <c r="AJ66" s="20" t="n"/>
      <c r="AK66" s="20" t="n"/>
      <c r="AL66" s="20" t="n"/>
      <c r="AM66" s="20" t="n"/>
      <c r="AN66" s="20" t="n"/>
      <c r="AO66" s="20" t="n"/>
      <c r="AP66" s="20" t="n"/>
      <c r="AQ66" s="20" t="n"/>
      <c r="AR66" s="20" t="n"/>
      <c r="AS66" s="20" t="n"/>
      <c r="AT66" s="20" t="n"/>
      <c r="AU66" s="20" t="n"/>
      <c r="AV66" s="20" t="n"/>
      <c r="AW66" s="20" t="n"/>
      <c r="AX66" s="20" t="n"/>
      <c r="AY66" s="20" t="n"/>
      <c r="AZ66" s="20" t="n"/>
      <c r="BA66" s="20" t="n"/>
    </row>
    <row r="67" ht="15" customHeight="1" s="18">
      <c r="A67" s="20">
        <f>IF(Projects!A67="","",Projects!A67)</f>
        <v/>
      </c>
      <c r="B67" s="20">
        <f>IF(Projects!B67="","",Projects!B67)</f>
        <v/>
      </c>
      <c r="C67" s="21">
        <f>IF(Projects!C67="","",Projects!C67)</f>
        <v/>
      </c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  <c r="AX67" s="20" t="n"/>
      <c r="AY67" s="20" t="n"/>
      <c r="AZ67" s="20" t="n"/>
      <c r="BA67" s="20" t="n"/>
    </row>
    <row r="68" ht="15" customHeight="1" s="18">
      <c r="A68" s="20">
        <f>IF(Projects!A68="","",Projects!A68)</f>
        <v/>
      </c>
      <c r="B68" s="20">
        <f>IF(Projects!B68="","",Projects!B68)</f>
        <v/>
      </c>
      <c r="C68" s="21">
        <f>IF(Projects!C68="","",Projects!C68)</f>
        <v/>
      </c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</row>
    <row r="69" ht="15" customHeight="1" s="18">
      <c r="A69" s="20">
        <f>IF(Projects!A69="","",Projects!A69)</f>
        <v/>
      </c>
      <c r="B69" s="20">
        <f>IF(Projects!B69="","",Projects!B69)</f>
        <v/>
      </c>
      <c r="C69" s="21">
        <f>IF(Projects!C69="","",Projects!C69)</f>
        <v/>
      </c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  <c r="AI69" s="20" t="n"/>
      <c r="AJ69" s="20" t="n"/>
      <c r="AK69" s="20" t="n"/>
      <c r="AL69" s="20" t="n"/>
      <c r="AM69" s="20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</row>
    <row r="70" ht="15" customHeight="1" s="18">
      <c r="A70" s="20">
        <f>IF(Projects!A70="","",Projects!A70)</f>
        <v/>
      </c>
      <c r="B70" s="20">
        <f>IF(Projects!B70="","",Projects!B70)</f>
        <v/>
      </c>
      <c r="C70" s="21">
        <f>IF(Projects!C70="","",Projects!C70)</f>
        <v/>
      </c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  <c r="AI70" s="20" t="n"/>
      <c r="AJ70" s="20" t="n"/>
      <c r="AK70" s="20" t="n"/>
      <c r="AL70" s="20" t="n"/>
      <c r="AM70" s="20" t="n"/>
      <c r="AN70" s="20" t="n"/>
      <c r="AO70" s="20" t="n"/>
      <c r="AP70" s="20" t="n"/>
      <c r="AQ70" s="20" t="n"/>
      <c r="AR70" s="20" t="n"/>
      <c r="AS70" s="20" t="n"/>
      <c r="AT70" s="20" t="n"/>
      <c r="AU70" s="20" t="n"/>
      <c r="AV70" s="20" t="n"/>
      <c r="AW70" s="20" t="n"/>
      <c r="AX70" s="20" t="n"/>
      <c r="AY70" s="20" t="n"/>
      <c r="AZ70" s="20" t="n"/>
      <c r="BA70" s="20" t="n"/>
    </row>
    <row r="71" ht="15" customHeight="1" s="18">
      <c r="A71" s="20">
        <f>IF(Projects!A71="","",Projects!A71)</f>
        <v/>
      </c>
      <c r="B71" s="20">
        <f>IF(Projects!B71="","",Projects!B71)</f>
        <v/>
      </c>
      <c r="C71" s="21">
        <f>IF(Projects!C71="","",Projects!C71)</f>
        <v/>
      </c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  <c r="AI71" s="20" t="n"/>
      <c r="AJ71" s="20" t="n"/>
      <c r="AK71" s="20" t="n"/>
      <c r="AL71" s="20" t="n"/>
      <c r="AM71" s="20" t="n"/>
      <c r="AN71" s="20" t="n"/>
      <c r="AO71" s="20" t="n"/>
      <c r="AP71" s="20" t="n"/>
      <c r="AQ71" s="20" t="n"/>
      <c r="AR71" s="20" t="n"/>
      <c r="AS71" s="20" t="n"/>
      <c r="AT71" s="20" t="n"/>
      <c r="AU71" s="20" t="n"/>
      <c r="AV71" s="20" t="n"/>
      <c r="AW71" s="20" t="n"/>
      <c r="AX71" s="20" t="n"/>
      <c r="AY71" s="20" t="n"/>
      <c r="AZ71" s="20" t="n"/>
      <c r="BA71" s="20" t="n"/>
    </row>
    <row r="72" ht="15" customHeight="1" s="18">
      <c r="A72" s="20">
        <f>IF(Projects!A72="","",Projects!A72)</f>
        <v/>
      </c>
      <c r="B72" s="20">
        <f>IF(Projects!B72="","",Projects!B72)</f>
        <v/>
      </c>
      <c r="C72" s="21">
        <f>IF(Projects!C72="","",Projects!C72)</f>
        <v/>
      </c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  <c r="AI72" s="20" t="n"/>
      <c r="AJ72" s="20" t="n"/>
      <c r="AK72" s="20" t="n"/>
      <c r="AL72" s="20" t="n"/>
      <c r="AM72" s="20" t="n"/>
      <c r="AN72" s="20" t="n"/>
      <c r="AO72" s="20" t="n"/>
      <c r="AP72" s="20" t="n"/>
      <c r="AQ72" s="20" t="n"/>
      <c r="AR72" s="20" t="n"/>
      <c r="AS72" s="20" t="n"/>
      <c r="AT72" s="20" t="n"/>
      <c r="AU72" s="20" t="n"/>
      <c r="AV72" s="20" t="n"/>
      <c r="AW72" s="20" t="n"/>
      <c r="AX72" s="20" t="n"/>
      <c r="AY72" s="20" t="n"/>
      <c r="AZ72" s="20" t="n"/>
      <c r="BA72" s="20" t="n"/>
    </row>
    <row r="73" ht="15" customHeight="1" s="18">
      <c r="A73" s="20">
        <f>IF(Projects!A73="","",Projects!A73)</f>
        <v/>
      </c>
      <c r="B73" s="20">
        <f>IF(Projects!B73="","",Projects!B73)</f>
        <v/>
      </c>
      <c r="C73" s="21">
        <f>IF(Projects!C73="","",Projects!C73)</f>
        <v/>
      </c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  <c r="AI73" s="20" t="n"/>
      <c r="AJ73" s="20" t="n"/>
      <c r="AK73" s="20" t="n"/>
      <c r="AL73" s="20" t="n"/>
      <c r="AM73" s="20" t="n"/>
      <c r="AN73" s="20" t="n"/>
      <c r="AO73" s="20" t="n"/>
      <c r="AP73" s="20" t="n"/>
      <c r="AQ73" s="20" t="n"/>
      <c r="AR73" s="20" t="n"/>
      <c r="AS73" s="20" t="n"/>
      <c r="AT73" s="20" t="n"/>
      <c r="AU73" s="20" t="n"/>
      <c r="AV73" s="20" t="n"/>
      <c r="AW73" s="20" t="n"/>
      <c r="AX73" s="20" t="n"/>
      <c r="AY73" s="20" t="n"/>
      <c r="AZ73" s="20" t="n"/>
      <c r="BA73" s="20" t="n"/>
    </row>
    <row r="74" ht="15" customHeight="1" s="18">
      <c r="A74" s="20">
        <f>IF(Projects!A74="","",Projects!A74)</f>
        <v/>
      </c>
      <c r="B74" s="20">
        <f>IF(Projects!B74="","",Projects!B74)</f>
        <v/>
      </c>
      <c r="C74" s="21">
        <f>IF(Projects!C74="","",Projects!C74)</f>
        <v/>
      </c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  <c r="AI74" s="20" t="n"/>
      <c r="AJ74" s="20" t="n"/>
      <c r="AK74" s="20" t="n"/>
      <c r="AL74" s="20" t="n"/>
      <c r="AM74" s="20" t="n"/>
      <c r="AN74" s="20" t="n"/>
      <c r="AO74" s="20" t="n"/>
      <c r="AP74" s="20" t="n"/>
      <c r="AQ74" s="20" t="n"/>
      <c r="AR74" s="20" t="n"/>
      <c r="AS74" s="20" t="n"/>
      <c r="AT74" s="20" t="n"/>
      <c r="AU74" s="20" t="n"/>
      <c r="AV74" s="20" t="n"/>
      <c r="AW74" s="20" t="n"/>
      <c r="AX74" s="20" t="n"/>
      <c r="AY74" s="20" t="n"/>
      <c r="AZ74" s="20" t="n"/>
      <c r="BA74" s="20" t="n"/>
    </row>
    <row r="75" ht="15" customHeight="1" s="18">
      <c r="A75" s="20">
        <f>IF(Projects!A75="","",Projects!A75)</f>
        <v/>
      </c>
      <c r="B75" s="20">
        <f>IF(Projects!B75="","",Projects!B75)</f>
        <v/>
      </c>
      <c r="C75" s="21">
        <f>IF(Projects!C75="","",Projects!C75)</f>
        <v/>
      </c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  <c r="AI75" s="20" t="n"/>
      <c r="AJ75" s="20" t="n"/>
      <c r="AK75" s="20" t="n"/>
      <c r="AL75" s="20" t="n"/>
      <c r="AM75" s="20" t="n"/>
      <c r="AN75" s="20" t="n"/>
      <c r="AO75" s="20" t="n"/>
      <c r="AP75" s="20" t="n"/>
      <c r="AQ75" s="20" t="n"/>
      <c r="AR75" s="20" t="n"/>
      <c r="AS75" s="20" t="n"/>
      <c r="AT75" s="20" t="n"/>
      <c r="AU75" s="20" t="n"/>
      <c r="AV75" s="20" t="n"/>
      <c r="AW75" s="20" t="n"/>
      <c r="AX75" s="20" t="n"/>
      <c r="AY75" s="20" t="n"/>
      <c r="AZ75" s="20" t="n"/>
      <c r="BA75" s="20" t="n"/>
    </row>
    <row r="76" ht="15" customHeight="1" s="18">
      <c r="A76" s="20">
        <f>IF(Projects!A76="","",Projects!A76)</f>
        <v/>
      </c>
      <c r="B76" s="20">
        <f>IF(Projects!B76="","",Projects!B76)</f>
        <v/>
      </c>
      <c r="C76" s="21">
        <f>IF(Projects!C76="","",Projects!C76)</f>
        <v/>
      </c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  <c r="AI76" s="20" t="n"/>
      <c r="AJ76" s="20" t="n"/>
      <c r="AK76" s="20" t="n"/>
      <c r="AL76" s="20" t="n"/>
      <c r="AM76" s="20" t="n"/>
      <c r="AN76" s="20" t="n"/>
      <c r="AO76" s="20" t="n"/>
      <c r="AP76" s="20" t="n"/>
      <c r="AQ76" s="20" t="n"/>
      <c r="AR76" s="20" t="n"/>
      <c r="AS76" s="20" t="n"/>
      <c r="AT76" s="20" t="n"/>
      <c r="AU76" s="20" t="n"/>
      <c r="AV76" s="20" t="n"/>
      <c r="AW76" s="20" t="n"/>
      <c r="AX76" s="20" t="n"/>
      <c r="AY76" s="20" t="n"/>
      <c r="AZ76" s="20" t="n"/>
      <c r="BA76" s="20" t="n"/>
    </row>
    <row r="77" ht="15" customHeight="1" s="18">
      <c r="A77" s="20">
        <f>IF(Projects!A77="","",Projects!A77)</f>
        <v/>
      </c>
      <c r="B77" s="20">
        <f>IF(Projects!B77="","",Projects!B77)</f>
        <v/>
      </c>
      <c r="C77" s="21">
        <f>IF(Projects!C77="","",Projects!C77)</f>
        <v/>
      </c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  <c r="AI77" s="20" t="n"/>
      <c r="AJ77" s="20" t="n"/>
      <c r="AK77" s="20" t="n"/>
      <c r="AL77" s="20" t="n"/>
      <c r="AM77" s="20" t="n"/>
      <c r="AN77" s="20" t="n"/>
      <c r="AO77" s="20" t="n"/>
      <c r="AP77" s="20" t="n"/>
      <c r="AQ77" s="20" t="n"/>
      <c r="AR77" s="20" t="n"/>
      <c r="AS77" s="20" t="n"/>
      <c r="AT77" s="20" t="n"/>
      <c r="AU77" s="20" t="n"/>
      <c r="AV77" s="20" t="n"/>
      <c r="AW77" s="20" t="n"/>
      <c r="AX77" s="20" t="n"/>
      <c r="AY77" s="20" t="n"/>
      <c r="AZ77" s="20" t="n"/>
      <c r="BA77" s="20" t="n"/>
    </row>
    <row r="78" ht="15" customHeight="1" s="18">
      <c r="A78" s="20">
        <f>IF(Projects!A78="","",Projects!A78)</f>
        <v/>
      </c>
      <c r="B78" s="20">
        <f>IF(Projects!B78="","",Projects!B78)</f>
        <v/>
      </c>
      <c r="C78" s="21">
        <f>IF(Projects!C78="","",Projects!C78)</f>
        <v/>
      </c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  <c r="AI78" s="20" t="n"/>
      <c r="AJ78" s="20" t="n"/>
      <c r="AK78" s="20" t="n"/>
      <c r="AL78" s="20" t="n"/>
      <c r="AM78" s="20" t="n"/>
      <c r="AN78" s="20" t="n"/>
      <c r="AO78" s="20" t="n"/>
      <c r="AP78" s="20" t="n"/>
      <c r="AQ78" s="20" t="n"/>
      <c r="AR78" s="20" t="n"/>
      <c r="AS78" s="20" t="n"/>
      <c r="AT78" s="20" t="n"/>
      <c r="AU78" s="20" t="n"/>
      <c r="AV78" s="20" t="n"/>
      <c r="AW78" s="20" t="n"/>
      <c r="AX78" s="20" t="n"/>
      <c r="AY78" s="20" t="n"/>
      <c r="AZ78" s="20" t="n"/>
      <c r="BA78" s="20" t="n"/>
    </row>
    <row r="79" ht="15" customHeight="1" s="18">
      <c r="A79" s="20">
        <f>IF(Projects!A79="","",Projects!A79)</f>
        <v/>
      </c>
      <c r="B79" s="20">
        <f>IF(Projects!B79="","",Projects!B79)</f>
        <v/>
      </c>
      <c r="C79" s="21">
        <f>IF(Projects!C79="","",Projects!C79)</f>
        <v/>
      </c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20" t="n"/>
      <c r="AI79" s="20" t="n"/>
      <c r="AJ79" s="20" t="n"/>
      <c r="AK79" s="20" t="n"/>
      <c r="AL79" s="20" t="n"/>
      <c r="AM79" s="20" t="n"/>
      <c r="AN79" s="20" t="n"/>
      <c r="AO79" s="20" t="n"/>
      <c r="AP79" s="20" t="n"/>
      <c r="AQ79" s="20" t="n"/>
      <c r="AR79" s="20" t="n"/>
      <c r="AS79" s="20" t="n"/>
      <c r="AT79" s="20" t="n"/>
      <c r="AU79" s="20" t="n"/>
      <c r="AV79" s="20" t="n"/>
      <c r="AW79" s="20" t="n"/>
      <c r="AX79" s="20" t="n"/>
      <c r="AY79" s="20" t="n"/>
      <c r="AZ79" s="20" t="n"/>
      <c r="BA79" s="20" t="n"/>
    </row>
    <row r="80" ht="15" customHeight="1" s="18">
      <c r="A80" s="20">
        <f>IF(Projects!A80="","",Projects!A80)</f>
        <v/>
      </c>
      <c r="B80" s="20">
        <f>IF(Projects!B80="","",Projects!B80)</f>
        <v/>
      </c>
      <c r="C80" s="21">
        <f>IF(Projects!C80="","",Projects!C80)</f>
        <v/>
      </c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20" t="n"/>
      <c r="AI80" s="20" t="n"/>
      <c r="AJ80" s="20" t="n"/>
      <c r="AK80" s="20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20" t="n"/>
    </row>
    <row r="81" ht="15" customHeight="1" s="18">
      <c r="A81" s="20">
        <f>IF(Projects!A81="","",Projects!A81)</f>
        <v/>
      </c>
      <c r="B81" s="20">
        <f>IF(Projects!B81="","",Projects!B81)</f>
        <v/>
      </c>
      <c r="C81" s="21">
        <f>IF(Projects!C81="","",Projects!C81)</f>
        <v/>
      </c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  <c r="AI81" s="20" t="n"/>
      <c r="AJ81" s="20" t="n"/>
      <c r="AK81" s="20" t="n"/>
      <c r="AL81" s="20" t="n"/>
      <c r="AM81" s="20" t="n"/>
      <c r="AN81" s="20" t="n"/>
      <c r="AO81" s="20" t="n"/>
      <c r="AP81" s="20" t="n"/>
      <c r="AQ81" s="20" t="n"/>
      <c r="AR81" s="20" t="n"/>
      <c r="AS81" s="20" t="n"/>
      <c r="AT81" s="20" t="n"/>
      <c r="AU81" s="20" t="n"/>
      <c r="AV81" s="20" t="n"/>
      <c r="AW81" s="20" t="n"/>
      <c r="AX81" s="20" t="n"/>
      <c r="AY81" s="20" t="n"/>
      <c r="AZ81" s="20" t="n"/>
      <c r="BA81" s="20" t="n"/>
    </row>
    <row r="82" ht="15" customHeight="1" s="18">
      <c r="A82" s="20">
        <f>IF(Projects!A82="","",Projects!A82)</f>
        <v/>
      </c>
      <c r="B82" s="20">
        <f>IF(Projects!B82="","",Projects!B82)</f>
        <v/>
      </c>
      <c r="C82" s="21">
        <f>IF(Projects!C82="","",Projects!C82)</f>
        <v/>
      </c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20" t="n"/>
      <c r="AI82" s="20" t="n"/>
      <c r="AJ82" s="20" t="n"/>
      <c r="AK82" s="20" t="n"/>
      <c r="AL82" s="20" t="n"/>
      <c r="AM82" s="20" t="n"/>
      <c r="AN82" s="20" t="n"/>
      <c r="AO82" s="20" t="n"/>
      <c r="AP82" s="20" t="n"/>
      <c r="AQ82" s="20" t="n"/>
      <c r="AR82" s="20" t="n"/>
      <c r="AS82" s="20" t="n"/>
      <c r="AT82" s="20" t="n"/>
      <c r="AU82" s="20" t="n"/>
      <c r="AV82" s="20" t="n"/>
      <c r="AW82" s="20" t="n"/>
      <c r="AX82" s="20" t="n"/>
      <c r="AY82" s="20" t="n"/>
      <c r="AZ82" s="20" t="n"/>
      <c r="BA82" s="20" t="n"/>
    </row>
    <row r="83" ht="15" customHeight="1" s="18">
      <c r="A83" s="20">
        <f>IF(Projects!A83="","",Projects!A83)</f>
        <v/>
      </c>
      <c r="B83" s="20">
        <f>IF(Projects!B83="","",Projects!B83)</f>
        <v/>
      </c>
      <c r="C83" s="21">
        <f>IF(Projects!C83="","",Projects!C83)</f>
        <v/>
      </c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  <c r="AI83" s="20" t="n"/>
      <c r="AJ83" s="20" t="n"/>
      <c r="AK83" s="20" t="n"/>
      <c r="AL83" s="20" t="n"/>
      <c r="AM83" s="20" t="n"/>
      <c r="AN83" s="20" t="n"/>
      <c r="AO83" s="20" t="n"/>
      <c r="AP83" s="20" t="n"/>
      <c r="AQ83" s="20" t="n"/>
      <c r="AR83" s="20" t="n"/>
      <c r="AS83" s="20" t="n"/>
      <c r="AT83" s="20" t="n"/>
      <c r="AU83" s="20" t="n"/>
      <c r="AV83" s="20" t="n"/>
      <c r="AW83" s="20" t="n"/>
      <c r="AX83" s="20" t="n"/>
      <c r="AY83" s="20" t="n"/>
      <c r="AZ83" s="20" t="n"/>
      <c r="BA83" s="20" t="n"/>
    </row>
    <row r="84" ht="15" customHeight="1" s="18">
      <c r="A84" s="20">
        <f>IF(Projects!A84="","",Projects!A84)</f>
        <v/>
      </c>
      <c r="B84" s="20">
        <f>IF(Projects!B84="","",Projects!B84)</f>
        <v/>
      </c>
      <c r="C84" s="21">
        <f>IF(Projects!C84="","",Projects!C84)</f>
        <v/>
      </c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  <c r="AE84" s="20" t="n"/>
      <c r="AF84" s="20" t="n"/>
      <c r="AG84" s="20" t="n"/>
      <c r="AH84" s="20" t="n"/>
      <c r="AI84" s="20" t="n"/>
      <c r="AJ84" s="20" t="n"/>
      <c r="AK84" s="20" t="n"/>
      <c r="AL84" s="20" t="n"/>
      <c r="AM84" s="20" t="n"/>
      <c r="AN84" s="20" t="n"/>
      <c r="AO84" s="20" t="n"/>
      <c r="AP84" s="20" t="n"/>
      <c r="AQ84" s="20" t="n"/>
      <c r="AR84" s="20" t="n"/>
      <c r="AS84" s="20" t="n"/>
      <c r="AT84" s="20" t="n"/>
      <c r="AU84" s="20" t="n"/>
      <c r="AV84" s="20" t="n"/>
      <c r="AW84" s="20" t="n"/>
      <c r="AX84" s="20" t="n"/>
      <c r="AY84" s="20" t="n"/>
      <c r="AZ84" s="20" t="n"/>
      <c r="BA84" s="20" t="n"/>
    </row>
    <row r="85" ht="15" customHeight="1" s="18">
      <c r="A85" s="20">
        <f>IF(Projects!A85="","",Projects!A85)</f>
        <v/>
      </c>
      <c r="B85" s="20">
        <f>IF(Projects!B85="","",Projects!B85)</f>
        <v/>
      </c>
      <c r="C85" s="21">
        <f>IF(Projects!C85="","",Projects!C85)</f>
        <v/>
      </c>
      <c r="D85" s="20" t="n"/>
      <c r="E85" s="20" t="n"/>
      <c r="F85" s="20" t="n"/>
      <c r="G85" s="20" t="n"/>
      <c r="H85" s="20" t="n"/>
      <c r="I85" s="20" t="n"/>
      <c r="J85" s="20" t="n"/>
      <c r="K85" s="20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  <c r="AE85" s="20" t="n"/>
      <c r="AF85" s="20" t="n"/>
      <c r="AG85" s="20" t="n"/>
      <c r="AH85" s="20" t="n"/>
      <c r="AI85" s="20" t="n"/>
      <c r="AJ85" s="20" t="n"/>
      <c r="AK85" s="20" t="n"/>
      <c r="AL85" s="20" t="n"/>
      <c r="AM85" s="20" t="n"/>
      <c r="AN85" s="20" t="n"/>
      <c r="AO85" s="20" t="n"/>
      <c r="AP85" s="20" t="n"/>
      <c r="AQ85" s="20" t="n"/>
      <c r="AR85" s="20" t="n"/>
      <c r="AS85" s="20" t="n"/>
      <c r="AT85" s="20" t="n"/>
      <c r="AU85" s="20" t="n"/>
      <c r="AV85" s="20" t="n"/>
      <c r="AW85" s="20" t="n"/>
      <c r="AX85" s="20" t="n"/>
      <c r="AY85" s="20" t="n"/>
      <c r="AZ85" s="20" t="n"/>
      <c r="BA85" s="20" t="n"/>
    </row>
    <row r="86" ht="15" customHeight="1" s="18">
      <c r="A86" s="20">
        <f>IF(Projects!A86="","",Projects!A86)</f>
        <v/>
      </c>
      <c r="B86" s="20">
        <f>IF(Projects!B86="","",Projects!B86)</f>
        <v/>
      </c>
      <c r="C86" s="21">
        <f>IF(Projects!C86="","",Projects!C86)</f>
        <v/>
      </c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  <c r="AE86" s="20" t="n"/>
      <c r="AF86" s="20" t="n"/>
      <c r="AG86" s="20" t="n"/>
      <c r="AH86" s="20" t="n"/>
      <c r="AI86" s="20" t="n"/>
      <c r="AJ86" s="20" t="n"/>
      <c r="AK86" s="20" t="n"/>
      <c r="AL86" s="20" t="n"/>
      <c r="AM86" s="20" t="n"/>
      <c r="AN86" s="20" t="n"/>
      <c r="AO86" s="20" t="n"/>
      <c r="AP86" s="20" t="n"/>
      <c r="AQ86" s="20" t="n"/>
      <c r="AR86" s="20" t="n"/>
      <c r="AS86" s="20" t="n"/>
      <c r="AT86" s="20" t="n"/>
      <c r="AU86" s="20" t="n"/>
      <c r="AV86" s="20" t="n"/>
      <c r="AW86" s="20" t="n"/>
      <c r="AX86" s="20" t="n"/>
      <c r="AY86" s="20" t="n"/>
      <c r="AZ86" s="20" t="n"/>
      <c r="BA86" s="20" t="n"/>
    </row>
    <row r="87" ht="15" customHeight="1" s="18">
      <c r="A87" s="20">
        <f>IF(Projects!A87="","",Projects!A87)</f>
        <v/>
      </c>
      <c r="B87" s="20">
        <f>IF(Projects!B87="","",Projects!B87)</f>
        <v/>
      </c>
      <c r="C87" s="21">
        <f>IF(Projects!C87="","",Projects!C87)</f>
        <v/>
      </c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20" t="n"/>
      <c r="AI87" s="20" t="n"/>
      <c r="AJ87" s="20" t="n"/>
      <c r="AK87" s="20" t="n"/>
      <c r="AL87" s="20" t="n"/>
      <c r="AM87" s="20" t="n"/>
      <c r="AN87" s="20" t="n"/>
      <c r="AO87" s="20" t="n"/>
      <c r="AP87" s="20" t="n"/>
      <c r="AQ87" s="20" t="n"/>
      <c r="AR87" s="20" t="n"/>
      <c r="AS87" s="20" t="n"/>
      <c r="AT87" s="20" t="n"/>
      <c r="AU87" s="20" t="n"/>
      <c r="AV87" s="20" t="n"/>
      <c r="AW87" s="20" t="n"/>
      <c r="AX87" s="20" t="n"/>
      <c r="AY87" s="20" t="n"/>
      <c r="AZ87" s="20" t="n"/>
      <c r="BA87" s="20" t="n"/>
    </row>
    <row r="88" ht="15" customHeight="1" s="18">
      <c r="A88" s="20">
        <f>IF(Projects!A88="","",Projects!A88)</f>
        <v/>
      </c>
      <c r="B88" s="20">
        <f>IF(Projects!B88="","",Projects!B88)</f>
        <v/>
      </c>
      <c r="C88" s="21">
        <f>IF(Projects!C88="","",Projects!C88)</f>
        <v/>
      </c>
      <c r="D88" s="20" t="n"/>
      <c r="E88" s="20" t="n"/>
      <c r="F88" s="20" t="n"/>
      <c r="G88" s="20" t="n"/>
      <c r="H88" s="20" t="n"/>
      <c r="I88" s="20" t="n"/>
      <c r="J88" s="20" t="n"/>
      <c r="K88" s="20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  <c r="AE88" s="20" t="n"/>
      <c r="AF88" s="20" t="n"/>
      <c r="AG88" s="20" t="n"/>
      <c r="AH88" s="20" t="n"/>
      <c r="AI88" s="20" t="n"/>
      <c r="AJ88" s="20" t="n"/>
      <c r="AK88" s="20" t="n"/>
      <c r="AL88" s="20" t="n"/>
      <c r="AM88" s="20" t="n"/>
      <c r="AN88" s="20" t="n"/>
      <c r="AO88" s="20" t="n"/>
      <c r="AP88" s="20" t="n"/>
      <c r="AQ88" s="20" t="n"/>
      <c r="AR88" s="20" t="n"/>
      <c r="AS88" s="20" t="n"/>
      <c r="AT88" s="20" t="n"/>
      <c r="AU88" s="20" t="n"/>
      <c r="AV88" s="20" t="n"/>
      <c r="AW88" s="20" t="n"/>
      <c r="AX88" s="20" t="n"/>
      <c r="AY88" s="20" t="n"/>
      <c r="AZ88" s="20" t="n"/>
      <c r="BA88" s="20" t="n"/>
    </row>
    <row r="89" ht="15" customHeight="1" s="18">
      <c r="A89" s="20">
        <f>IF(Projects!A89="","",Projects!A89)</f>
        <v/>
      </c>
      <c r="B89" s="20">
        <f>IF(Projects!B89="","",Projects!B89)</f>
        <v/>
      </c>
      <c r="C89" s="21">
        <f>IF(Projects!C89="","",Projects!C89)</f>
        <v/>
      </c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  <c r="AE89" s="20" t="n"/>
      <c r="AF89" s="20" t="n"/>
      <c r="AG89" s="20" t="n"/>
      <c r="AH89" s="20" t="n"/>
      <c r="AI89" s="20" t="n"/>
      <c r="AJ89" s="20" t="n"/>
      <c r="AK89" s="20" t="n"/>
      <c r="AL89" s="20" t="n"/>
      <c r="AM89" s="20" t="n"/>
      <c r="AN89" s="20" t="n"/>
      <c r="AO89" s="20" t="n"/>
      <c r="AP89" s="20" t="n"/>
      <c r="AQ89" s="20" t="n"/>
      <c r="AR89" s="20" t="n"/>
      <c r="AS89" s="20" t="n"/>
      <c r="AT89" s="20" t="n"/>
      <c r="AU89" s="20" t="n"/>
      <c r="AV89" s="20" t="n"/>
      <c r="AW89" s="20" t="n"/>
      <c r="AX89" s="20" t="n"/>
      <c r="AY89" s="20" t="n"/>
      <c r="AZ89" s="20" t="n"/>
      <c r="BA89" s="20" t="n"/>
    </row>
    <row r="90" ht="15" customHeight="1" s="18">
      <c r="A90" s="20">
        <f>IF(Projects!A90="","",Projects!A90)</f>
        <v/>
      </c>
      <c r="B90" s="20">
        <f>IF(Projects!B90="","",Projects!B90)</f>
        <v/>
      </c>
      <c r="C90" s="21">
        <f>IF(Projects!C90="","",Projects!C90)</f>
        <v/>
      </c>
      <c r="D90" s="20" t="n"/>
      <c r="E90" s="20" t="n"/>
      <c r="F90" s="20" t="n"/>
      <c r="G90" s="20" t="n"/>
      <c r="H90" s="20" t="n"/>
      <c r="I90" s="20" t="n"/>
      <c r="J90" s="20" t="n"/>
      <c r="K90" s="20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  <c r="AE90" s="20" t="n"/>
      <c r="AF90" s="20" t="n"/>
      <c r="AG90" s="20" t="n"/>
      <c r="AH90" s="20" t="n"/>
      <c r="AI90" s="20" t="n"/>
      <c r="AJ90" s="20" t="n"/>
      <c r="AK90" s="20" t="n"/>
      <c r="AL90" s="20" t="n"/>
      <c r="AM90" s="20" t="n"/>
      <c r="AN90" s="20" t="n"/>
      <c r="AO90" s="20" t="n"/>
      <c r="AP90" s="20" t="n"/>
      <c r="AQ90" s="20" t="n"/>
      <c r="AR90" s="20" t="n"/>
      <c r="AS90" s="20" t="n"/>
      <c r="AT90" s="20" t="n"/>
      <c r="AU90" s="20" t="n"/>
      <c r="AV90" s="20" t="n"/>
      <c r="AW90" s="20" t="n"/>
      <c r="AX90" s="20" t="n"/>
      <c r="AY90" s="20" t="n"/>
      <c r="AZ90" s="20" t="n"/>
      <c r="BA90" s="20" t="n"/>
    </row>
    <row r="91" ht="15" customHeight="1" s="18">
      <c r="A91" s="20">
        <f>IF(Projects!A91="","",Projects!A91)</f>
        <v/>
      </c>
      <c r="B91" s="20">
        <f>IF(Projects!B91="","",Projects!B91)</f>
        <v/>
      </c>
      <c r="C91" s="21">
        <f>IF(Projects!C91="","",Projects!C91)</f>
        <v/>
      </c>
      <c r="D91" s="20" t="n"/>
      <c r="E91" s="20" t="n"/>
      <c r="F91" s="20" t="n"/>
      <c r="G91" s="20" t="n"/>
      <c r="H91" s="20" t="n"/>
      <c r="I91" s="20" t="n"/>
      <c r="J91" s="20" t="n"/>
      <c r="K91" s="20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  <c r="AE91" s="20" t="n"/>
      <c r="AF91" s="20" t="n"/>
      <c r="AG91" s="20" t="n"/>
      <c r="AH91" s="20" t="n"/>
      <c r="AI91" s="20" t="n"/>
      <c r="AJ91" s="20" t="n"/>
      <c r="AK91" s="20" t="n"/>
      <c r="AL91" s="20" t="n"/>
      <c r="AM91" s="20" t="n"/>
      <c r="AN91" s="20" t="n"/>
      <c r="AO91" s="20" t="n"/>
      <c r="AP91" s="20" t="n"/>
      <c r="AQ91" s="20" t="n"/>
      <c r="AR91" s="20" t="n"/>
      <c r="AS91" s="20" t="n"/>
      <c r="AT91" s="20" t="n"/>
      <c r="AU91" s="20" t="n"/>
      <c r="AV91" s="20" t="n"/>
      <c r="AW91" s="20" t="n"/>
      <c r="AX91" s="20" t="n"/>
      <c r="AY91" s="20" t="n"/>
      <c r="AZ91" s="20" t="n"/>
      <c r="BA91" s="20" t="n"/>
    </row>
    <row r="92" ht="15" customHeight="1" s="18">
      <c r="A92" s="20">
        <f>IF(Projects!A92="","",Projects!A92)</f>
        <v/>
      </c>
      <c r="B92" s="20">
        <f>IF(Projects!B92="","",Projects!B92)</f>
        <v/>
      </c>
      <c r="C92" s="21">
        <f>IF(Projects!C92="","",Projects!C92)</f>
        <v/>
      </c>
      <c r="D92" s="20" t="n"/>
      <c r="E92" s="20" t="n"/>
      <c r="F92" s="20" t="n"/>
      <c r="G92" s="20" t="n"/>
      <c r="H92" s="20" t="n"/>
      <c r="I92" s="20" t="n"/>
      <c r="J92" s="20" t="n"/>
      <c r="K92" s="20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  <c r="AE92" s="20" t="n"/>
      <c r="AF92" s="20" t="n"/>
      <c r="AG92" s="20" t="n"/>
      <c r="AH92" s="20" t="n"/>
      <c r="AI92" s="20" t="n"/>
      <c r="AJ92" s="20" t="n"/>
      <c r="AK92" s="20" t="n"/>
      <c r="AL92" s="20" t="n"/>
      <c r="AM92" s="20" t="n"/>
      <c r="AN92" s="20" t="n"/>
      <c r="AO92" s="20" t="n"/>
      <c r="AP92" s="20" t="n"/>
      <c r="AQ92" s="20" t="n"/>
      <c r="AR92" s="20" t="n"/>
      <c r="AS92" s="20" t="n"/>
      <c r="AT92" s="20" t="n"/>
      <c r="AU92" s="20" t="n"/>
      <c r="AV92" s="20" t="n"/>
      <c r="AW92" s="20" t="n"/>
      <c r="AX92" s="20" t="n"/>
      <c r="AY92" s="20" t="n"/>
      <c r="AZ92" s="20" t="n"/>
      <c r="BA92" s="20" t="n"/>
    </row>
    <row r="93" ht="15" customHeight="1" s="18">
      <c r="A93" s="20">
        <f>IF(Projects!A93="","",Projects!A93)</f>
        <v/>
      </c>
      <c r="B93" s="20">
        <f>IF(Projects!B93="","",Projects!B93)</f>
        <v/>
      </c>
      <c r="C93" s="21">
        <f>IF(Projects!C93="","",Projects!C93)</f>
        <v/>
      </c>
      <c r="D93" s="20" t="n"/>
      <c r="E93" s="20" t="n"/>
      <c r="F93" s="20" t="n"/>
      <c r="G93" s="20" t="n"/>
      <c r="H93" s="20" t="n"/>
      <c r="I93" s="20" t="n"/>
      <c r="J93" s="20" t="n"/>
      <c r="K93" s="20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  <c r="AE93" s="20" t="n"/>
      <c r="AF93" s="20" t="n"/>
      <c r="AG93" s="20" t="n"/>
      <c r="AH93" s="20" t="n"/>
      <c r="AI93" s="20" t="n"/>
      <c r="AJ93" s="20" t="n"/>
      <c r="AK93" s="20" t="n"/>
      <c r="AL93" s="20" t="n"/>
      <c r="AM93" s="20" t="n"/>
      <c r="AN93" s="20" t="n"/>
      <c r="AO93" s="20" t="n"/>
      <c r="AP93" s="20" t="n"/>
      <c r="AQ93" s="20" t="n"/>
      <c r="AR93" s="20" t="n"/>
      <c r="AS93" s="20" t="n"/>
      <c r="AT93" s="20" t="n"/>
      <c r="AU93" s="20" t="n"/>
      <c r="AV93" s="20" t="n"/>
      <c r="AW93" s="20" t="n"/>
      <c r="AX93" s="20" t="n"/>
      <c r="AY93" s="20" t="n"/>
      <c r="AZ93" s="20" t="n"/>
      <c r="BA93" s="20" t="n"/>
    </row>
    <row r="94" ht="15" customHeight="1" s="18">
      <c r="A94" s="20">
        <f>IF(Projects!A94="","",Projects!A94)</f>
        <v/>
      </c>
      <c r="B94" s="20">
        <f>IF(Projects!B94="","",Projects!B94)</f>
        <v/>
      </c>
      <c r="C94" s="21">
        <f>IF(Projects!C94="","",Projects!C94)</f>
        <v/>
      </c>
      <c r="D94" s="20" t="n"/>
      <c r="E94" s="20" t="n"/>
      <c r="F94" s="20" t="n"/>
      <c r="G94" s="20" t="n"/>
      <c r="H94" s="20" t="n"/>
      <c r="I94" s="20" t="n"/>
      <c r="J94" s="20" t="n"/>
      <c r="K94" s="20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  <c r="AE94" s="20" t="n"/>
      <c r="AF94" s="20" t="n"/>
      <c r="AG94" s="20" t="n"/>
      <c r="AH94" s="20" t="n"/>
      <c r="AI94" s="20" t="n"/>
      <c r="AJ94" s="20" t="n"/>
      <c r="AK94" s="20" t="n"/>
      <c r="AL94" s="20" t="n"/>
      <c r="AM94" s="20" t="n"/>
      <c r="AN94" s="20" t="n"/>
      <c r="AO94" s="20" t="n"/>
      <c r="AP94" s="20" t="n"/>
      <c r="AQ94" s="20" t="n"/>
      <c r="AR94" s="20" t="n"/>
      <c r="AS94" s="20" t="n"/>
      <c r="AT94" s="20" t="n"/>
      <c r="AU94" s="20" t="n"/>
      <c r="AV94" s="20" t="n"/>
      <c r="AW94" s="20" t="n"/>
      <c r="AX94" s="20" t="n"/>
      <c r="AY94" s="20" t="n"/>
      <c r="AZ94" s="20" t="n"/>
      <c r="BA94" s="20" t="n"/>
    </row>
    <row r="95" ht="15" customHeight="1" s="18">
      <c r="A95" s="20">
        <f>IF(Projects!A95="","",Projects!A95)</f>
        <v/>
      </c>
      <c r="B95" s="20">
        <f>IF(Projects!B95="","",Projects!B95)</f>
        <v/>
      </c>
      <c r="C95" s="21">
        <f>IF(Projects!C95="","",Projects!C95)</f>
        <v/>
      </c>
      <c r="D95" s="20" t="n"/>
      <c r="E95" s="20" t="n"/>
      <c r="F95" s="20" t="n"/>
      <c r="G95" s="20" t="n"/>
      <c r="H95" s="20" t="n"/>
      <c r="I95" s="20" t="n"/>
      <c r="J95" s="20" t="n"/>
      <c r="K95" s="20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  <c r="AE95" s="20" t="n"/>
      <c r="AF95" s="20" t="n"/>
      <c r="AG95" s="20" t="n"/>
      <c r="AH95" s="20" t="n"/>
      <c r="AI95" s="20" t="n"/>
      <c r="AJ95" s="20" t="n"/>
      <c r="AK95" s="20" t="n"/>
      <c r="AL95" s="20" t="n"/>
      <c r="AM95" s="20" t="n"/>
      <c r="AN95" s="20" t="n"/>
      <c r="AO95" s="20" t="n"/>
      <c r="AP95" s="20" t="n"/>
      <c r="AQ95" s="20" t="n"/>
      <c r="AR95" s="20" t="n"/>
      <c r="AS95" s="20" t="n"/>
      <c r="AT95" s="20" t="n"/>
      <c r="AU95" s="20" t="n"/>
      <c r="AV95" s="20" t="n"/>
      <c r="AW95" s="20" t="n"/>
      <c r="AX95" s="20" t="n"/>
      <c r="AY95" s="20" t="n"/>
      <c r="AZ95" s="20" t="n"/>
      <c r="BA95" s="20" t="n"/>
    </row>
    <row r="96" ht="15" customHeight="1" s="18">
      <c r="A96" s="20">
        <f>IF(Projects!A96="","",Projects!A96)</f>
        <v/>
      </c>
      <c r="B96" s="20">
        <f>IF(Projects!B96="","",Projects!B96)</f>
        <v/>
      </c>
      <c r="C96" s="21">
        <f>IF(Projects!C96="","",Projects!C96)</f>
        <v/>
      </c>
      <c r="D96" s="20" t="n"/>
      <c r="E96" s="20" t="n"/>
      <c r="F96" s="20" t="n"/>
      <c r="G96" s="20" t="n"/>
      <c r="H96" s="20" t="n"/>
      <c r="I96" s="20" t="n"/>
      <c r="J96" s="20" t="n"/>
      <c r="K96" s="20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  <c r="AE96" s="20" t="n"/>
      <c r="AF96" s="20" t="n"/>
      <c r="AG96" s="20" t="n"/>
      <c r="AH96" s="20" t="n"/>
      <c r="AI96" s="20" t="n"/>
      <c r="AJ96" s="20" t="n"/>
      <c r="AK96" s="20" t="n"/>
      <c r="AL96" s="20" t="n"/>
      <c r="AM96" s="20" t="n"/>
      <c r="AN96" s="20" t="n"/>
      <c r="AO96" s="20" t="n"/>
      <c r="AP96" s="20" t="n"/>
      <c r="AQ96" s="20" t="n"/>
      <c r="AR96" s="20" t="n"/>
      <c r="AS96" s="20" t="n"/>
      <c r="AT96" s="20" t="n"/>
      <c r="AU96" s="20" t="n"/>
      <c r="AV96" s="20" t="n"/>
      <c r="AW96" s="20" t="n"/>
      <c r="AX96" s="20" t="n"/>
      <c r="AY96" s="20" t="n"/>
      <c r="AZ96" s="20" t="n"/>
      <c r="BA96" s="20" t="n"/>
    </row>
    <row r="97" ht="15" customHeight="1" s="18">
      <c r="A97" s="20">
        <f>IF(Projects!A97="","",Projects!A97)</f>
        <v/>
      </c>
      <c r="B97" s="20">
        <f>IF(Projects!B97="","",Projects!B97)</f>
        <v/>
      </c>
      <c r="C97" s="21">
        <f>IF(Projects!C97="","",Projects!C97)</f>
        <v/>
      </c>
      <c r="D97" s="20" t="n"/>
      <c r="E97" s="20" t="n"/>
      <c r="F97" s="20" t="n"/>
      <c r="G97" s="20" t="n"/>
      <c r="H97" s="20" t="n"/>
      <c r="I97" s="20" t="n"/>
      <c r="J97" s="20" t="n"/>
      <c r="K97" s="20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  <c r="AE97" s="20" t="n"/>
      <c r="AF97" s="20" t="n"/>
      <c r="AG97" s="20" t="n"/>
      <c r="AH97" s="20" t="n"/>
      <c r="AI97" s="20" t="n"/>
      <c r="AJ97" s="20" t="n"/>
      <c r="AK97" s="20" t="n"/>
      <c r="AL97" s="20" t="n"/>
      <c r="AM97" s="20" t="n"/>
      <c r="AN97" s="20" t="n"/>
      <c r="AO97" s="20" t="n"/>
      <c r="AP97" s="20" t="n"/>
      <c r="AQ97" s="20" t="n"/>
      <c r="AR97" s="20" t="n"/>
      <c r="AS97" s="20" t="n"/>
      <c r="AT97" s="20" t="n"/>
      <c r="AU97" s="20" t="n"/>
      <c r="AV97" s="20" t="n"/>
      <c r="AW97" s="20" t="n"/>
      <c r="AX97" s="20" t="n"/>
      <c r="AY97" s="20" t="n"/>
      <c r="AZ97" s="20" t="n"/>
      <c r="BA97" s="20" t="n"/>
    </row>
    <row r="98" ht="15" customHeight="1" s="18">
      <c r="A98" s="20">
        <f>IF(Projects!A98="","",Projects!A98)</f>
        <v/>
      </c>
      <c r="B98" s="20">
        <f>IF(Projects!B98="","",Projects!B98)</f>
        <v/>
      </c>
      <c r="C98" s="21">
        <f>IF(Projects!C98="","",Projects!C98)</f>
        <v/>
      </c>
      <c r="D98" s="20" t="n"/>
      <c r="E98" s="20" t="n"/>
      <c r="F98" s="20" t="n"/>
      <c r="G98" s="20" t="n"/>
      <c r="H98" s="20" t="n"/>
      <c r="I98" s="20" t="n"/>
      <c r="J98" s="20" t="n"/>
      <c r="K98" s="20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  <c r="AE98" s="20" t="n"/>
      <c r="AF98" s="20" t="n"/>
      <c r="AG98" s="20" t="n"/>
      <c r="AH98" s="20" t="n"/>
      <c r="AI98" s="20" t="n"/>
      <c r="AJ98" s="20" t="n"/>
      <c r="AK98" s="20" t="n"/>
      <c r="AL98" s="20" t="n"/>
      <c r="AM98" s="20" t="n"/>
      <c r="AN98" s="20" t="n"/>
      <c r="AO98" s="20" t="n"/>
      <c r="AP98" s="20" t="n"/>
      <c r="AQ98" s="20" t="n"/>
      <c r="AR98" s="20" t="n"/>
      <c r="AS98" s="20" t="n"/>
      <c r="AT98" s="20" t="n"/>
      <c r="AU98" s="20" t="n"/>
      <c r="AV98" s="20" t="n"/>
      <c r="AW98" s="20" t="n"/>
      <c r="AX98" s="20" t="n"/>
      <c r="AY98" s="20" t="n"/>
      <c r="AZ98" s="20" t="n"/>
      <c r="BA98" s="20" t="n"/>
    </row>
    <row r="99" ht="15" customHeight="1" s="18">
      <c r="A99" s="20">
        <f>IF(Projects!A99="","",Projects!A99)</f>
        <v/>
      </c>
      <c r="B99" s="20">
        <f>IF(Projects!B99="","",Projects!B99)</f>
        <v/>
      </c>
      <c r="C99" s="21">
        <f>IF(Projects!C99="","",Projects!C99)</f>
        <v/>
      </c>
      <c r="D99" s="20" t="n"/>
      <c r="E99" s="20" t="n"/>
      <c r="F99" s="20" t="n"/>
      <c r="G99" s="20" t="n"/>
      <c r="H99" s="20" t="n"/>
      <c r="I99" s="20" t="n"/>
      <c r="J99" s="20" t="n"/>
      <c r="K99" s="20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  <c r="AE99" s="20" t="n"/>
      <c r="AF99" s="20" t="n"/>
      <c r="AG99" s="20" t="n"/>
      <c r="AH99" s="20" t="n"/>
      <c r="AI99" s="20" t="n"/>
      <c r="AJ99" s="20" t="n"/>
      <c r="AK99" s="20" t="n"/>
      <c r="AL99" s="20" t="n"/>
      <c r="AM99" s="20" t="n"/>
      <c r="AN99" s="20" t="n"/>
      <c r="AO99" s="20" t="n"/>
      <c r="AP99" s="20" t="n"/>
      <c r="AQ99" s="20" t="n"/>
      <c r="AR99" s="20" t="n"/>
      <c r="AS99" s="20" t="n"/>
      <c r="AT99" s="20" t="n"/>
      <c r="AU99" s="20" t="n"/>
      <c r="AV99" s="20" t="n"/>
      <c r="AW99" s="20" t="n"/>
      <c r="AX99" s="20" t="n"/>
      <c r="AY99" s="20" t="n"/>
      <c r="AZ99" s="20" t="n"/>
      <c r="BA99" s="20" t="n"/>
    </row>
    <row r="100" ht="15" customHeight="1" s="18">
      <c r="A100" s="20">
        <f>IF(Projects!A100="","",Projects!A100)</f>
        <v/>
      </c>
      <c r="B100" s="20">
        <f>IF(Projects!B100="","",Projects!B100)</f>
        <v/>
      </c>
      <c r="C100" s="21">
        <f>IF(Projects!C100="","",Projects!C100)</f>
        <v/>
      </c>
      <c r="D100" s="20" t="n"/>
      <c r="E100" s="20" t="n"/>
      <c r="F100" s="20" t="n"/>
      <c r="G100" s="20" t="n"/>
      <c r="H100" s="20" t="n"/>
      <c r="I100" s="20" t="n"/>
      <c r="J100" s="20" t="n"/>
      <c r="K100" s="20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  <c r="AE100" s="20" t="n"/>
      <c r="AF100" s="20" t="n"/>
      <c r="AG100" s="20" t="n"/>
      <c r="AH100" s="20" t="n"/>
      <c r="AI100" s="20" t="n"/>
      <c r="AJ100" s="20" t="n"/>
      <c r="AK100" s="20" t="n"/>
      <c r="AL100" s="20" t="n"/>
      <c r="AM100" s="20" t="n"/>
      <c r="AN100" s="20" t="n"/>
      <c r="AO100" s="20" t="n"/>
      <c r="AP100" s="20" t="n"/>
      <c r="AQ100" s="20" t="n"/>
      <c r="AR100" s="20" t="n"/>
      <c r="AS100" s="20" t="n"/>
      <c r="AT100" s="20" t="n"/>
      <c r="AU100" s="20" t="n"/>
      <c r="AV100" s="20" t="n"/>
      <c r="AW100" s="20" t="n"/>
      <c r="AX100" s="20" t="n"/>
      <c r="AY100" s="20" t="n"/>
      <c r="AZ100" s="20" t="n"/>
      <c r="BA100" s="20" t="n"/>
    </row>
    <row r="101" ht="15" customHeight="1" s="18">
      <c r="A101" s="3">
        <f>IF(Projects!A101="","",Projects!A101)</f>
        <v/>
      </c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  <c r="AF101" s="9" t="n"/>
      <c r="AG101" s="9" t="n"/>
      <c r="AH101" s="9" t="n"/>
      <c r="AI101" s="9" t="n"/>
      <c r="AJ101" s="9" t="n"/>
      <c r="AK101" s="9" t="n"/>
      <c r="AL101" s="9" t="n"/>
      <c r="AM101" s="9" t="n"/>
      <c r="AN101" s="9" t="n"/>
      <c r="AO101" s="9" t="n"/>
      <c r="AP101" s="9" t="n"/>
      <c r="AQ101" s="9" t="n"/>
      <c r="AR101" s="9" t="n"/>
      <c r="AS101" s="9" t="n"/>
      <c r="AT101" s="9" t="n"/>
      <c r="AU101" s="9" t="n"/>
      <c r="AV101" s="9" t="n"/>
      <c r="AW101" s="9" t="n"/>
      <c r="AX101" s="9" t="n"/>
      <c r="AY101" s="9" t="n"/>
      <c r="AZ101" s="9" t="n"/>
      <c r="BA101" s="9" t="n"/>
    </row>
    <row r="102" ht="15" customHeight="1" s="18">
      <c r="A102" s="3">
        <f>IF(Projects!A102="","",Projects!A102)</f>
        <v/>
      </c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  <c r="AF102" s="9" t="n"/>
      <c r="AG102" s="9" t="n"/>
      <c r="AH102" s="9" t="n"/>
      <c r="AI102" s="9" t="n"/>
      <c r="AJ102" s="9" t="n"/>
      <c r="AK102" s="9" t="n"/>
      <c r="AL102" s="9" t="n"/>
      <c r="AM102" s="9" t="n"/>
      <c r="AN102" s="9" t="n"/>
      <c r="AO102" s="9" t="n"/>
      <c r="AP102" s="9" t="n"/>
      <c r="AQ102" s="9" t="n"/>
      <c r="AR102" s="9" t="n"/>
      <c r="AS102" s="9" t="n"/>
      <c r="AT102" s="9" t="n"/>
      <c r="AU102" s="9" t="n"/>
      <c r="AV102" s="9" t="n"/>
      <c r="AW102" s="9" t="n"/>
      <c r="AX102" s="9" t="n"/>
      <c r="AY102" s="9" t="n"/>
      <c r="AZ102" s="9" t="n"/>
      <c r="BA102" s="9" t="n"/>
    </row>
    <row r="103" ht="15" customHeight="1" s="18">
      <c r="A103" s="3">
        <f>IF(Projects!A103="","",Projects!A103)</f>
        <v/>
      </c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  <c r="AF103" s="9" t="n"/>
      <c r="AG103" s="9" t="n"/>
      <c r="AH103" s="9" t="n"/>
      <c r="AI103" s="9" t="n"/>
      <c r="AJ103" s="9" t="n"/>
      <c r="AK103" s="9" t="n"/>
      <c r="AL103" s="9" t="n"/>
      <c r="AM103" s="9" t="n"/>
      <c r="AN103" s="9" t="n"/>
      <c r="AO103" s="9" t="n"/>
      <c r="AP103" s="9" t="n"/>
      <c r="AQ103" s="9" t="n"/>
      <c r="AR103" s="9" t="n"/>
      <c r="AS103" s="9" t="n"/>
      <c r="AT103" s="9" t="n"/>
      <c r="AU103" s="9" t="n"/>
      <c r="AV103" s="9" t="n"/>
      <c r="AW103" s="9" t="n"/>
      <c r="AX103" s="9" t="n"/>
      <c r="AY103" s="9" t="n"/>
      <c r="AZ103" s="9" t="n"/>
      <c r="BA103" s="9" t="n"/>
    </row>
    <row r="104" ht="15" customHeight="1" s="18">
      <c r="A104" s="3">
        <f>IF(Projects!A104="","",Projects!A104)</f>
        <v/>
      </c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  <c r="AF104" s="9" t="n"/>
      <c r="AG104" s="9" t="n"/>
      <c r="AH104" s="9" t="n"/>
      <c r="AI104" s="9" t="n"/>
      <c r="AJ104" s="9" t="n"/>
      <c r="AK104" s="9" t="n"/>
      <c r="AL104" s="9" t="n"/>
      <c r="AM104" s="9" t="n"/>
      <c r="AN104" s="9" t="n"/>
      <c r="AO104" s="9" t="n"/>
      <c r="AP104" s="9" t="n"/>
      <c r="AQ104" s="9" t="n"/>
      <c r="AR104" s="9" t="n"/>
      <c r="AS104" s="9" t="n"/>
      <c r="AT104" s="9" t="n"/>
      <c r="AU104" s="9" t="n"/>
      <c r="AV104" s="9" t="n"/>
      <c r="AW104" s="9" t="n"/>
      <c r="AX104" s="9" t="n"/>
      <c r="AY104" s="9" t="n"/>
      <c r="AZ104" s="9" t="n"/>
      <c r="BA104" s="9" t="n"/>
    </row>
    <row r="105" ht="15" customHeight="1" s="18">
      <c r="A105" s="3">
        <f>IF(Projects!A105="","",Projects!A105)</f>
        <v/>
      </c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  <c r="AF105" s="9" t="n"/>
      <c r="AG105" s="9" t="n"/>
      <c r="AH105" s="9" t="n"/>
      <c r="AI105" s="9" t="n"/>
      <c r="AJ105" s="9" t="n"/>
      <c r="AK105" s="9" t="n"/>
      <c r="AL105" s="9" t="n"/>
      <c r="AM105" s="9" t="n"/>
      <c r="AN105" s="9" t="n"/>
      <c r="AO105" s="9" t="n"/>
      <c r="AP105" s="9" t="n"/>
      <c r="AQ105" s="9" t="n"/>
      <c r="AR105" s="9" t="n"/>
      <c r="AS105" s="9" t="n"/>
      <c r="AT105" s="9" t="n"/>
      <c r="AU105" s="9" t="n"/>
      <c r="AV105" s="9" t="n"/>
      <c r="AW105" s="9" t="n"/>
      <c r="AX105" s="9" t="n"/>
      <c r="AY105" s="9" t="n"/>
      <c r="AZ105" s="9" t="n"/>
      <c r="BA105" s="9" t="n"/>
    </row>
    <row r="106" ht="15" customHeight="1" s="18">
      <c r="A106" s="3">
        <f>IF(Projects!A106="","",Projects!A106)</f>
        <v/>
      </c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  <c r="AF106" s="9" t="n"/>
      <c r="AG106" s="9" t="n"/>
      <c r="AH106" s="9" t="n"/>
      <c r="AI106" s="9" t="n"/>
      <c r="AJ106" s="9" t="n"/>
      <c r="AK106" s="9" t="n"/>
      <c r="AL106" s="9" t="n"/>
      <c r="AM106" s="9" t="n"/>
      <c r="AN106" s="9" t="n"/>
      <c r="AO106" s="9" t="n"/>
      <c r="AP106" s="9" t="n"/>
      <c r="AQ106" s="9" t="n"/>
      <c r="AR106" s="9" t="n"/>
      <c r="AS106" s="9" t="n"/>
      <c r="AT106" s="9" t="n"/>
      <c r="AU106" s="9" t="n"/>
      <c r="AV106" s="9" t="n"/>
      <c r="AW106" s="9" t="n"/>
      <c r="AX106" s="9" t="n"/>
      <c r="AY106" s="9" t="n"/>
      <c r="AZ106" s="9" t="n"/>
      <c r="BA106" s="9" t="n"/>
    </row>
    <row r="107" ht="15" customHeight="1" s="18">
      <c r="A107" s="3">
        <f>IF(Projects!A107="","",Projects!A107)</f>
        <v/>
      </c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  <c r="AH107" s="9" t="n"/>
      <c r="AI107" s="9" t="n"/>
      <c r="AJ107" s="9" t="n"/>
      <c r="AK107" s="9" t="n"/>
      <c r="AL107" s="9" t="n"/>
      <c r="AM107" s="9" t="n"/>
      <c r="AN107" s="9" t="n"/>
      <c r="AO107" s="9" t="n"/>
      <c r="AP107" s="9" t="n"/>
      <c r="AQ107" s="9" t="n"/>
      <c r="AR107" s="9" t="n"/>
      <c r="AS107" s="9" t="n"/>
      <c r="AT107" s="9" t="n"/>
      <c r="AU107" s="9" t="n"/>
      <c r="AV107" s="9" t="n"/>
      <c r="AW107" s="9" t="n"/>
      <c r="AX107" s="9" t="n"/>
      <c r="AY107" s="9" t="n"/>
      <c r="AZ107" s="9" t="n"/>
      <c r="BA107" s="9" t="n"/>
    </row>
    <row r="108" ht="15.75" customHeight="1" s="18">
      <c r="A108" s="3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  <c r="AF108" s="9" t="n"/>
      <c r="AG108" s="9" t="n"/>
      <c r="AH108" s="9" t="n"/>
      <c r="AI108" s="9" t="n"/>
      <c r="AJ108" s="9" t="n"/>
      <c r="AK108" s="9" t="n"/>
      <c r="AL108" s="9" t="n"/>
      <c r="AM108" s="9" t="n"/>
      <c r="AN108" s="9" t="n"/>
      <c r="AO108" s="9" t="n"/>
      <c r="AP108" s="9" t="n"/>
      <c r="AQ108" s="9" t="n"/>
      <c r="AR108" s="9" t="n"/>
      <c r="AS108" s="9" t="n"/>
      <c r="AT108" s="9" t="n"/>
      <c r="AU108" s="9" t="n"/>
      <c r="AV108" s="9" t="n"/>
      <c r="AW108" s="9" t="n"/>
      <c r="AX108" s="9" t="n"/>
      <c r="AY108" s="9" t="n"/>
      <c r="AZ108" s="9" t="n"/>
      <c r="BA108" s="9" t="n"/>
    </row>
    <row r="109" ht="15.75" customHeight="1" s="18">
      <c r="A109" s="3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  <c r="AH109" s="9" t="n"/>
      <c r="AI109" s="9" t="n"/>
      <c r="AJ109" s="9" t="n"/>
      <c r="AK109" s="9" t="n"/>
      <c r="AL109" s="9" t="n"/>
      <c r="AM109" s="9" t="n"/>
      <c r="AN109" s="9" t="n"/>
      <c r="AO109" s="9" t="n"/>
      <c r="AP109" s="9" t="n"/>
      <c r="AQ109" s="9" t="n"/>
      <c r="AR109" s="9" t="n"/>
      <c r="AS109" s="9" t="n"/>
      <c r="AT109" s="9" t="n"/>
      <c r="AU109" s="9" t="n"/>
      <c r="AV109" s="9" t="n"/>
      <c r="AW109" s="9" t="n"/>
      <c r="AX109" s="9" t="n"/>
      <c r="AY109" s="9" t="n"/>
      <c r="AZ109" s="9" t="n"/>
      <c r="BA109" s="9" t="n"/>
    </row>
    <row r="110" ht="15.75" customHeight="1" s="18">
      <c r="A110" s="3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  <c r="AH110" s="9" t="n"/>
      <c r="AI110" s="9" t="n"/>
      <c r="AJ110" s="9" t="n"/>
      <c r="AK110" s="9" t="n"/>
      <c r="AL110" s="9" t="n"/>
      <c r="AM110" s="9" t="n"/>
      <c r="AN110" s="9" t="n"/>
      <c r="AO110" s="9" t="n"/>
      <c r="AP110" s="9" t="n"/>
      <c r="AQ110" s="9" t="n"/>
      <c r="AR110" s="9" t="n"/>
      <c r="AS110" s="9" t="n"/>
      <c r="AT110" s="9" t="n"/>
      <c r="AU110" s="9" t="n"/>
      <c r="AV110" s="9" t="n"/>
      <c r="AW110" s="9" t="n"/>
      <c r="AX110" s="9" t="n"/>
      <c r="AY110" s="9" t="n"/>
      <c r="AZ110" s="9" t="n"/>
      <c r="BA110" s="9" t="n"/>
    </row>
    <row r="111" ht="15.75" customHeight="1" s="18">
      <c r="A111" s="3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  <c r="AH111" s="9" t="n"/>
      <c r="AI111" s="9" t="n"/>
      <c r="AJ111" s="9" t="n"/>
      <c r="AK111" s="9" t="n"/>
      <c r="AL111" s="9" t="n"/>
      <c r="AM111" s="9" t="n"/>
      <c r="AN111" s="9" t="n"/>
      <c r="AO111" s="9" t="n"/>
      <c r="AP111" s="9" t="n"/>
      <c r="AQ111" s="9" t="n"/>
      <c r="AR111" s="9" t="n"/>
      <c r="AS111" s="9" t="n"/>
      <c r="AT111" s="9" t="n"/>
      <c r="AU111" s="9" t="n"/>
      <c r="AV111" s="9" t="n"/>
      <c r="AW111" s="9" t="n"/>
      <c r="AX111" s="9" t="n"/>
      <c r="AY111" s="9" t="n"/>
      <c r="AZ111" s="9" t="n"/>
      <c r="BA111" s="9" t="n"/>
    </row>
    <row r="112" ht="15.75" customHeight="1" s="18">
      <c r="A112" s="3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  <c r="AF112" s="9" t="n"/>
      <c r="AG112" s="9" t="n"/>
      <c r="AH112" s="9" t="n"/>
      <c r="AI112" s="9" t="n"/>
      <c r="AJ112" s="9" t="n"/>
      <c r="AK112" s="9" t="n"/>
      <c r="AL112" s="9" t="n"/>
      <c r="AM112" s="9" t="n"/>
      <c r="AN112" s="9" t="n"/>
      <c r="AO112" s="9" t="n"/>
      <c r="AP112" s="9" t="n"/>
      <c r="AQ112" s="9" t="n"/>
      <c r="AR112" s="9" t="n"/>
      <c r="AS112" s="9" t="n"/>
      <c r="AT112" s="9" t="n"/>
      <c r="AU112" s="9" t="n"/>
      <c r="AV112" s="9" t="n"/>
      <c r="AW112" s="9" t="n"/>
      <c r="AX112" s="9" t="n"/>
      <c r="AY112" s="9" t="n"/>
      <c r="AZ112" s="9" t="n"/>
      <c r="BA112" s="9" t="n"/>
    </row>
    <row r="113" ht="15.75" customHeight="1" s="18">
      <c r="A113" s="3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  <c r="AH113" s="9" t="n"/>
      <c r="AI113" s="9" t="n"/>
      <c r="AJ113" s="9" t="n"/>
      <c r="AK113" s="9" t="n"/>
      <c r="AL113" s="9" t="n"/>
      <c r="AM113" s="9" t="n"/>
      <c r="AN113" s="9" t="n"/>
      <c r="AO113" s="9" t="n"/>
      <c r="AP113" s="9" t="n"/>
      <c r="AQ113" s="9" t="n"/>
      <c r="AR113" s="9" t="n"/>
      <c r="AS113" s="9" t="n"/>
      <c r="AT113" s="9" t="n"/>
      <c r="AU113" s="9" t="n"/>
      <c r="AV113" s="9" t="n"/>
      <c r="AW113" s="9" t="n"/>
      <c r="AX113" s="9" t="n"/>
      <c r="AY113" s="9" t="n"/>
      <c r="AZ113" s="9" t="n"/>
      <c r="BA113" s="9" t="n"/>
    </row>
    <row r="114" ht="15.75" customHeight="1" s="18">
      <c r="A114" s="3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  <c r="AF114" s="9" t="n"/>
      <c r="AG114" s="9" t="n"/>
      <c r="AH114" s="9" t="n"/>
      <c r="AI114" s="9" t="n"/>
      <c r="AJ114" s="9" t="n"/>
      <c r="AK114" s="9" t="n"/>
      <c r="AL114" s="9" t="n"/>
      <c r="AM114" s="9" t="n"/>
      <c r="AN114" s="9" t="n"/>
      <c r="AO114" s="9" t="n"/>
      <c r="AP114" s="9" t="n"/>
      <c r="AQ114" s="9" t="n"/>
      <c r="AR114" s="9" t="n"/>
      <c r="AS114" s="9" t="n"/>
      <c r="AT114" s="9" t="n"/>
      <c r="AU114" s="9" t="n"/>
      <c r="AV114" s="9" t="n"/>
      <c r="AW114" s="9" t="n"/>
      <c r="AX114" s="9" t="n"/>
      <c r="AY114" s="9" t="n"/>
      <c r="AZ114" s="9" t="n"/>
      <c r="BA114" s="9" t="n"/>
    </row>
    <row r="115" ht="15.75" customHeight="1" s="18">
      <c r="A115" s="3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  <c r="AH115" s="9" t="n"/>
      <c r="AI115" s="9" t="n"/>
      <c r="AJ115" s="9" t="n"/>
      <c r="AK115" s="9" t="n"/>
      <c r="AL115" s="9" t="n"/>
      <c r="AM115" s="9" t="n"/>
      <c r="AN115" s="9" t="n"/>
      <c r="AO115" s="9" t="n"/>
      <c r="AP115" s="9" t="n"/>
      <c r="AQ115" s="9" t="n"/>
      <c r="AR115" s="9" t="n"/>
      <c r="AS115" s="9" t="n"/>
      <c r="AT115" s="9" t="n"/>
      <c r="AU115" s="9" t="n"/>
      <c r="AV115" s="9" t="n"/>
      <c r="AW115" s="9" t="n"/>
      <c r="AX115" s="9" t="n"/>
      <c r="AY115" s="9" t="n"/>
      <c r="AZ115" s="9" t="n"/>
      <c r="BA115" s="9" t="n"/>
    </row>
    <row r="116" ht="15.75" customHeight="1" s="18">
      <c r="A116" s="3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  <c r="AF116" s="9" t="n"/>
      <c r="AG116" s="9" t="n"/>
      <c r="AH116" s="9" t="n"/>
      <c r="AI116" s="9" t="n"/>
      <c r="AJ116" s="9" t="n"/>
      <c r="AK116" s="9" t="n"/>
      <c r="AL116" s="9" t="n"/>
      <c r="AM116" s="9" t="n"/>
      <c r="AN116" s="9" t="n"/>
      <c r="AO116" s="9" t="n"/>
      <c r="AP116" s="9" t="n"/>
      <c r="AQ116" s="9" t="n"/>
      <c r="AR116" s="9" t="n"/>
      <c r="AS116" s="9" t="n"/>
      <c r="AT116" s="9" t="n"/>
      <c r="AU116" s="9" t="n"/>
      <c r="AV116" s="9" t="n"/>
      <c r="AW116" s="9" t="n"/>
      <c r="AX116" s="9" t="n"/>
      <c r="AY116" s="9" t="n"/>
      <c r="AZ116" s="9" t="n"/>
      <c r="BA116" s="9" t="n"/>
    </row>
    <row r="117" ht="15.75" customHeight="1" s="18">
      <c r="A117" s="3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  <c r="AH117" s="9" t="n"/>
      <c r="AI117" s="9" t="n"/>
      <c r="AJ117" s="9" t="n"/>
      <c r="AK117" s="9" t="n"/>
      <c r="AL117" s="9" t="n"/>
      <c r="AM117" s="9" t="n"/>
      <c r="AN117" s="9" t="n"/>
      <c r="AO117" s="9" t="n"/>
      <c r="AP117" s="9" t="n"/>
      <c r="AQ117" s="9" t="n"/>
      <c r="AR117" s="9" t="n"/>
      <c r="AS117" s="9" t="n"/>
      <c r="AT117" s="9" t="n"/>
      <c r="AU117" s="9" t="n"/>
      <c r="AV117" s="9" t="n"/>
      <c r="AW117" s="9" t="n"/>
      <c r="AX117" s="9" t="n"/>
      <c r="AY117" s="9" t="n"/>
      <c r="AZ117" s="9" t="n"/>
      <c r="BA117" s="9" t="n"/>
    </row>
    <row r="118" ht="15.75" customHeight="1" s="18">
      <c r="A118" s="3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  <c r="AH118" s="9" t="n"/>
      <c r="AI118" s="9" t="n"/>
      <c r="AJ118" s="9" t="n"/>
      <c r="AK118" s="9" t="n"/>
      <c r="AL118" s="9" t="n"/>
      <c r="AM118" s="9" t="n"/>
      <c r="AN118" s="9" t="n"/>
      <c r="AO118" s="9" t="n"/>
      <c r="AP118" s="9" t="n"/>
      <c r="AQ118" s="9" t="n"/>
      <c r="AR118" s="9" t="n"/>
      <c r="AS118" s="9" t="n"/>
      <c r="AT118" s="9" t="n"/>
      <c r="AU118" s="9" t="n"/>
      <c r="AV118" s="9" t="n"/>
      <c r="AW118" s="9" t="n"/>
      <c r="AX118" s="9" t="n"/>
      <c r="AY118" s="9" t="n"/>
      <c r="AZ118" s="9" t="n"/>
      <c r="BA118" s="9" t="n"/>
    </row>
    <row r="119" ht="15.75" customHeight="1" s="18">
      <c r="A119" s="3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  <c r="AF119" s="9" t="n"/>
      <c r="AG119" s="9" t="n"/>
      <c r="AH119" s="9" t="n"/>
      <c r="AI119" s="9" t="n"/>
      <c r="AJ119" s="9" t="n"/>
      <c r="AK119" s="9" t="n"/>
      <c r="AL119" s="9" t="n"/>
      <c r="AM119" s="9" t="n"/>
      <c r="AN119" s="9" t="n"/>
      <c r="AO119" s="9" t="n"/>
      <c r="AP119" s="9" t="n"/>
      <c r="AQ119" s="9" t="n"/>
      <c r="AR119" s="9" t="n"/>
      <c r="AS119" s="9" t="n"/>
      <c r="AT119" s="9" t="n"/>
      <c r="AU119" s="9" t="n"/>
      <c r="AV119" s="9" t="n"/>
      <c r="AW119" s="9" t="n"/>
      <c r="AX119" s="9" t="n"/>
      <c r="AY119" s="9" t="n"/>
      <c r="AZ119" s="9" t="n"/>
      <c r="BA119" s="9" t="n"/>
    </row>
    <row r="120" ht="15.75" customHeight="1" s="18">
      <c r="A120" s="3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  <c r="AH120" s="9" t="n"/>
      <c r="AI120" s="9" t="n"/>
      <c r="AJ120" s="9" t="n"/>
      <c r="AK120" s="9" t="n"/>
      <c r="AL120" s="9" t="n"/>
      <c r="AM120" s="9" t="n"/>
      <c r="AN120" s="9" t="n"/>
      <c r="AO120" s="9" t="n"/>
      <c r="AP120" s="9" t="n"/>
      <c r="AQ120" s="9" t="n"/>
      <c r="AR120" s="9" t="n"/>
      <c r="AS120" s="9" t="n"/>
      <c r="AT120" s="9" t="n"/>
      <c r="AU120" s="9" t="n"/>
      <c r="AV120" s="9" t="n"/>
      <c r="AW120" s="9" t="n"/>
      <c r="AX120" s="9" t="n"/>
      <c r="AY120" s="9" t="n"/>
      <c r="AZ120" s="9" t="n"/>
      <c r="BA120" s="9" t="n"/>
    </row>
    <row r="121" ht="15.75" customHeight="1" s="18">
      <c r="A121" s="3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  <c r="AH121" s="9" t="n"/>
      <c r="AI121" s="9" t="n"/>
      <c r="AJ121" s="9" t="n"/>
      <c r="AK121" s="9" t="n"/>
      <c r="AL121" s="9" t="n"/>
      <c r="AM121" s="9" t="n"/>
      <c r="AN121" s="9" t="n"/>
      <c r="AO121" s="9" t="n"/>
      <c r="AP121" s="9" t="n"/>
      <c r="AQ121" s="9" t="n"/>
      <c r="AR121" s="9" t="n"/>
      <c r="AS121" s="9" t="n"/>
      <c r="AT121" s="9" t="n"/>
      <c r="AU121" s="9" t="n"/>
      <c r="AV121" s="9" t="n"/>
      <c r="AW121" s="9" t="n"/>
      <c r="AX121" s="9" t="n"/>
      <c r="AY121" s="9" t="n"/>
      <c r="AZ121" s="9" t="n"/>
      <c r="BA121" s="9" t="n"/>
    </row>
    <row r="122" ht="15.75" customHeight="1" s="18">
      <c r="A122" s="3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  <c r="AF122" s="9" t="n"/>
      <c r="AG122" s="9" t="n"/>
      <c r="AH122" s="9" t="n"/>
      <c r="AI122" s="9" t="n"/>
      <c r="AJ122" s="9" t="n"/>
      <c r="AK122" s="9" t="n"/>
      <c r="AL122" s="9" t="n"/>
      <c r="AM122" s="9" t="n"/>
      <c r="AN122" s="9" t="n"/>
      <c r="AO122" s="9" t="n"/>
      <c r="AP122" s="9" t="n"/>
      <c r="AQ122" s="9" t="n"/>
      <c r="AR122" s="9" t="n"/>
      <c r="AS122" s="9" t="n"/>
      <c r="AT122" s="9" t="n"/>
      <c r="AU122" s="9" t="n"/>
      <c r="AV122" s="9" t="n"/>
      <c r="AW122" s="9" t="n"/>
      <c r="AX122" s="9" t="n"/>
      <c r="AY122" s="9" t="n"/>
      <c r="AZ122" s="9" t="n"/>
      <c r="BA122" s="9" t="n"/>
    </row>
    <row r="123" ht="15.75" customHeight="1" s="18">
      <c r="A123" s="3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  <c r="AF123" s="9" t="n"/>
      <c r="AG123" s="9" t="n"/>
      <c r="AH123" s="9" t="n"/>
      <c r="AI123" s="9" t="n"/>
      <c r="AJ123" s="9" t="n"/>
      <c r="AK123" s="9" t="n"/>
      <c r="AL123" s="9" t="n"/>
      <c r="AM123" s="9" t="n"/>
      <c r="AN123" s="9" t="n"/>
      <c r="AO123" s="9" t="n"/>
      <c r="AP123" s="9" t="n"/>
      <c r="AQ123" s="9" t="n"/>
      <c r="AR123" s="9" t="n"/>
      <c r="AS123" s="9" t="n"/>
      <c r="AT123" s="9" t="n"/>
      <c r="AU123" s="9" t="n"/>
      <c r="AV123" s="9" t="n"/>
      <c r="AW123" s="9" t="n"/>
      <c r="AX123" s="9" t="n"/>
      <c r="AY123" s="9" t="n"/>
      <c r="AZ123" s="9" t="n"/>
      <c r="BA123" s="9" t="n"/>
    </row>
    <row r="124" ht="15.75" customHeight="1" s="18">
      <c r="A124" s="3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  <c r="AH124" s="9" t="n"/>
      <c r="AI124" s="9" t="n"/>
      <c r="AJ124" s="9" t="n"/>
      <c r="AK124" s="9" t="n"/>
      <c r="AL124" s="9" t="n"/>
      <c r="AM124" s="9" t="n"/>
      <c r="AN124" s="9" t="n"/>
      <c r="AO124" s="9" t="n"/>
      <c r="AP124" s="9" t="n"/>
      <c r="AQ124" s="9" t="n"/>
      <c r="AR124" s="9" t="n"/>
      <c r="AS124" s="9" t="n"/>
      <c r="AT124" s="9" t="n"/>
      <c r="AU124" s="9" t="n"/>
      <c r="AV124" s="9" t="n"/>
      <c r="AW124" s="9" t="n"/>
      <c r="AX124" s="9" t="n"/>
      <c r="AY124" s="9" t="n"/>
      <c r="AZ124" s="9" t="n"/>
      <c r="BA124" s="9" t="n"/>
    </row>
    <row r="125" ht="15.75" customHeight="1" s="18">
      <c r="A125" s="3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  <c r="AH125" s="9" t="n"/>
      <c r="AI125" s="9" t="n"/>
      <c r="AJ125" s="9" t="n"/>
      <c r="AK125" s="9" t="n"/>
      <c r="AL125" s="9" t="n"/>
      <c r="AM125" s="9" t="n"/>
      <c r="AN125" s="9" t="n"/>
      <c r="AO125" s="9" t="n"/>
      <c r="AP125" s="9" t="n"/>
      <c r="AQ125" s="9" t="n"/>
      <c r="AR125" s="9" t="n"/>
      <c r="AS125" s="9" t="n"/>
      <c r="AT125" s="9" t="n"/>
      <c r="AU125" s="9" t="n"/>
      <c r="AV125" s="9" t="n"/>
      <c r="AW125" s="9" t="n"/>
      <c r="AX125" s="9" t="n"/>
      <c r="AY125" s="9" t="n"/>
      <c r="AZ125" s="9" t="n"/>
      <c r="BA125" s="9" t="n"/>
    </row>
    <row r="126" ht="15.75" customHeight="1" s="18">
      <c r="A126" s="3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  <c r="AH126" s="9" t="n"/>
      <c r="AI126" s="9" t="n"/>
      <c r="AJ126" s="9" t="n"/>
      <c r="AK126" s="9" t="n"/>
      <c r="AL126" s="9" t="n"/>
      <c r="AM126" s="9" t="n"/>
      <c r="AN126" s="9" t="n"/>
      <c r="AO126" s="9" t="n"/>
      <c r="AP126" s="9" t="n"/>
      <c r="AQ126" s="9" t="n"/>
      <c r="AR126" s="9" t="n"/>
      <c r="AS126" s="9" t="n"/>
      <c r="AT126" s="9" t="n"/>
      <c r="AU126" s="9" t="n"/>
      <c r="AV126" s="9" t="n"/>
      <c r="AW126" s="9" t="n"/>
      <c r="AX126" s="9" t="n"/>
      <c r="AY126" s="9" t="n"/>
      <c r="AZ126" s="9" t="n"/>
      <c r="BA126" s="9" t="n"/>
    </row>
    <row r="127" ht="15.75" customHeight="1" s="18">
      <c r="A127" s="3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  <c r="AF127" s="9" t="n"/>
      <c r="AG127" s="9" t="n"/>
      <c r="AH127" s="9" t="n"/>
      <c r="AI127" s="9" t="n"/>
      <c r="AJ127" s="9" t="n"/>
      <c r="AK127" s="9" t="n"/>
      <c r="AL127" s="9" t="n"/>
      <c r="AM127" s="9" t="n"/>
      <c r="AN127" s="9" t="n"/>
      <c r="AO127" s="9" t="n"/>
      <c r="AP127" s="9" t="n"/>
      <c r="AQ127" s="9" t="n"/>
      <c r="AR127" s="9" t="n"/>
      <c r="AS127" s="9" t="n"/>
      <c r="AT127" s="9" t="n"/>
      <c r="AU127" s="9" t="n"/>
      <c r="AV127" s="9" t="n"/>
      <c r="AW127" s="9" t="n"/>
      <c r="AX127" s="9" t="n"/>
      <c r="AY127" s="9" t="n"/>
      <c r="AZ127" s="9" t="n"/>
      <c r="BA127" s="9" t="n"/>
    </row>
    <row r="128" ht="15.75" customHeight="1" s="18">
      <c r="A128" s="3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9" t="n"/>
      <c r="AG128" s="9" t="n"/>
      <c r="AH128" s="9" t="n"/>
      <c r="AI128" s="9" t="n"/>
      <c r="AJ128" s="9" t="n"/>
      <c r="AK128" s="9" t="n"/>
      <c r="AL128" s="9" t="n"/>
      <c r="AM128" s="9" t="n"/>
      <c r="AN128" s="9" t="n"/>
      <c r="AO128" s="9" t="n"/>
      <c r="AP128" s="9" t="n"/>
      <c r="AQ128" s="9" t="n"/>
      <c r="AR128" s="9" t="n"/>
      <c r="AS128" s="9" t="n"/>
      <c r="AT128" s="9" t="n"/>
      <c r="AU128" s="9" t="n"/>
      <c r="AV128" s="9" t="n"/>
      <c r="AW128" s="9" t="n"/>
      <c r="AX128" s="9" t="n"/>
      <c r="AY128" s="9" t="n"/>
      <c r="AZ128" s="9" t="n"/>
      <c r="BA128" s="9" t="n"/>
    </row>
    <row r="129" ht="15.75" customHeight="1" s="18">
      <c r="A129" s="3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  <c r="AF129" s="9" t="n"/>
      <c r="AG129" s="9" t="n"/>
      <c r="AH129" s="9" t="n"/>
      <c r="AI129" s="9" t="n"/>
      <c r="AJ129" s="9" t="n"/>
      <c r="AK129" s="9" t="n"/>
      <c r="AL129" s="9" t="n"/>
      <c r="AM129" s="9" t="n"/>
      <c r="AN129" s="9" t="n"/>
      <c r="AO129" s="9" t="n"/>
      <c r="AP129" s="9" t="n"/>
      <c r="AQ129" s="9" t="n"/>
      <c r="AR129" s="9" t="n"/>
      <c r="AS129" s="9" t="n"/>
      <c r="AT129" s="9" t="n"/>
      <c r="AU129" s="9" t="n"/>
      <c r="AV129" s="9" t="n"/>
      <c r="AW129" s="9" t="n"/>
      <c r="AX129" s="9" t="n"/>
      <c r="AY129" s="9" t="n"/>
      <c r="AZ129" s="9" t="n"/>
      <c r="BA129" s="9" t="n"/>
    </row>
    <row r="130" ht="15.75" customHeight="1" s="18">
      <c r="A130" s="3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9" t="n"/>
      <c r="AG130" s="9" t="n"/>
      <c r="AH130" s="9" t="n"/>
      <c r="AI130" s="9" t="n"/>
      <c r="AJ130" s="9" t="n"/>
      <c r="AK130" s="9" t="n"/>
      <c r="AL130" s="9" t="n"/>
      <c r="AM130" s="9" t="n"/>
      <c r="AN130" s="9" t="n"/>
      <c r="AO130" s="9" t="n"/>
      <c r="AP130" s="9" t="n"/>
      <c r="AQ130" s="9" t="n"/>
      <c r="AR130" s="9" t="n"/>
      <c r="AS130" s="9" t="n"/>
      <c r="AT130" s="9" t="n"/>
      <c r="AU130" s="9" t="n"/>
      <c r="AV130" s="9" t="n"/>
      <c r="AW130" s="9" t="n"/>
      <c r="AX130" s="9" t="n"/>
      <c r="AY130" s="9" t="n"/>
      <c r="AZ130" s="9" t="n"/>
      <c r="BA130" s="9" t="n"/>
    </row>
    <row r="131" ht="15.75" customHeight="1" s="18">
      <c r="A131" s="3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  <c r="AF131" s="9" t="n"/>
      <c r="AG131" s="9" t="n"/>
      <c r="AH131" s="9" t="n"/>
      <c r="AI131" s="9" t="n"/>
      <c r="AJ131" s="9" t="n"/>
      <c r="AK131" s="9" t="n"/>
      <c r="AL131" s="9" t="n"/>
      <c r="AM131" s="9" t="n"/>
      <c r="AN131" s="9" t="n"/>
      <c r="AO131" s="9" t="n"/>
      <c r="AP131" s="9" t="n"/>
      <c r="AQ131" s="9" t="n"/>
      <c r="AR131" s="9" t="n"/>
      <c r="AS131" s="9" t="n"/>
      <c r="AT131" s="9" t="n"/>
      <c r="AU131" s="9" t="n"/>
      <c r="AV131" s="9" t="n"/>
      <c r="AW131" s="9" t="n"/>
      <c r="AX131" s="9" t="n"/>
      <c r="AY131" s="9" t="n"/>
      <c r="AZ131" s="9" t="n"/>
      <c r="BA131" s="9" t="n"/>
    </row>
    <row r="132" ht="15.75" customHeight="1" s="18">
      <c r="A132" s="3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  <c r="AH132" s="9" t="n"/>
      <c r="AI132" s="9" t="n"/>
      <c r="AJ132" s="9" t="n"/>
      <c r="AK132" s="9" t="n"/>
      <c r="AL132" s="9" t="n"/>
      <c r="AM132" s="9" t="n"/>
      <c r="AN132" s="9" t="n"/>
      <c r="AO132" s="9" t="n"/>
      <c r="AP132" s="9" t="n"/>
      <c r="AQ132" s="9" t="n"/>
      <c r="AR132" s="9" t="n"/>
      <c r="AS132" s="9" t="n"/>
      <c r="AT132" s="9" t="n"/>
      <c r="AU132" s="9" t="n"/>
      <c r="AV132" s="9" t="n"/>
      <c r="AW132" s="9" t="n"/>
      <c r="AX132" s="9" t="n"/>
      <c r="AY132" s="9" t="n"/>
      <c r="AZ132" s="9" t="n"/>
      <c r="BA132" s="9" t="n"/>
    </row>
    <row r="133" ht="15.75" customHeight="1" s="18">
      <c r="A133" s="3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  <c r="AH133" s="9" t="n"/>
      <c r="AI133" s="9" t="n"/>
      <c r="AJ133" s="9" t="n"/>
      <c r="AK133" s="9" t="n"/>
      <c r="AL133" s="9" t="n"/>
      <c r="AM133" s="9" t="n"/>
      <c r="AN133" s="9" t="n"/>
      <c r="AO133" s="9" t="n"/>
      <c r="AP133" s="9" t="n"/>
      <c r="AQ133" s="9" t="n"/>
      <c r="AR133" s="9" t="n"/>
      <c r="AS133" s="9" t="n"/>
      <c r="AT133" s="9" t="n"/>
      <c r="AU133" s="9" t="n"/>
      <c r="AV133" s="9" t="n"/>
      <c r="AW133" s="9" t="n"/>
      <c r="AX133" s="9" t="n"/>
      <c r="AY133" s="9" t="n"/>
      <c r="AZ133" s="9" t="n"/>
      <c r="BA133" s="9" t="n"/>
    </row>
    <row r="134" ht="15.75" customHeight="1" s="18">
      <c r="A134" s="3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  <c r="AH134" s="9" t="n"/>
      <c r="AI134" s="9" t="n"/>
      <c r="AJ134" s="9" t="n"/>
      <c r="AK134" s="9" t="n"/>
      <c r="AL134" s="9" t="n"/>
      <c r="AM134" s="9" t="n"/>
      <c r="AN134" s="9" t="n"/>
      <c r="AO134" s="9" t="n"/>
      <c r="AP134" s="9" t="n"/>
      <c r="AQ134" s="9" t="n"/>
      <c r="AR134" s="9" t="n"/>
      <c r="AS134" s="9" t="n"/>
      <c r="AT134" s="9" t="n"/>
      <c r="AU134" s="9" t="n"/>
      <c r="AV134" s="9" t="n"/>
      <c r="AW134" s="9" t="n"/>
      <c r="AX134" s="9" t="n"/>
      <c r="AY134" s="9" t="n"/>
      <c r="AZ134" s="9" t="n"/>
      <c r="BA134" s="9" t="n"/>
    </row>
    <row r="135" ht="15.75" customHeight="1" s="18">
      <c r="A135" s="3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  <c r="AF135" s="9" t="n"/>
      <c r="AG135" s="9" t="n"/>
      <c r="AH135" s="9" t="n"/>
      <c r="AI135" s="9" t="n"/>
      <c r="AJ135" s="9" t="n"/>
      <c r="AK135" s="9" t="n"/>
      <c r="AL135" s="9" t="n"/>
      <c r="AM135" s="9" t="n"/>
      <c r="AN135" s="9" t="n"/>
      <c r="AO135" s="9" t="n"/>
      <c r="AP135" s="9" t="n"/>
      <c r="AQ135" s="9" t="n"/>
      <c r="AR135" s="9" t="n"/>
      <c r="AS135" s="9" t="n"/>
      <c r="AT135" s="9" t="n"/>
      <c r="AU135" s="9" t="n"/>
      <c r="AV135" s="9" t="n"/>
      <c r="AW135" s="9" t="n"/>
      <c r="AX135" s="9" t="n"/>
      <c r="AY135" s="9" t="n"/>
      <c r="AZ135" s="9" t="n"/>
      <c r="BA135" s="9" t="n"/>
    </row>
    <row r="136" ht="15.75" customHeight="1" s="18">
      <c r="A136" s="3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  <c r="AH136" s="9" t="n"/>
      <c r="AI136" s="9" t="n"/>
      <c r="AJ136" s="9" t="n"/>
      <c r="AK136" s="9" t="n"/>
      <c r="AL136" s="9" t="n"/>
      <c r="AM136" s="9" t="n"/>
      <c r="AN136" s="9" t="n"/>
      <c r="AO136" s="9" t="n"/>
      <c r="AP136" s="9" t="n"/>
      <c r="AQ136" s="9" t="n"/>
      <c r="AR136" s="9" t="n"/>
      <c r="AS136" s="9" t="n"/>
      <c r="AT136" s="9" t="n"/>
      <c r="AU136" s="9" t="n"/>
      <c r="AV136" s="9" t="n"/>
      <c r="AW136" s="9" t="n"/>
      <c r="AX136" s="9" t="n"/>
      <c r="AY136" s="9" t="n"/>
      <c r="AZ136" s="9" t="n"/>
      <c r="BA136" s="9" t="n"/>
    </row>
    <row r="137" ht="15.75" customHeight="1" s="18">
      <c r="A137" s="3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  <c r="AF137" s="9" t="n"/>
      <c r="AG137" s="9" t="n"/>
      <c r="AH137" s="9" t="n"/>
      <c r="AI137" s="9" t="n"/>
      <c r="AJ137" s="9" t="n"/>
      <c r="AK137" s="9" t="n"/>
      <c r="AL137" s="9" t="n"/>
      <c r="AM137" s="9" t="n"/>
      <c r="AN137" s="9" t="n"/>
      <c r="AO137" s="9" t="n"/>
      <c r="AP137" s="9" t="n"/>
      <c r="AQ137" s="9" t="n"/>
      <c r="AR137" s="9" t="n"/>
      <c r="AS137" s="9" t="n"/>
      <c r="AT137" s="9" t="n"/>
      <c r="AU137" s="9" t="n"/>
      <c r="AV137" s="9" t="n"/>
      <c r="AW137" s="9" t="n"/>
      <c r="AX137" s="9" t="n"/>
      <c r="AY137" s="9" t="n"/>
      <c r="AZ137" s="9" t="n"/>
      <c r="BA137" s="9" t="n"/>
    </row>
    <row r="138" ht="15.75" customHeight="1" s="18">
      <c r="A138" s="3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  <c r="AF138" s="9" t="n"/>
      <c r="AG138" s="9" t="n"/>
      <c r="AH138" s="9" t="n"/>
      <c r="AI138" s="9" t="n"/>
      <c r="AJ138" s="9" t="n"/>
      <c r="AK138" s="9" t="n"/>
      <c r="AL138" s="9" t="n"/>
      <c r="AM138" s="9" t="n"/>
      <c r="AN138" s="9" t="n"/>
      <c r="AO138" s="9" t="n"/>
      <c r="AP138" s="9" t="n"/>
      <c r="AQ138" s="9" t="n"/>
      <c r="AR138" s="9" t="n"/>
      <c r="AS138" s="9" t="n"/>
      <c r="AT138" s="9" t="n"/>
      <c r="AU138" s="9" t="n"/>
      <c r="AV138" s="9" t="n"/>
      <c r="AW138" s="9" t="n"/>
      <c r="AX138" s="9" t="n"/>
      <c r="AY138" s="9" t="n"/>
      <c r="AZ138" s="9" t="n"/>
      <c r="BA138" s="9" t="n"/>
    </row>
    <row r="139" ht="15.75" customHeight="1" s="18">
      <c r="A139" s="3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9" t="n"/>
      <c r="AG139" s="9" t="n"/>
      <c r="AH139" s="9" t="n"/>
      <c r="AI139" s="9" t="n"/>
      <c r="AJ139" s="9" t="n"/>
      <c r="AK139" s="9" t="n"/>
      <c r="AL139" s="9" t="n"/>
      <c r="AM139" s="9" t="n"/>
      <c r="AN139" s="9" t="n"/>
      <c r="AO139" s="9" t="n"/>
      <c r="AP139" s="9" t="n"/>
      <c r="AQ139" s="9" t="n"/>
      <c r="AR139" s="9" t="n"/>
      <c r="AS139" s="9" t="n"/>
      <c r="AT139" s="9" t="n"/>
      <c r="AU139" s="9" t="n"/>
      <c r="AV139" s="9" t="n"/>
      <c r="AW139" s="9" t="n"/>
      <c r="AX139" s="9" t="n"/>
      <c r="AY139" s="9" t="n"/>
      <c r="AZ139" s="9" t="n"/>
      <c r="BA139" s="9" t="n"/>
    </row>
    <row r="140" ht="15.75" customHeight="1" s="18">
      <c r="A140" s="3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  <c r="AF140" s="9" t="n"/>
      <c r="AG140" s="9" t="n"/>
      <c r="AH140" s="9" t="n"/>
      <c r="AI140" s="9" t="n"/>
      <c r="AJ140" s="9" t="n"/>
      <c r="AK140" s="9" t="n"/>
      <c r="AL140" s="9" t="n"/>
      <c r="AM140" s="9" t="n"/>
      <c r="AN140" s="9" t="n"/>
      <c r="AO140" s="9" t="n"/>
      <c r="AP140" s="9" t="n"/>
      <c r="AQ140" s="9" t="n"/>
      <c r="AR140" s="9" t="n"/>
      <c r="AS140" s="9" t="n"/>
      <c r="AT140" s="9" t="n"/>
      <c r="AU140" s="9" t="n"/>
      <c r="AV140" s="9" t="n"/>
      <c r="AW140" s="9" t="n"/>
      <c r="AX140" s="9" t="n"/>
      <c r="AY140" s="9" t="n"/>
      <c r="AZ140" s="9" t="n"/>
      <c r="BA140" s="9" t="n"/>
    </row>
    <row r="141" ht="15.75" customHeight="1" s="18">
      <c r="A141" s="3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  <c r="AF141" s="9" t="n"/>
      <c r="AG141" s="9" t="n"/>
      <c r="AH141" s="9" t="n"/>
      <c r="AI141" s="9" t="n"/>
      <c r="AJ141" s="9" t="n"/>
      <c r="AK141" s="9" t="n"/>
      <c r="AL141" s="9" t="n"/>
      <c r="AM141" s="9" t="n"/>
      <c r="AN141" s="9" t="n"/>
      <c r="AO141" s="9" t="n"/>
      <c r="AP141" s="9" t="n"/>
      <c r="AQ141" s="9" t="n"/>
      <c r="AR141" s="9" t="n"/>
      <c r="AS141" s="9" t="n"/>
      <c r="AT141" s="9" t="n"/>
      <c r="AU141" s="9" t="n"/>
      <c r="AV141" s="9" t="n"/>
      <c r="AW141" s="9" t="n"/>
      <c r="AX141" s="9" t="n"/>
      <c r="AY141" s="9" t="n"/>
      <c r="AZ141" s="9" t="n"/>
      <c r="BA141" s="9" t="n"/>
    </row>
    <row r="142" ht="15.75" customHeight="1" s="18">
      <c r="A142" s="3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  <c r="AF142" s="9" t="n"/>
      <c r="AG142" s="9" t="n"/>
      <c r="AH142" s="9" t="n"/>
      <c r="AI142" s="9" t="n"/>
      <c r="AJ142" s="9" t="n"/>
      <c r="AK142" s="9" t="n"/>
      <c r="AL142" s="9" t="n"/>
      <c r="AM142" s="9" t="n"/>
      <c r="AN142" s="9" t="n"/>
      <c r="AO142" s="9" t="n"/>
      <c r="AP142" s="9" t="n"/>
      <c r="AQ142" s="9" t="n"/>
      <c r="AR142" s="9" t="n"/>
      <c r="AS142" s="9" t="n"/>
      <c r="AT142" s="9" t="n"/>
      <c r="AU142" s="9" t="n"/>
      <c r="AV142" s="9" t="n"/>
      <c r="AW142" s="9" t="n"/>
      <c r="AX142" s="9" t="n"/>
      <c r="AY142" s="9" t="n"/>
      <c r="AZ142" s="9" t="n"/>
      <c r="BA142" s="9" t="n"/>
    </row>
    <row r="143" ht="15.75" customHeight="1" s="18">
      <c r="A143" s="3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  <c r="AF143" s="9" t="n"/>
      <c r="AG143" s="9" t="n"/>
      <c r="AH143" s="9" t="n"/>
      <c r="AI143" s="9" t="n"/>
      <c r="AJ143" s="9" t="n"/>
      <c r="AK143" s="9" t="n"/>
      <c r="AL143" s="9" t="n"/>
      <c r="AM143" s="9" t="n"/>
      <c r="AN143" s="9" t="n"/>
      <c r="AO143" s="9" t="n"/>
      <c r="AP143" s="9" t="n"/>
      <c r="AQ143" s="9" t="n"/>
      <c r="AR143" s="9" t="n"/>
      <c r="AS143" s="9" t="n"/>
      <c r="AT143" s="9" t="n"/>
      <c r="AU143" s="9" t="n"/>
      <c r="AV143" s="9" t="n"/>
      <c r="AW143" s="9" t="n"/>
      <c r="AX143" s="9" t="n"/>
      <c r="AY143" s="9" t="n"/>
      <c r="AZ143" s="9" t="n"/>
      <c r="BA143" s="9" t="n"/>
    </row>
    <row r="144" ht="15.75" customHeight="1" s="18">
      <c r="A144" s="3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  <c r="AH144" s="9" t="n"/>
      <c r="AI144" s="9" t="n"/>
      <c r="AJ144" s="9" t="n"/>
      <c r="AK144" s="9" t="n"/>
      <c r="AL144" s="9" t="n"/>
      <c r="AM144" s="9" t="n"/>
      <c r="AN144" s="9" t="n"/>
      <c r="AO144" s="9" t="n"/>
      <c r="AP144" s="9" t="n"/>
      <c r="AQ144" s="9" t="n"/>
      <c r="AR144" s="9" t="n"/>
      <c r="AS144" s="9" t="n"/>
      <c r="AT144" s="9" t="n"/>
      <c r="AU144" s="9" t="n"/>
      <c r="AV144" s="9" t="n"/>
      <c r="AW144" s="9" t="n"/>
      <c r="AX144" s="9" t="n"/>
      <c r="AY144" s="9" t="n"/>
      <c r="AZ144" s="9" t="n"/>
      <c r="BA144" s="9" t="n"/>
    </row>
    <row r="145" ht="15.75" customHeight="1" s="18">
      <c r="A145" s="3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  <c r="AH145" s="9" t="n"/>
      <c r="AI145" s="9" t="n"/>
      <c r="AJ145" s="9" t="n"/>
      <c r="AK145" s="9" t="n"/>
      <c r="AL145" s="9" t="n"/>
      <c r="AM145" s="9" t="n"/>
      <c r="AN145" s="9" t="n"/>
      <c r="AO145" s="9" t="n"/>
      <c r="AP145" s="9" t="n"/>
      <c r="AQ145" s="9" t="n"/>
      <c r="AR145" s="9" t="n"/>
      <c r="AS145" s="9" t="n"/>
      <c r="AT145" s="9" t="n"/>
      <c r="AU145" s="9" t="n"/>
      <c r="AV145" s="9" t="n"/>
      <c r="AW145" s="9" t="n"/>
      <c r="AX145" s="9" t="n"/>
      <c r="AY145" s="9" t="n"/>
      <c r="AZ145" s="9" t="n"/>
      <c r="BA145" s="9" t="n"/>
    </row>
    <row r="146" ht="15.75" customHeight="1" s="18">
      <c r="A146" s="3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  <c r="AH146" s="9" t="n"/>
      <c r="AI146" s="9" t="n"/>
      <c r="AJ146" s="9" t="n"/>
      <c r="AK146" s="9" t="n"/>
      <c r="AL146" s="9" t="n"/>
      <c r="AM146" s="9" t="n"/>
      <c r="AN146" s="9" t="n"/>
      <c r="AO146" s="9" t="n"/>
      <c r="AP146" s="9" t="n"/>
      <c r="AQ146" s="9" t="n"/>
      <c r="AR146" s="9" t="n"/>
      <c r="AS146" s="9" t="n"/>
      <c r="AT146" s="9" t="n"/>
      <c r="AU146" s="9" t="n"/>
      <c r="AV146" s="9" t="n"/>
      <c r="AW146" s="9" t="n"/>
      <c r="AX146" s="9" t="n"/>
      <c r="AY146" s="9" t="n"/>
      <c r="AZ146" s="9" t="n"/>
      <c r="BA146" s="9" t="n"/>
    </row>
    <row r="147" ht="15.75" customHeight="1" s="18">
      <c r="A147" s="3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  <c r="AH147" s="9" t="n"/>
      <c r="AI147" s="9" t="n"/>
      <c r="AJ147" s="9" t="n"/>
      <c r="AK147" s="9" t="n"/>
      <c r="AL147" s="9" t="n"/>
      <c r="AM147" s="9" t="n"/>
      <c r="AN147" s="9" t="n"/>
      <c r="AO147" s="9" t="n"/>
      <c r="AP147" s="9" t="n"/>
      <c r="AQ147" s="9" t="n"/>
      <c r="AR147" s="9" t="n"/>
      <c r="AS147" s="9" t="n"/>
      <c r="AT147" s="9" t="n"/>
      <c r="AU147" s="9" t="n"/>
      <c r="AV147" s="9" t="n"/>
      <c r="AW147" s="9" t="n"/>
      <c r="AX147" s="9" t="n"/>
      <c r="AY147" s="9" t="n"/>
      <c r="AZ147" s="9" t="n"/>
      <c r="BA147" s="9" t="n"/>
    </row>
    <row r="148" ht="15.75" customHeight="1" s="18">
      <c r="A148" s="3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  <c r="AF148" s="9" t="n"/>
      <c r="AG148" s="9" t="n"/>
      <c r="AH148" s="9" t="n"/>
      <c r="AI148" s="9" t="n"/>
      <c r="AJ148" s="9" t="n"/>
      <c r="AK148" s="9" t="n"/>
      <c r="AL148" s="9" t="n"/>
      <c r="AM148" s="9" t="n"/>
      <c r="AN148" s="9" t="n"/>
      <c r="AO148" s="9" t="n"/>
      <c r="AP148" s="9" t="n"/>
      <c r="AQ148" s="9" t="n"/>
      <c r="AR148" s="9" t="n"/>
      <c r="AS148" s="9" t="n"/>
      <c r="AT148" s="9" t="n"/>
      <c r="AU148" s="9" t="n"/>
      <c r="AV148" s="9" t="n"/>
      <c r="AW148" s="9" t="n"/>
      <c r="AX148" s="9" t="n"/>
      <c r="AY148" s="9" t="n"/>
      <c r="AZ148" s="9" t="n"/>
      <c r="BA148" s="9" t="n"/>
    </row>
    <row r="149" ht="15.75" customHeight="1" s="18">
      <c r="A149" s="3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  <c r="AF149" s="9" t="n"/>
      <c r="AG149" s="9" t="n"/>
      <c r="AH149" s="9" t="n"/>
      <c r="AI149" s="9" t="n"/>
      <c r="AJ149" s="9" t="n"/>
      <c r="AK149" s="9" t="n"/>
      <c r="AL149" s="9" t="n"/>
      <c r="AM149" s="9" t="n"/>
      <c r="AN149" s="9" t="n"/>
      <c r="AO149" s="9" t="n"/>
      <c r="AP149" s="9" t="n"/>
      <c r="AQ149" s="9" t="n"/>
      <c r="AR149" s="9" t="n"/>
      <c r="AS149" s="9" t="n"/>
      <c r="AT149" s="9" t="n"/>
      <c r="AU149" s="9" t="n"/>
      <c r="AV149" s="9" t="n"/>
      <c r="AW149" s="9" t="n"/>
      <c r="AX149" s="9" t="n"/>
      <c r="AY149" s="9" t="n"/>
      <c r="AZ149" s="9" t="n"/>
      <c r="BA149" s="9" t="n"/>
    </row>
    <row r="150" ht="15.75" customHeight="1" s="18">
      <c r="A150" s="3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  <c r="AH150" s="9" t="n"/>
      <c r="AI150" s="9" t="n"/>
      <c r="AJ150" s="9" t="n"/>
      <c r="AK150" s="9" t="n"/>
      <c r="AL150" s="9" t="n"/>
      <c r="AM150" s="9" t="n"/>
      <c r="AN150" s="9" t="n"/>
      <c r="AO150" s="9" t="n"/>
      <c r="AP150" s="9" t="n"/>
      <c r="AQ150" s="9" t="n"/>
      <c r="AR150" s="9" t="n"/>
      <c r="AS150" s="9" t="n"/>
      <c r="AT150" s="9" t="n"/>
      <c r="AU150" s="9" t="n"/>
      <c r="AV150" s="9" t="n"/>
      <c r="AW150" s="9" t="n"/>
      <c r="AX150" s="9" t="n"/>
      <c r="AY150" s="9" t="n"/>
      <c r="AZ150" s="9" t="n"/>
      <c r="BA150" s="9" t="n"/>
    </row>
    <row r="151" ht="15.75" customHeight="1" s="18">
      <c r="A151" s="3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  <c r="AH151" s="9" t="n"/>
      <c r="AI151" s="9" t="n"/>
      <c r="AJ151" s="9" t="n"/>
      <c r="AK151" s="9" t="n"/>
      <c r="AL151" s="9" t="n"/>
      <c r="AM151" s="9" t="n"/>
      <c r="AN151" s="9" t="n"/>
      <c r="AO151" s="9" t="n"/>
      <c r="AP151" s="9" t="n"/>
      <c r="AQ151" s="9" t="n"/>
      <c r="AR151" s="9" t="n"/>
      <c r="AS151" s="9" t="n"/>
      <c r="AT151" s="9" t="n"/>
      <c r="AU151" s="9" t="n"/>
      <c r="AV151" s="9" t="n"/>
      <c r="AW151" s="9" t="n"/>
      <c r="AX151" s="9" t="n"/>
      <c r="AY151" s="9" t="n"/>
      <c r="AZ151" s="9" t="n"/>
      <c r="BA151" s="9" t="n"/>
    </row>
    <row r="152" ht="15.75" customHeight="1" s="18">
      <c r="A152" s="3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  <c r="AH152" s="9" t="n"/>
      <c r="AI152" s="9" t="n"/>
      <c r="AJ152" s="9" t="n"/>
      <c r="AK152" s="9" t="n"/>
      <c r="AL152" s="9" t="n"/>
      <c r="AM152" s="9" t="n"/>
      <c r="AN152" s="9" t="n"/>
      <c r="AO152" s="9" t="n"/>
      <c r="AP152" s="9" t="n"/>
      <c r="AQ152" s="9" t="n"/>
      <c r="AR152" s="9" t="n"/>
      <c r="AS152" s="9" t="n"/>
      <c r="AT152" s="9" t="n"/>
      <c r="AU152" s="9" t="n"/>
      <c r="AV152" s="9" t="n"/>
      <c r="AW152" s="9" t="n"/>
      <c r="AX152" s="9" t="n"/>
      <c r="AY152" s="9" t="n"/>
      <c r="AZ152" s="9" t="n"/>
      <c r="BA152" s="9" t="n"/>
    </row>
    <row r="153" ht="15.75" customHeight="1" s="18">
      <c r="A153" s="3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  <c r="AH153" s="9" t="n"/>
      <c r="AI153" s="9" t="n"/>
      <c r="AJ153" s="9" t="n"/>
      <c r="AK153" s="9" t="n"/>
      <c r="AL153" s="9" t="n"/>
      <c r="AM153" s="9" t="n"/>
      <c r="AN153" s="9" t="n"/>
      <c r="AO153" s="9" t="n"/>
      <c r="AP153" s="9" t="n"/>
      <c r="AQ153" s="9" t="n"/>
      <c r="AR153" s="9" t="n"/>
      <c r="AS153" s="9" t="n"/>
      <c r="AT153" s="9" t="n"/>
      <c r="AU153" s="9" t="n"/>
      <c r="AV153" s="9" t="n"/>
      <c r="AW153" s="9" t="n"/>
      <c r="AX153" s="9" t="n"/>
      <c r="AY153" s="9" t="n"/>
      <c r="AZ153" s="9" t="n"/>
      <c r="BA153" s="9" t="n"/>
    </row>
    <row r="154" ht="15.75" customHeight="1" s="18">
      <c r="A154" s="3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  <c r="AF154" s="9" t="n"/>
      <c r="AG154" s="9" t="n"/>
      <c r="AH154" s="9" t="n"/>
      <c r="AI154" s="9" t="n"/>
      <c r="AJ154" s="9" t="n"/>
      <c r="AK154" s="9" t="n"/>
      <c r="AL154" s="9" t="n"/>
      <c r="AM154" s="9" t="n"/>
      <c r="AN154" s="9" t="n"/>
      <c r="AO154" s="9" t="n"/>
      <c r="AP154" s="9" t="n"/>
      <c r="AQ154" s="9" t="n"/>
      <c r="AR154" s="9" t="n"/>
      <c r="AS154" s="9" t="n"/>
      <c r="AT154" s="9" t="n"/>
      <c r="AU154" s="9" t="n"/>
      <c r="AV154" s="9" t="n"/>
      <c r="AW154" s="9" t="n"/>
      <c r="AX154" s="9" t="n"/>
      <c r="AY154" s="9" t="n"/>
      <c r="AZ154" s="9" t="n"/>
      <c r="BA154" s="9" t="n"/>
    </row>
    <row r="155" ht="15.75" customHeight="1" s="18">
      <c r="A155" s="3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  <c r="AF155" s="9" t="n"/>
      <c r="AG155" s="9" t="n"/>
      <c r="AH155" s="9" t="n"/>
      <c r="AI155" s="9" t="n"/>
      <c r="AJ155" s="9" t="n"/>
      <c r="AK155" s="9" t="n"/>
      <c r="AL155" s="9" t="n"/>
      <c r="AM155" s="9" t="n"/>
      <c r="AN155" s="9" t="n"/>
      <c r="AO155" s="9" t="n"/>
      <c r="AP155" s="9" t="n"/>
      <c r="AQ155" s="9" t="n"/>
      <c r="AR155" s="9" t="n"/>
      <c r="AS155" s="9" t="n"/>
      <c r="AT155" s="9" t="n"/>
      <c r="AU155" s="9" t="n"/>
      <c r="AV155" s="9" t="n"/>
      <c r="AW155" s="9" t="n"/>
      <c r="AX155" s="9" t="n"/>
      <c r="AY155" s="9" t="n"/>
      <c r="AZ155" s="9" t="n"/>
      <c r="BA155" s="9" t="n"/>
    </row>
    <row r="156" ht="15.75" customHeight="1" s="18">
      <c r="A156" s="3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  <c r="AF156" s="9" t="n"/>
      <c r="AG156" s="9" t="n"/>
      <c r="AH156" s="9" t="n"/>
      <c r="AI156" s="9" t="n"/>
      <c r="AJ156" s="9" t="n"/>
      <c r="AK156" s="9" t="n"/>
      <c r="AL156" s="9" t="n"/>
      <c r="AM156" s="9" t="n"/>
      <c r="AN156" s="9" t="n"/>
      <c r="AO156" s="9" t="n"/>
      <c r="AP156" s="9" t="n"/>
      <c r="AQ156" s="9" t="n"/>
      <c r="AR156" s="9" t="n"/>
      <c r="AS156" s="9" t="n"/>
      <c r="AT156" s="9" t="n"/>
      <c r="AU156" s="9" t="n"/>
      <c r="AV156" s="9" t="n"/>
      <c r="AW156" s="9" t="n"/>
      <c r="AX156" s="9" t="n"/>
      <c r="AY156" s="9" t="n"/>
      <c r="AZ156" s="9" t="n"/>
      <c r="BA156" s="9" t="n"/>
    </row>
    <row r="157" ht="15.75" customHeight="1" s="18">
      <c r="A157" s="3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  <c r="AF157" s="9" t="n"/>
      <c r="AG157" s="9" t="n"/>
      <c r="AH157" s="9" t="n"/>
      <c r="AI157" s="9" t="n"/>
      <c r="AJ157" s="9" t="n"/>
      <c r="AK157" s="9" t="n"/>
      <c r="AL157" s="9" t="n"/>
      <c r="AM157" s="9" t="n"/>
      <c r="AN157" s="9" t="n"/>
      <c r="AO157" s="9" t="n"/>
      <c r="AP157" s="9" t="n"/>
      <c r="AQ157" s="9" t="n"/>
      <c r="AR157" s="9" t="n"/>
      <c r="AS157" s="9" t="n"/>
      <c r="AT157" s="9" t="n"/>
      <c r="AU157" s="9" t="n"/>
      <c r="AV157" s="9" t="n"/>
      <c r="AW157" s="9" t="n"/>
      <c r="AX157" s="9" t="n"/>
      <c r="AY157" s="9" t="n"/>
      <c r="AZ157" s="9" t="n"/>
      <c r="BA157" s="9" t="n"/>
    </row>
    <row r="158" ht="15.75" customHeight="1" s="18">
      <c r="A158" s="3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  <c r="AF158" s="9" t="n"/>
      <c r="AG158" s="9" t="n"/>
      <c r="AH158" s="9" t="n"/>
      <c r="AI158" s="9" t="n"/>
      <c r="AJ158" s="9" t="n"/>
      <c r="AK158" s="9" t="n"/>
      <c r="AL158" s="9" t="n"/>
      <c r="AM158" s="9" t="n"/>
      <c r="AN158" s="9" t="n"/>
      <c r="AO158" s="9" t="n"/>
      <c r="AP158" s="9" t="n"/>
      <c r="AQ158" s="9" t="n"/>
      <c r="AR158" s="9" t="n"/>
      <c r="AS158" s="9" t="n"/>
      <c r="AT158" s="9" t="n"/>
      <c r="AU158" s="9" t="n"/>
      <c r="AV158" s="9" t="n"/>
      <c r="AW158" s="9" t="n"/>
      <c r="AX158" s="9" t="n"/>
      <c r="AY158" s="9" t="n"/>
      <c r="AZ158" s="9" t="n"/>
      <c r="BA158" s="9" t="n"/>
    </row>
    <row r="159" ht="15.75" customHeight="1" s="18">
      <c r="A159" s="3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  <c r="AF159" s="9" t="n"/>
      <c r="AG159" s="9" t="n"/>
      <c r="AH159" s="9" t="n"/>
      <c r="AI159" s="9" t="n"/>
      <c r="AJ159" s="9" t="n"/>
      <c r="AK159" s="9" t="n"/>
      <c r="AL159" s="9" t="n"/>
      <c r="AM159" s="9" t="n"/>
      <c r="AN159" s="9" t="n"/>
      <c r="AO159" s="9" t="n"/>
      <c r="AP159" s="9" t="n"/>
      <c r="AQ159" s="9" t="n"/>
      <c r="AR159" s="9" t="n"/>
      <c r="AS159" s="9" t="n"/>
      <c r="AT159" s="9" t="n"/>
      <c r="AU159" s="9" t="n"/>
      <c r="AV159" s="9" t="n"/>
      <c r="AW159" s="9" t="n"/>
      <c r="AX159" s="9" t="n"/>
      <c r="AY159" s="9" t="n"/>
      <c r="AZ159" s="9" t="n"/>
      <c r="BA159" s="9" t="n"/>
    </row>
    <row r="160" ht="15.75" customHeight="1" s="18">
      <c r="A160" s="3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  <c r="AH160" s="9" t="n"/>
      <c r="AI160" s="9" t="n"/>
      <c r="AJ160" s="9" t="n"/>
      <c r="AK160" s="9" t="n"/>
      <c r="AL160" s="9" t="n"/>
      <c r="AM160" s="9" t="n"/>
      <c r="AN160" s="9" t="n"/>
      <c r="AO160" s="9" t="n"/>
      <c r="AP160" s="9" t="n"/>
      <c r="AQ160" s="9" t="n"/>
      <c r="AR160" s="9" t="n"/>
      <c r="AS160" s="9" t="n"/>
      <c r="AT160" s="9" t="n"/>
      <c r="AU160" s="9" t="n"/>
      <c r="AV160" s="9" t="n"/>
      <c r="AW160" s="9" t="n"/>
      <c r="AX160" s="9" t="n"/>
      <c r="AY160" s="9" t="n"/>
      <c r="AZ160" s="9" t="n"/>
      <c r="BA160" s="9" t="n"/>
    </row>
    <row r="161" ht="15.75" customHeight="1" s="18">
      <c r="A161" s="3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  <c r="AF161" s="9" t="n"/>
      <c r="AG161" s="9" t="n"/>
      <c r="AH161" s="9" t="n"/>
      <c r="AI161" s="9" t="n"/>
      <c r="AJ161" s="9" t="n"/>
      <c r="AK161" s="9" t="n"/>
      <c r="AL161" s="9" t="n"/>
      <c r="AM161" s="9" t="n"/>
      <c r="AN161" s="9" t="n"/>
      <c r="AO161" s="9" t="n"/>
      <c r="AP161" s="9" t="n"/>
      <c r="AQ161" s="9" t="n"/>
      <c r="AR161" s="9" t="n"/>
      <c r="AS161" s="9" t="n"/>
      <c r="AT161" s="9" t="n"/>
      <c r="AU161" s="9" t="n"/>
      <c r="AV161" s="9" t="n"/>
      <c r="AW161" s="9" t="n"/>
      <c r="AX161" s="9" t="n"/>
      <c r="AY161" s="9" t="n"/>
      <c r="AZ161" s="9" t="n"/>
      <c r="BA161" s="9" t="n"/>
    </row>
    <row r="162" ht="15.75" customHeight="1" s="18">
      <c r="A162" s="3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  <c r="AF162" s="9" t="n"/>
      <c r="AG162" s="9" t="n"/>
      <c r="AH162" s="9" t="n"/>
      <c r="AI162" s="9" t="n"/>
      <c r="AJ162" s="9" t="n"/>
      <c r="AK162" s="9" t="n"/>
      <c r="AL162" s="9" t="n"/>
      <c r="AM162" s="9" t="n"/>
      <c r="AN162" s="9" t="n"/>
      <c r="AO162" s="9" t="n"/>
      <c r="AP162" s="9" t="n"/>
      <c r="AQ162" s="9" t="n"/>
      <c r="AR162" s="9" t="n"/>
      <c r="AS162" s="9" t="n"/>
      <c r="AT162" s="9" t="n"/>
      <c r="AU162" s="9" t="n"/>
      <c r="AV162" s="9" t="n"/>
      <c r="AW162" s="9" t="n"/>
      <c r="AX162" s="9" t="n"/>
      <c r="AY162" s="9" t="n"/>
      <c r="AZ162" s="9" t="n"/>
      <c r="BA162" s="9" t="n"/>
    </row>
    <row r="163" ht="15.75" customHeight="1" s="18">
      <c r="A163" s="3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  <c r="AF163" s="9" t="n"/>
      <c r="AG163" s="9" t="n"/>
      <c r="AH163" s="9" t="n"/>
      <c r="AI163" s="9" t="n"/>
      <c r="AJ163" s="9" t="n"/>
      <c r="AK163" s="9" t="n"/>
      <c r="AL163" s="9" t="n"/>
      <c r="AM163" s="9" t="n"/>
      <c r="AN163" s="9" t="n"/>
      <c r="AO163" s="9" t="n"/>
      <c r="AP163" s="9" t="n"/>
      <c r="AQ163" s="9" t="n"/>
      <c r="AR163" s="9" t="n"/>
      <c r="AS163" s="9" t="n"/>
      <c r="AT163" s="9" t="n"/>
      <c r="AU163" s="9" t="n"/>
      <c r="AV163" s="9" t="n"/>
      <c r="AW163" s="9" t="n"/>
      <c r="AX163" s="9" t="n"/>
      <c r="AY163" s="9" t="n"/>
      <c r="AZ163" s="9" t="n"/>
      <c r="BA163" s="9" t="n"/>
    </row>
    <row r="164" ht="15.75" customHeight="1" s="18">
      <c r="A164" s="3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  <c r="AF164" s="9" t="n"/>
      <c r="AG164" s="9" t="n"/>
      <c r="AH164" s="9" t="n"/>
      <c r="AI164" s="9" t="n"/>
      <c r="AJ164" s="9" t="n"/>
      <c r="AK164" s="9" t="n"/>
      <c r="AL164" s="9" t="n"/>
      <c r="AM164" s="9" t="n"/>
      <c r="AN164" s="9" t="n"/>
      <c r="AO164" s="9" t="n"/>
      <c r="AP164" s="9" t="n"/>
      <c r="AQ164" s="9" t="n"/>
      <c r="AR164" s="9" t="n"/>
      <c r="AS164" s="9" t="n"/>
      <c r="AT164" s="9" t="n"/>
      <c r="AU164" s="9" t="n"/>
      <c r="AV164" s="9" t="n"/>
      <c r="AW164" s="9" t="n"/>
      <c r="AX164" s="9" t="n"/>
      <c r="AY164" s="9" t="n"/>
      <c r="AZ164" s="9" t="n"/>
      <c r="BA164" s="9" t="n"/>
    </row>
    <row r="165" ht="15.75" customHeight="1" s="18">
      <c r="A165" s="3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  <c r="AF165" s="9" t="n"/>
      <c r="AG165" s="9" t="n"/>
      <c r="AH165" s="9" t="n"/>
      <c r="AI165" s="9" t="n"/>
      <c r="AJ165" s="9" t="n"/>
      <c r="AK165" s="9" t="n"/>
      <c r="AL165" s="9" t="n"/>
      <c r="AM165" s="9" t="n"/>
      <c r="AN165" s="9" t="n"/>
      <c r="AO165" s="9" t="n"/>
      <c r="AP165" s="9" t="n"/>
      <c r="AQ165" s="9" t="n"/>
      <c r="AR165" s="9" t="n"/>
      <c r="AS165" s="9" t="n"/>
      <c r="AT165" s="9" t="n"/>
      <c r="AU165" s="9" t="n"/>
      <c r="AV165" s="9" t="n"/>
      <c r="AW165" s="9" t="n"/>
      <c r="AX165" s="9" t="n"/>
      <c r="AY165" s="9" t="n"/>
      <c r="AZ165" s="9" t="n"/>
      <c r="BA165" s="9" t="n"/>
    </row>
    <row r="166" ht="15.75" customHeight="1" s="18">
      <c r="A166" s="3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9" t="n"/>
      <c r="AG166" s="9" t="n"/>
      <c r="AH166" s="9" t="n"/>
      <c r="AI166" s="9" t="n"/>
      <c r="AJ166" s="9" t="n"/>
      <c r="AK166" s="9" t="n"/>
      <c r="AL166" s="9" t="n"/>
      <c r="AM166" s="9" t="n"/>
      <c r="AN166" s="9" t="n"/>
      <c r="AO166" s="9" t="n"/>
      <c r="AP166" s="9" t="n"/>
      <c r="AQ166" s="9" t="n"/>
      <c r="AR166" s="9" t="n"/>
      <c r="AS166" s="9" t="n"/>
      <c r="AT166" s="9" t="n"/>
      <c r="AU166" s="9" t="n"/>
      <c r="AV166" s="9" t="n"/>
      <c r="AW166" s="9" t="n"/>
      <c r="AX166" s="9" t="n"/>
      <c r="AY166" s="9" t="n"/>
      <c r="AZ166" s="9" t="n"/>
      <c r="BA166" s="9" t="n"/>
    </row>
    <row r="167" ht="15.75" customHeight="1" s="18">
      <c r="A167" s="3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  <c r="AF167" s="9" t="n"/>
      <c r="AG167" s="9" t="n"/>
      <c r="AH167" s="9" t="n"/>
      <c r="AI167" s="9" t="n"/>
      <c r="AJ167" s="9" t="n"/>
      <c r="AK167" s="9" t="n"/>
      <c r="AL167" s="9" t="n"/>
      <c r="AM167" s="9" t="n"/>
      <c r="AN167" s="9" t="n"/>
      <c r="AO167" s="9" t="n"/>
      <c r="AP167" s="9" t="n"/>
      <c r="AQ167" s="9" t="n"/>
      <c r="AR167" s="9" t="n"/>
      <c r="AS167" s="9" t="n"/>
      <c r="AT167" s="9" t="n"/>
      <c r="AU167" s="9" t="n"/>
      <c r="AV167" s="9" t="n"/>
      <c r="AW167" s="9" t="n"/>
      <c r="AX167" s="9" t="n"/>
      <c r="AY167" s="9" t="n"/>
      <c r="AZ167" s="9" t="n"/>
      <c r="BA167" s="9" t="n"/>
    </row>
    <row r="168" ht="15.75" customHeight="1" s="18">
      <c r="A168" s="3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  <c r="AF168" s="9" t="n"/>
      <c r="AG168" s="9" t="n"/>
      <c r="AH168" s="9" t="n"/>
      <c r="AI168" s="9" t="n"/>
      <c r="AJ168" s="9" t="n"/>
      <c r="AK168" s="9" t="n"/>
      <c r="AL168" s="9" t="n"/>
      <c r="AM168" s="9" t="n"/>
      <c r="AN168" s="9" t="n"/>
      <c r="AO168" s="9" t="n"/>
      <c r="AP168" s="9" t="n"/>
      <c r="AQ168" s="9" t="n"/>
      <c r="AR168" s="9" t="n"/>
      <c r="AS168" s="9" t="n"/>
      <c r="AT168" s="9" t="n"/>
      <c r="AU168" s="9" t="n"/>
      <c r="AV168" s="9" t="n"/>
      <c r="AW168" s="9" t="n"/>
      <c r="AX168" s="9" t="n"/>
      <c r="AY168" s="9" t="n"/>
      <c r="AZ168" s="9" t="n"/>
      <c r="BA168" s="9" t="n"/>
    </row>
    <row r="169" ht="15.75" customHeight="1" s="18">
      <c r="A169" s="3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  <c r="AF169" s="9" t="n"/>
      <c r="AG169" s="9" t="n"/>
      <c r="AH169" s="9" t="n"/>
      <c r="AI169" s="9" t="n"/>
      <c r="AJ169" s="9" t="n"/>
      <c r="AK169" s="9" t="n"/>
      <c r="AL169" s="9" t="n"/>
      <c r="AM169" s="9" t="n"/>
      <c r="AN169" s="9" t="n"/>
      <c r="AO169" s="9" t="n"/>
      <c r="AP169" s="9" t="n"/>
      <c r="AQ169" s="9" t="n"/>
      <c r="AR169" s="9" t="n"/>
      <c r="AS169" s="9" t="n"/>
      <c r="AT169" s="9" t="n"/>
      <c r="AU169" s="9" t="n"/>
      <c r="AV169" s="9" t="n"/>
      <c r="AW169" s="9" t="n"/>
      <c r="AX169" s="9" t="n"/>
      <c r="AY169" s="9" t="n"/>
      <c r="AZ169" s="9" t="n"/>
      <c r="BA169" s="9" t="n"/>
    </row>
    <row r="170" ht="15.75" customHeight="1" s="18">
      <c r="A170" s="3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  <c r="AF170" s="9" t="n"/>
      <c r="AG170" s="9" t="n"/>
      <c r="AH170" s="9" t="n"/>
      <c r="AI170" s="9" t="n"/>
      <c r="AJ170" s="9" t="n"/>
      <c r="AK170" s="9" t="n"/>
      <c r="AL170" s="9" t="n"/>
      <c r="AM170" s="9" t="n"/>
      <c r="AN170" s="9" t="n"/>
      <c r="AO170" s="9" t="n"/>
      <c r="AP170" s="9" t="n"/>
      <c r="AQ170" s="9" t="n"/>
      <c r="AR170" s="9" t="n"/>
      <c r="AS170" s="9" t="n"/>
      <c r="AT170" s="9" t="n"/>
      <c r="AU170" s="9" t="n"/>
      <c r="AV170" s="9" t="n"/>
      <c r="AW170" s="9" t="n"/>
      <c r="AX170" s="9" t="n"/>
      <c r="AY170" s="9" t="n"/>
      <c r="AZ170" s="9" t="n"/>
      <c r="BA170" s="9" t="n"/>
    </row>
    <row r="171" ht="15.75" customHeight="1" s="18">
      <c r="A171" s="3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  <c r="AF171" s="9" t="n"/>
      <c r="AG171" s="9" t="n"/>
      <c r="AH171" s="9" t="n"/>
      <c r="AI171" s="9" t="n"/>
      <c r="AJ171" s="9" t="n"/>
      <c r="AK171" s="9" t="n"/>
      <c r="AL171" s="9" t="n"/>
      <c r="AM171" s="9" t="n"/>
      <c r="AN171" s="9" t="n"/>
      <c r="AO171" s="9" t="n"/>
      <c r="AP171" s="9" t="n"/>
      <c r="AQ171" s="9" t="n"/>
      <c r="AR171" s="9" t="n"/>
      <c r="AS171" s="9" t="n"/>
      <c r="AT171" s="9" t="n"/>
      <c r="AU171" s="9" t="n"/>
      <c r="AV171" s="9" t="n"/>
      <c r="AW171" s="9" t="n"/>
      <c r="AX171" s="9" t="n"/>
      <c r="AY171" s="9" t="n"/>
      <c r="AZ171" s="9" t="n"/>
      <c r="BA171" s="9" t="n"/>
    </row>
    <row r="172" ht="15.75" customHeight="1" s="18">
      <c r="A172" s="3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  <c r="AF172" s="9" t="n"/>
      <c r="AG172" s="9" t="n"/>
      <c r="AH172" s="9" t="n"/>
      <c r="AI172" s="9" t="n"/>
      <c r="AJ172" s="9" t="n"/>
      <c r="AK172" s="9" t="n"/>
      <c r="AL172" s="9" t="n"/>
      <c r="AM172" s="9" t="n"/>
      <c r="AN172" s="9" t="n"/>
      <c r="AO172" s="9" t="n"/>
      <c r="AP172" s="9" t="n"/>
      <c r="AQ172" s="9" t="n"/>
      <c r="AR172" s="9" t="n"/>
      <c r="AS172" s="9" t="n"/>
      <c r="AT172" s="9" t="n"/>
      <c r="AU172" s="9" t="n"/>
      <c r="AV172" s="9" t="n"/>
      <c r="AW172" s="9" t="n"/>
      <c r="AX172" s="9" t="n"/>
      <c r="AY172" s="9" t="n"/>
      <c r="AZ172" s="9" t="n"/>
      <c r="BA172" s="9" t="n"/>
    </row>
    <row r="173" ht="15.75" customHeight="1" s="18">
      <c r="A173" s="3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  <c r="AF173" s="9" t="n"/>
      <c r="AG173" s="9" t="n"/>
      <c r="AH173" s="9" t="n"/>
      <c r="AI173" s="9" t="n"/>
      <c r="AJ173" s="9" t="n"/>
      <c r="AK173" s="9" t="n"/>
      <c r="AL173" s="9" t="n"/>
      <c r="AM173" s="9" t="n"/>
      <c r="AN173" s="9" t="n"/>
      <c r="AO173" s="9" t="n"/>
      <c r="AP173" s="9" t="n"/>
      <c r="AQ173" s="9" t="n"/>
      <c r="AR173" s="9" t="n"/>
      <c r="AS173" s="9" t="n"/>
      <c r="AT173" s="9" t="n"/>
      <c r="AU173" s="9" t="n"/>
      <c r="AV173" s="9" t="n"/>
      <c r="AW173" s="9" t="n"/>
      <c r="AX173" s="9" t="n"/>
      <c r="AY173" s="9" t="n"/>
      <c r="AZ173" s="9" t="n"/>
      <c r="BA173" s="9" t="n"/>
    </row>
    <row r="174" ht="15.75" customHeight="1" s="18">
      <c r="A174" s="3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  <c r="AF174" s="9" t="n"/>
      <c r="AG174" s="9" t="n"/>
      <c r="AH174" s="9" t="n"/>
      <c r="AI174" s="9" t="n"/>
      <c r="AJ174" s="9" t="n"/>
      <c r="AK174" s="9" t="n"/>
      <c r="AL174" s="9" t="n"/>
      <c r="AM174" s="9" t="n"/>
      <c r="AN174" s="9" t="n"/>
      <c r="AO174" s="9" t="n"/>
      <c r="AP174" s="9" t="n"/>
      <c r="AQ174" s="9" t="n"/>
      <c r="AR174" s="9" t="n"/>
      <c r="AS174" s="9" t="n"/>
      <c r="AT174" s="9" t="n"/>
      <c r="AU174" s="9" t="n"/>
      <c r="AV174" s="9" t="n"/>
      <c r="AW174" s="9" t="n"/>
      <c r="AX174" s="9" t="n"/>
      <c r="AY174" s="9" t="n"/>
      <c r="AZ174" s="9" t="n"/>
      <c r="BA174" s="9" t="n"/>
    </row>
    <row r="175" ht="15.75" customHeight="1" s="18">
      <c r="A175" s="3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  <c r="AF175" s="9" t="n"/>
      <c r="AG175" s="9" t="n"/>
      <c r="AH175" s="9" t="n"/>
      <c r="AI175" s="9" t="n"/>
      <c r="AJ175" s="9" t="n"/>
      <c r="AK175" s="9" t="n"/>
      <c r="AL175" s="9" t="n"/>
      <c r="AM175" s="9" t="n"/>
      <c r="AN175" s="9" t="n"/>
      <c r="AO175" s="9" t="n"/>
      <c r="AP175" s="9" t="n"/>
      <c r="AQ175" s="9" t="n"/>
      <c r="AR175" s="9" t="n"/>
      <c r="AS175" s="9" t="n"/>
      <c r="AT175" s="9" t="n"/>
      <c r="AU175" s="9" t="n"/>
      <c r="AV175" s="9" t="n"/>
      <c r="AW175" s="9" t="n"/>
      <c r="AX175" s="9" t="n"/>
      <c r="AY175" s="9" t="n"/>
      <c r="AZ175" s="9" t="n"/>
      <c r="BA175" s="9" t="n"/>
    </row>
    <row r="176" ht="15.75" customHeight="1" s="18">
      <c r="A176" s="3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  <c r="AF176" s="9" t="n"/>
      <c r="AG176" s="9" t="n"/>
      <c r="AH176" s="9" t="n"/>
      <c r="AI176" s="9" t="n"/>
      <c r="AJ176" s="9" t="n"/>
      <c r="AK176" s="9" t="n"/>
      <c r="AL176" s="9" t="n"/>
      <c r="AM176" s="9" t="n"/>
      <c r="AN176" s="9" t="n"/>
      <c r="AO176" s="9" t="n"/>
      <c r="AP176" s="9" t="n"/>
      <c r="AQ176" s="9" t="n"/>
      <c r="AR176" s="9" t="n"/>
      <c r="AS176" s="9" t="n"/>
      <c r="AT176" s="9" t="n"/>
      <c r="AU176" s="9" t="n"/>
      <c r="AV176" s="9" t="n"/>
      <c r="AW176" s="9" t="n"/>
      <c r="AX176" s="9" t="n"/>
      <c r="AY176" s="9" t="n"/>
      <c r="AZ176" s="9" t="n"/>
      <c r="BA176" s="9" t="n"/>
    </row>
    <row r="177" ht="15.75" customHeight="1" s="18">
      <c r="A177" s="3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  <c r="AF177" s="9" t="n"/>
      <c r="AG177" s="9" t="n"/>
      <c r="AH177" s="9" t="n"/>
      <c r="AI177" s="9" t="n"/>
      <c r="AJ177" s="9" t="n"/>
      <c r="AK177" s="9" t="n"/>
      <c r="AL177" s="9" t="n"/>
      <c r="AM177" s="9" t="n"/>
      <c r="AN177" s="9" t="n"/>
      <c r="AO177" s="9" t="n"/>
      <c r="AP177" s="9" t="n"/>
      <c r="AQ177" s="9" t="n"/>
      <c r="AR177" s="9" t="n"/>
      <c r="AS177" s="9" t="n"/>
      <c r="AT177" s="9" t="n"/>
      <c r="AU177" s="9" t="n"/>
      <c r="AV177" s="9" t="n"/>
      <c r="AW177" s="9" t="n"/>
      <c r="AX177" s="9" t="n"/>
      <c r="AY177" s="9" t="n"/>
      <c r="AZ177" s="9" t="n"/>
      <c r="BA177" s="9" t="n"/>
    </row>
    <row r="178" ht="15.75" customHeight="1" s="18">
      <c r="A178" s="3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  <c r="AF178" s="9" t="n"/>
      <c r="AG178" s="9" t="n"/>
      <c r="AH178" s="9" t="n"/>
      <c r="AI178" s="9" t="n"/>
      <c r="AJ178" s="9" t="n"/>
      <c r="AK178" s="9" t="n"/>
      <c r="AL178" s="9" t="n"/>
      <c r="AM178" s="9" t="n"/>
      <c r="AN178" s="9" t="n"/>
      <c r="AO178" s="9" t="n"/>
      <c r="AP178" s="9" t="n"/>
      <c r="AQ178" s="9" t="n"/>
      <c r="AR178" s="9" t="n"/>
      <c r="AS178" s="9" t="n"/>
      <c r="AT178" s="9" t="n"/>
      <c r="AU178" s="9" t="n"/>
      <c r="AV178" s="9" t="n"/>
      <c r="AW178" s="9" t="n"/>
      <c r="AX178" s="9" t="n"/>
      <c r="AY178" s="9" t="n"/>
      <c r="AZ178" s="9" t="n"/>
      <c r="BA178" s="9" t="n"/>
    </row>
    <row r="179" ht="15.75" customHeight="1" s="18">
      <c r="A179" s="3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  <c r="AF179" s="9" t="n"/>
      <c r="AG179" s="9" t="n"/>
      <c r="AH179" s="9" t="n"/>
      <c r="AI179" s="9" t="n"/>
      <c r="AJ179" s="9" t="n"/>
      <c r="AK179" s="9" t="n"/>
      <c r="AL179" s="9" t="n"/>
      <c r="AM179" s="9" t="n"/>
      <c r="AN179" s="9" t="n"/>
      <c r="AO179" s="9" t="n"/>
      <c r="AP179" s="9" t="n"/>
      <c r="AQ179" s="9" t="n"/>
      <c r="AR179" s="9" t="n"/>
      <c r="AS179" s="9" t="n"/>
      <c r="AT179" s="9" t="n"/>
      <c r="AU179" s="9" t="n"/>
      <c r="AV179" s="9" t="n"/>
      <c r="AW179" s="9" t="n"/>
      <c r="AX179" s="9" t="n"/>
      <c r="AY179" s="9" t="n"/>
      <c r="AZ179" s="9" t="n"/>
      <c r="BA179" s="9" t="n"/>
    </row>
    <row r="180" ht="15.75" customHeight="1" s="18">
      <c r="A180" s="3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  <c r="AF180" s="9" t="n"/>
      <c r="AG180" s="9" t="n"/>
      <c r="AH180" s="9" t="n"/>
      <c r="AI180" s="9" t="n"/>
      <c r="AJ180" s="9" t="n"/>
      <c r="AK180" s="9" t="n"/>
      <c r="AL180" s="9" t="n"/>
      <c r="AM180" s="9" t="n"/>
      <c r="AN180" s="9" t="n"/>
      <c r="AO180" s="9" t="n"/>
      <c r="AP180" s="9" t="n"/>
      <c r="AQ180" s="9" t="n"/>
      <c r="AR180" s="9" t="n"/>
      <c r="AS180" s="9" t="n"/>
      <c r="AT180" s="9" t="n"/>
      <c r="AU180" s="9" t="n"/>
      <c r="AV180" s="9" t="n"/>
      <c r="AW180" s="9" t="n"/>
      <c r="AX180" s="9" t="n"/>
      <c r="AY180" s="9" t="n"/>
      <c r="AZ180" s="9" t="n"/>
      <c r="BA180" s="9" t="n"/>
    </row>
    <row r="181" ht="15.75" customHeight="1" s="18">
      <c r="A181" s="3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  <c r="AF181" s="9" t="n"/>
      <c r="AG181" s="9" t="n"/>
      <c r="AH181" s="9" t="n"/>
      <c r="AI181" s="9" t="n"/>
      <c r="AJ181" s="9" t="n"/>
      <c r="AK181" s="9" t="n"/>
      <c r="AL181" s="9" t="n"/>
      <c r="AM181" s="9" t="n"/>
      <c r="AN181" s="9" t="n"/>
      <c r="AO181" s="9" t="n"/>
      <c r="AP181" s="9" t="n"/>
      <c r="AQ181" s="9" t="n"/>
      <c r="AR181" s="9" t="n"/>
      <c r="AS181" s="9" t="n"/>
      <c r="AT181" s="9" t="n"/>
      <c r="AU181" s="9" t="n"/>
      <c r="AV181" s="9" t="n"/>
      <c r="AW181" s="9" t="n"/>
      <c r="AX181" s="9" t="n"/>
      <c r="AY181" s="9" t="n"/>
      <c r="AZ181" s="9" t="n"/>
      <c r="BA181" s="9" t="n"/>
    </row>
    <row r="182" ht="15.75" customHeight="1" s="18">
      <c r="A182" s="3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  <c r="AH182" s="9" t="n"/>
      <c r="AI182" s="9" t="n"/>
      <c r="AJ182" s="9" t="n"/>
      <c r="AK182" s="9" t="n"/>
      <c r="AL182" s="9" t="n"/>
      <c r="AM182" s="9" t="n"/>
      <c r="AN182" s="9" t="n"/>
      <c r="AO182" s="9" t="n"/>
      <c r="AP182" s="9" t="n"/>
      <c r="AQ182" s="9" t="n"/>
      <c r="AR182" s="9" t="n"/>
      <c r="AS182" s="9" t="n"/>
      <c r="AT182" s="9" t="n"/>
      <c r="AU182" s="9" t="n"/>
      <c r="AV182" s="9" t="n"/>
      <c r="AW182" s="9" t="n"/>
      <c r="AX182" s="9" t="n"/>
      <c r="AY182" s="9" t="n"/>
      <c r="AZ182" s="9" t="n"/>
      <c r="BA182" s="9" t="n"/>
    </row>
    <row r="183" ht="15.75" customHeight="1" s="18">
      <c r="A183" s="3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  <c r="AF183" s="9" t="n"/>
      <c r="AG183" s="9" t="n"/>
      <c r="AH183" s="9" t="n"/>
      <c r="AI183" s="9" t="n"/>
      <c r="AJ183" s="9" t="n"/>
      <c r="AK183" s="9" t="n"/>
      <c r="AL183" s="9" t="n"/>
      <c r="AM183" s="9" t="n"/>
      <c r="AN183" s="9" t="n"/>
      <c r="AO183" s="9" t="n"/>
      <c r="AP183" s="9" t="n"/>
      <c r="AQ183" s="9" t="n"/>
      <c r="AR183" s="9" t="n"/>
      <c r="AS183" s="9" t="n"/>
      <c r="AT183" s="9" t="n"/>
      <c r="AU183" s="9" t="n"/>
      <c r="AV183" s="9" t="n"/>
      <c r="AW183" s="9" t="n"/>
      <c r="AX183" s="9" t="n"/>
      <c r="AY183" s="9" t="n"/>
      <c r="AZ183" s="9" t="n"/>
      <c r="BA183" s="9" t="n"/>
    </row>
    <row r="184" ht="15.75" customHeight="1" s="18">
      <c r="A184" s="3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  <c r="AH184" s="9" t="n"/>
      <c r="AI184" s="9" t="n"/>
      <c r="AJ184" s="9" t="n"/>
      <c r="AK184" s="9" t="n"/>
      <c r="AL184" s="9" t="n"/>
      <c r="AM184" s="9" t="n"/>
      <c r="AN184" s="9" t="n"/>
      <c r="AO184" s="9" t="n"/>
      <c r="AP184" s="9" t="n"/>
      <c r="AQ184" s="9" t="n"/>
      <c r="AR184" s="9" t="n"/>
      <c r="AS184" s="9" t="n"/>
      <c r="AT184" s="9" t="n"/>
      <c r="AU184" s="9" t="n"/>
      <c r="AV184" s="9" t="n"/>
      <c r="AW184" s="9" t="n"/>
      <c r="AX184" s="9" t="n"/>
      <c r="AY184" s="9" t="n"/>
      <c r="AZ184" s="9" t="n"/>
      <c r="BA184" s="9" t="n"/>
    </row>
    <row r="185" ht="15.75" customHeight="1" s="18">
      <c r="A185" s="3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  <c r="AF185" s="9" t="n"/>
      <c r="AG185" s="9" t="n"/>
      <c r="AH185" s="9" t="n"/>
      <c r="AI185" s="9" t="n"/>
      <c r="AJ185" s="9" t="n"/>
      <c r="AK185" s="9" t="n"/>
      <c r="AL185" s="9" t="n"/>
      <c r="AM185" s="9" t="n"/>
      <c r="AN185" s="9" t="n"/>
      <c r="AO185" s="9" t="n"/>
      <c r="AP185" s="9" t="n"/>
      <c r="AQ185" s="9" t="n"/>
      <c r="AR185" s="9" t="n"/>
      <c r="AS185" s="9" t="n"/>
      <c r="AT185" s="9" t="n"/>
      <c r="AU185" s="9" t="n"/>
      <c r="AV185" s="9" t="n"/>
      <c r="AW185" s="9" t="n"/>
      <c r="AX185" s="9" t="n"/>
      <c r="AY185" s="9" t="n"/>
      <c r="AZ185" s="9" t="n"/>
      <c r="BA185" s="9" t="n"/>
    </row>
    <row r="186" ht="15.75" customHeight="1" s="18">
      <c r="A186" s="3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  <c r="AH186" s="9" t="n"/>
      <c r="AI186" s="9" t="n"/>
      <c r="AJ186" s="9" t="n"/>
      <c r="AK186" s="9" t="n"/>
      <c r="AL186" s="9" t="n"/>
      <c r="AM186" s="9" t="n"/>
      <c r="AN186" s="9" t="n"/>
      <c r="AO186" s="9" t="n"/>
      <c r="AP186" s="9" t="n"/>
      <c r="AQ186" s="9" t="n"/>
      <c r="AR186" s="9" t="n"/>
      <c r="AS186" s="9" t="n"/>
      <c r="AT186" s="9" t="n"/>
      <c r="AU186" s="9" t="n"/>
      <c r="AV186" s="9" t="n"/>
      <c r="AW186" s="9" t="n"/>
      <c r="AX186" s="9" t="n"/>
      <c r="AY186" s="9" t="n"/>
      <c r="AZ186" s="9" t="n"/>
      <c r="BA186" s="9" t="n"/>
    </row>
    <row r="187" ht="15.75" customHeight="1" s="18">
      <c r="A187" s="3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  <c r="AH187" s="9" t="n"/>
      <c r="AI187" s="9" t="n"/>
      <c r="AJ187" s="9" t="n"/>
      <c r="AK187" s="9" t="n"/>
      <c r="AL187" s="9" t="n"/>
      <c r="AM187" s="9" t="n"/>
      <c r="AN187" s="9" t="n"/>
      <c r="AO187" s="9" t="n"/>
      <c r="AP187" s="9" t="n"/>
      <c r="AQ187" s="9" t="n"/>
      <c r="AR187" s="9" t="n"/>
      <c r="AS187" s="9" t="n"/>
      <c r="AT187" s="9" t="n"/>
      <c r="AU187" s="9" t="n"/>
      <c r="AV187" s="9" t="n"/>
      <c r="AW187" s="9" t="n"/>
      <c r="AX187" s="9" t="n"/>
      <c r="AY187" s="9" t="n"/>
      <c r="AZ187" s="9" t="n"/>
      <c r="BA187" s="9" t="n"/>
    </row>
    <row r="188" ht="15.75" customHeight="1" s="18">
      <c r="A188" s="3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  <c r="AH188" s="9" t="n"/>
      <c r="AI188" s="9" t="n"/>
      <c r="AJ188" s="9" t="n"/>
      <c r="AK188" s="9" t="n"/>
      <c r="AL188" s="9" t="n"/>
      <c r="AM188" s="9" t="n"/>
      <c r="AN188" s="9" t="n"/>
      <c r="AO188" s="9" t="n"/>
      <c r="AP188" s="9" t="n"/>
      <c r="AQ188" s="9" t="n"/>
      <c r="AR188" s="9" t="n"/>
      <c r="AS188" s="9" t="n"/>
      <c r="AT188" s="9" t="n"/>
      <c r="AU188" s="9" t="n"/>
      <c r="AV188" s="9" t="n"/>
      <c r="AW188" s="9" t="n"/>
      <c r="AX188" s="9" t="n"/>
      <c r="AY188" s="9" t="n"/>
      <c r="AZ188" s="9" t="n"/>
      <c r="BA188" s="9" t="n"/>
    </row>
    <row r="189" ht="15.75" customHeight="1" s="18">
      <c r="A189" s="3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  <c r="AF189" s="9" t="n"/>
      <c r="AG189" s="9" t="n"/>
      <c r="AH189" s="9" t="n"/>
      <c r="AI189" s="9" t="n"/>
      <c r="AJ189" s="9" t="n"/>
      <c r="AK189" s="9" t="n"/>
      <c r="AL189" s="9" t="n"/>
      <c r="AM189" s="9" t="n"/>
      <c r="AN189" s="9" t="n"/>
      <c r="AO189" s="9" t="n"/>
      <c r="AP189" s="9" t="n"/>
      <c r="AQ189" s="9" t="n"/>
      <c r="AR189" s="9" t="n"/>
      <c r="AS189" s="9" t="n"/>
      <c r="AT189" s="9" t="n"/>
      <c r="AU189" s="9" t="n"/>
      <c r="AV189" s="9" t="n"/>
      <c r="AW189" s="9" t="n"/>
      <c r="AX189" s="9" t="n"/>
      <c r="AY189" s="9" t="n"/>
      <c r="AZ189" s="9" t="n"/>
      <c r="BA189" s="9" t="n"/>
    </row>
    <row r="190" ht="15.75" customHeight="1" s="18">
      <c r="A190" s="3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  <c r="AH190" s="9" t="n"/>
      <c r="AI190" s="9" t="n"/>
      <c r="AJ190" s="9" t="n"/>
      <c r="AK190" s="9" t="n"/>
      <c r="AL190" s="9" t="n"/>
      <c r="AM190" s="9" t="n"/>
      <c r="AN190" s="9" t="n"/>
      <c r="AO190" s="9" t="n"/>
      <c r="AP190" s="9" t="n"/>
      <c r="AQ190" s="9" t="n"/>
      <c r="AR190" s="9" t="n"/>
      <c r="AS190" s="9" t="n"/>
      <c r="AT190" s="9" t="n"/>
      <c r="AU190" s="9" t="n"/>
      <c r="AV190" s="9" t="n"/>
      <c r="AW190" s="9" t="n"/>
      <c r="AX190" s="9" t="n"/>
      <c r="AY190" s="9" t="n"/>
      <c r="AZ190" s="9" t="n"/>
      <c r="BA190" s="9" t="n"/>
    </row>
    <row r="191" ht="15.75" customHeight="1" s="18">
      <c r="A191" s="3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  <c r="AH191" s="9" t="n"/>
      <c r="AI191" s="9" t="n"/>
      <c r="AJ191" s="9" t="n"/>
      <c r="AK191" s="9" t="n"/>
      <c r="AL191" s="9" t="n"/>
      <c r="AM191" s="9" t="n"/>
      <c r="AN191" s="9" t="n"/>
      <c r="AO191" s="9" t="n"/>
      <c r="AP191" s="9" t="n"/>
      <c r="AQ191" s="9" t="n"/>
      <c r="AR191" s="9" t="n"/>
      <c r="AS191" s="9" t="n"/>
      <c r="AT191" s="9" t="n"/>
      <c r="AU191" s="9" t="n"/>
      <c r="AV191" s="9" t="n"/>
      <c r="AW191" s="9" t="n"/>
      <c r="AX191" s="9" t="n"/>
      <c r="AY191" s="9" t="n"/>
      <c r="AZ191" s="9" t="n"/>
      <c r="BA191" s="9" t="n"/>
    </row>
    <row r="192" ht="15.75" customHeight="1" s="18">
      <c r="A192" s="3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  <c r="AF192" s="9" t="n"/>
      <c r="AG192" s="9" t="n"/>
      <c r="AH192" s="9" t="n"/>
      <c r="AI192" s="9" t="n"/>
      <c r="AJ192" s="9" t="n"/>
      <c r="AK192" s="9" t="n"/>
      <c r="AL192" s="9" t="n"/>
      <c r="AM192" s="9" t="n"/>
      <c r="AN192" s="9" t="n"/>
      <c r="AO192" s="9" t="n"/>
      <c r="AP192" s="9" t="n"/>
      <c r="AQ192" s="9" t="n"/>
      <c r="AR192" s="9" t="n"/>
      <c r="AS192" s="9" t="n"/>
      <c r="AT192" s="9" t="n"/>
      <c r="AU192" s="9" t="n"/>
      <c r="AV192" s="9" t="n"/>
      <c r="AW192" s="9" t="n"/>
      <c r="AX192" s="9" t="n"/>
      <c r="AY192" s="9" t="n"/>
      <c r="AZ192" s="9" t="n"/>
      <c r="BA192" s="9" t="n"/>
    </row>
    <row r="193" ht="15.75" customHeight="1" s="18">
      <c r="A193" s="3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  <c r="AF193" s="9" t="n"/>
      <c r="AG193" s="9" t="n"/>
      <c r="AH193" s="9" t="n"/>
      <c r="AI193" s="9" t="n"/>
      <c r="AJ193" s="9" t="n"/>
      <c r="AK193" s="9" t="n"/>
      <c r="AL193" s="9" t="n"/>
      <c r="AM193" s="9" t="n"/>
      <c r="AN193" s="9" t="n"/>
      <c r="AO193" s="9" t="n"/>
      <c r="AP193" s="9" t="n"/>
      <c r="AQ193" s="9" t="n"/>
      <c r="AR193" s="9" t="n"/>
      <c r="AS193" s="9" t="n"/>
      <c r="AT193" s="9" t="n"/>
      <c r="AU193" s="9" t="n"/>
      <c r="AV193" s="9" t="n"/>
      <c r="AW193" s="9" t="n"/>
      <c r="AX193" s="9" t="n"/>
      <c r="AY193" s="9" t="n"/>
      <c r="AZ193" s="9" t="n"/>
      <c r="BA193" s="9" t="n"/>
    </row>
    <row r="194" ht="15.75" customHeight="1" s="18">
      <c r="A194" s="3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  <c r="AF194" s="9" t="n"/>
      <c r="AG194" s="9" t="n"/>
      <c r="AH194" s="9" t="n"/>
      <c r="AI194" s="9" t="n"/>
      <c r="AJ194" s="9" t="n"/>
      <c r="AK194" s="9" t="n"/>
      <c r="AL194" s="9" t="n"/>
      <c r="AM194" s="9" t="n"/>
      <c r="AN194" s="9" t="n"/>
      <c r="AO194" s="9" t="n"/>
      <c r="AP194" s="9" t="n"/>
      <c r="AQ194" s="9" t="n"/>
      <c r="AR194" s="9" t="n"/>
      <c r="AS194" s="9" t="n"/>
      <c r="AT194" s="9" t="n"/>
      <c r="AU194" s="9" t="n"/>
      <c r="AV194" s="9" t="n"/>
      <c r="AW194" s="9" t="n"/>
      <c r="AX194" s="9" t="n"/>
      <c r="AY194" s="9" t="n"/>
      <c r="AZ194" s="9" t="n"/>
      <c r="BA194" s="9" t="n"/>
    </row>
    <row r="195" ht="15.75" customHeight="1" s="18">
      <c r="A195" s="3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  <c r="AF195" s="9" t="n"/>
      <c r="AG195" s="9" t="n"/>
      <c r="AH195" s="9" t="n"/>
      <c r="AI195" s="9" t="n"/>
      <c r="AJ195" s="9" t="n"/>
      <c r="AK195" s="9" t="n"/>
      <c r="AL195" s="9" t="n"/>
      <c r="AM195" s="9" t="n"/>
      <c r="AN195" s="9" t="n"/>
      <c r="AO195" s="9" t="n"/>
      <c r="AP195" s="9" t="n"/>
      <c r="AQ195" s="9" t="n"/>
      <c r="AR195" s="9" t="n"/>
      <c r="AS195" s="9" t="n"/>
      <c r="AT195" s="9" t="n"/>
      <c r="AU195" s="9" t="n"/>
      <c r="AV195" s="9" t="n"/>
      <c r="AW195" s="9" t="n"/>
      <c r="AX195" s="9" t="n"/>
      <c r="AY195" s="9" t="n"/>
      <c r="AZ195" s="9" t="n"/>
      <c r="BA195" s="9" t="n"/>
    </row>
    <row r="196" ht="15.75" customHeight="1" s="18">
      <c r="A196" s="3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  <c r="AF196" s="9" t="n"/>
      <c r="AG196" s="9" t="n"/>
      <c r="AH196" s="9" t="n"/>
      <c r="AI196" s="9" t="n"/>
      <c r="AJ196" s="9" t="n"/>
      <c r="AK196" s="9" t="n"/>
      <c r="AL196" s="9" t="n"/>
      <c r="AM196" s="9" t="n"/>
      <c r="AN196" s="9" t="n"/>
      <c r="AO196" s="9" t="n"/>
      <c r="AP196" s="9" t="n"/>
      <c r="AQ196" s="9" t="n"/>
      <c r="AR196" s="9" t="n"/>
      <c r="AS196" s="9" t="n"/>
      <c r="AT196" s="9" t="n"/>
      <c r="AU196" s="9" t="n"/>
      <c r="AV196" s="9" t="n"/>
      <c r="AW196" s="9" t="n"/>
      <c r="AX196" s="9" t="n"/>
      <c r="AY196" s="9" t="n"/>
      <c r="AZ196" s="9" t="n"/>
      <c r="BA196" s="9" t="n"/>
    </row>
    <row r="197" ht="15.75" customHeight="1" s="18">
      <c r="A197" s="3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  <c r="AF197" s="9" t="n"/>
      <c r="AG197" s="9" t="n"/>
      <c r="AH197" s="9" t="n"/>
      <c r="AI197" s="9" t="n"/>
      <c r="AJ197" s="9" t="n"/>
      <c r="AK197" s="9" t="n"/>
      <c r="AL197" s="9" t="n"/>
      <c r="AM197" s="9" t="n"/>
      <c r="AN197" s="9" t="n"/>
      <c r="AO197" s="9" t="n"/>
      <c r="AP197" s="9" t="n"/>
      <c r="AQ197" s="9" t="n"/>
      <c r="AR197" s="9" t="n"/>
      <c r="AS197" s="9" t="n"/>
      <c r="AT197" s="9" t="n"/>
      <c r="AU197" s="9" t="n"/>
      <c r="AV197" s="9" t="n"/>
      <c r="AW197" s="9" t="n"/>
      <c r="AX197" s="9" t="n"/>
      <c r="AY197" s="9" t="n"/>
      <c r="AZ197" s="9" t="n"/>
      <c r="BA197" s="9" t="n"/>
    </row>
    <row r="198" ht="15.75" customHeight="1" s="18">
      <c r="A198" s="3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  <c r="AH198" s="9" t="n"/>
      <c r="AI198" s="9" t="n"/>
      <c r="AJ198" s="9" t="n"/>
      <c r="AK198" s="9" t="n"/>
      <c r="AL198" s="9" t="n"/>
      <c r="AM198" s="9" t="n"/>
      <c r="AN198" s="9" t="n"/>
      <c r="AO198" s="9" t="n"/>
      <c r="AP198" s="9" t="n"/>
      <c r="AQ198" s="9" t="n"/>
      <c r="AR198" s="9" t="n"/>
      <c r="AS198" s="9" t="n"/>
      <c r="AT198" s="9" t="n"/>
      <c r="AU198" s="9" t="n"/>
      <c r="AV198" s="9" t="n"/>
      <c r="AW198" s="9" t="n"/>
      <c r="AX198" s="9" t="n"/>
      <c r="AY198" s="9" t="n"/>
      <c r="AZ198" s="9" t="n"/>
      <c r="BA198" s="9" t="n"/>
    </row>
    <row r="199" ht="15.75" customHeight="1" s="18">
      <c r="A199" s="3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  <c r="AH199" s="9" t="n"/>
      <c r="AI199" s="9" t="n"/>
      <c r="AJ199" s="9" t="n"/>
      <c r="AK199" s="9" t="n"/>
      <c r="AL199" s="9" t="n"/>
      <c r="AM199" s="9" t="n"/>
      <c r="AN199" s="9" t="n"/>
      <c r="AO199" s="9" t="n"/>
      <c r="AP199" s="9" t="n"/>
      <c r="AQ199" s="9" t="n"/>
      <c r="AR199" s="9" t="n"/>
      <c r="AS199" s="9" t="n"/>
      <c r="AT199" s="9" t="n"/>
      <c r="AU199" s="9" t="n"/>
      <c r="AV199" s="9" t="n"/>
      <c r="AW199" s="9" t="n"/>
      <c r="AX199" s="9" t="n"/>
      <c r="AY199" s="9" t="n"/>
      <c r="AZ199" s="9" t="n"/>
      <c r="BA199" s="9" t="n"/>
    </row>
    <row r="200" ht="15.75" customHeight="1" s="18">
      <c r="A200" s="3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  <c r="AF200" s="9" t="n"/>
      <c r="AG200" s="9" t="n"/>
      <c r="AH200" s="9" t="n"/>
      <c r="AI200" s="9" t="n"/>
      <c r="AJ200" s="9" t="n"/>
      <c r="AK200" s="9" t="n"/>
      <c r="AL200" s="9" t="n"/>
      <c r="AM200" s="9" t="n"/>
      <c r="AN200" s="9" t="n"/>
      <c r="AO200" s="9" t="n"/>
      <c r="AP200" s="9" t="n"/>
      <c r="AQ200" s="9" t="n"/>
      <c r="AR200" s="9" t="n"/>
      <c r="AS200" s="9" t="n"/>
      <c r="AT200" s="9" t="n"/>
      <c r="AU200" s="9" t="n"/>
      <c r="AV200" s="9" t="n"/>
      <c r="AW200" s="9" t="n"/>
      <c r="AX200" s="9" t="n"/>
      <c r="AY200" s="9" t="n"/>
      <c r="AZ200" s="9" t="n"/>
      <c r="BA200" s="9" t="n"/>
    </row>
    <row r="201" ht="15.75" customHeight="1" s="18">
      <c r="A201" s="3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9" t="n"/>
      <c r="AG201" s="9" t="n"/>
      <c r="AH201" s="9" t="n"/>
      <c r="AI201" s="9" t="n"/>
      <c r="AJ201" s="9" t="n"/>
      <c r="AK201" s="9" t="n"/>
      <c r="AL201" s="9" t="n"/>
      <c r="AM201" s="9" t="n"/>
      <c r="AN201" s="9" t="n"/>
      <c r="AO201" s="9" t="n"/>
      <c r="AP201" s="9" t="n"/>
      <c r="AQ201" s="9" t="n"/>
      <c r="AR201" s="9" t="n"/>
      <c r="AS201" s="9" t="n"/>
      <c r="AT201" s="9" t="n"/>
      <c r="AU201" s="9" t="n"/>
      <c r="AV201" s="9" t="n"/>
      <c r="AW201" s="9" t="n"/>
      <c r="AX201" s="9" t="n"/>
      <c r="AY201" s="9" t="n"/>
      <c r="AZ201" s="9" t="n"/>
      <c r="BA201" s="9" t="n"/>
    </row>
    <row r="202" ht="15.75" customHeight="1" s="18">
      <c r="A202" s="3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  <c r="AF202" s="9" t="n"/>
      <c r="AG202" s="9" t="n"/>
      <c r="AH202" s="9" t="n"/>
      <c r="AI202" s="9" t="n"/>
      <c r="AJ202" s="9" t="n"/>
      <c r="AK202" s="9" t="n"/>
      <c r="AL202" s="9" t="n"/>
      <c r="AM202" s="9" t="n"/>
      <c r="AN202" s="9" t="n"/>
      <c r="AO202" s="9" t="n"/>
      <c r="AP202" s="9" t="n"/>
      <c r="AQ202" s="9" t="n"/>
      <c r="AR202" s="9" t="n"/>
      <c r="AS202" s="9" t="n"/>
      <c r="AT202" s="9" t="n"/>
      <c r="AU202" s="9" t="n"/>
      <c r="AV202" s="9" t="n"/>
      <c r="AW202" s="9" t="n"/>
      <c r="AX202" s="9" t="n"/>
      <c r="AY202" s="9" t="n"/>
      <c r="AZ202" s="9" t="n"/>
      <c r="BA202" s="9" t="n"/>
    </row>
    <row r="203" ht="15.75" customHeight="1" s="18">
      <c r="A203" s="3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  <c r="AF203" s="9" t="n"/>
      <c r="AG203" s="9" t="n"/>
      <c r="AH203" s="9" t="n"/>
      <c r="AI203" s="9" t="n"/>
      <c r="AJ203" s="9" t="n"/>
      <c r="AK203" s="9" t="n"/>
      <c r="AL203" s="9" t="n"/>
      <c r="AM203" s="9" t="n"/>
      <c r="AN203" s="9" t="n"/>
      <c r="AO203" s="9" t="n"/>
      <c r="AP203" s="9" t="n"/>
      <c r="AQ203" s="9" t="n"/>
      <c r="AR203" s="9" t="n"/>
      <c r="AS203" s="9" t="n"/>
      <c r="AT203" s="9" t="n"/>
      <c r="AU203" s="9" t="n"/>
      <c r="AV203" s="9" t="n"/>
      <c r="AW203" s="9" t="n"/>
      <c r="AX203" s="9" t="n"/>
      <c r="AY203" s="9" t="n"/>
      <c r="AZ203" s="9" t="n"/>
      <c r="BA203" s="9" t="n"/>
    </row>
    <row r="204" ht="15.75" customHeight="1" s="18">
      <c r="A204" s="3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  <c r="AF204" s="9" t="n"/>
      <c r="AG204" s="9" t="n"/>
      <c r="AH204" s="9" t="n"/>
      <c r="AI204" s="9" t="n"/>
      <c r="AJ204" s="9" t="n"/>
      <c r="AK204" s="9" t="n"/>
      <c r="AL204" s="9" t="n"/>
      <c r="AM204" s="9" t="n"/>
      <c r="AN204" s="9" t="n"/>
      <c r="AO204" s="9" t="n"/>
      <c r="AP204" s="9" t="n"/>
      <c r="AQ204" s="9" t="n"/>
      <c r="AR204" s="9" t="n"/>
      <c r="AS204" s="9" t="n"/>
      <c r="AT204" s="9" t="n"/>
      <c r="AU204" s="9" t="n"/>
      <c r="AV204" s="9" t="n"/>
      <c r="AW204" s="9" t="n"/>
      <c r="AX204" s="9" t="n"/>
      <c r="AY204" s="9" t="n"/>
      <c r="AZ204" s="9" t="n"/>
      <c r="BA204" s="9" t="n"/>
    </row>
    <row r="205" ht="15.75" customHeight="1" s="18">
      <c r="A205" s="3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  <c r="AF205" s="9" t="n"/>
      <c r="AG205" s="9" t="n"/>
      <c r="AH205" s="9" t="n"/>
      <c r="AI205" s="9" t="n"/>
      <c r="AJ205" s="9" t="n"/>
      <c r="AK205" s="9" t="n"/>
      <c r="AL205" s="9" t="n"/>
      <c r="AM205" s="9" t="n"/>
      <c r="AN205" s="9" t="n"/>
      <c r="AO205" s="9" t="n"/>
      <c r="AP205" s="9" t="n"/>
      <c r="AQ205" s="9" t="n"/>
      <c r="AR205" s="9" t="n"/>
      <c r="AS205" s="9" t="n"/>
      <c r="AT205" s="9" t="n"/>
      <c r="AU205" s="9" t="n"/>
      <c r="AV205" s="9" t="n"/>
      <c r="AW205" s="9" t="n"/>
      <c r="AX205" s="9" t="n"/>
      <c r="AY205" s="9" t="n"/>
      <c r="AZ205" s="9" t="n"/>
      <c r="BA205" s="9" t="n"/>
    </row>
    <row r="206" ht="15.75" customHeight="1" s="18">
      <c r="A206" s="3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  <c r="AH206" s="9" t="n"/>
      <c r="AI206" s="9" t="n"/>
      <c r="AJ206" s="9" t="n"/>
      <c r="AK206" s="9" t="n"/>
      <c r="AL206" s="9" t="n"/>
      <c r="AM206" s="9" t="n"/>
      <c r="AN206" s="9" t="n"/>
      <c r="AO206" s="9" t="n"/>
      <c r="AP206" s="9" t="n"/>
      <c r="AQ206" s="9" t="n"/>
      <c r="AR206" s="9" t="n"/>
      <c r="AS206" s="9" t="n"/>
      <c r="AT206" s="9" t="n"/>
      <c r="AU206" s="9" t="n"/>
      <c r="AV206" s="9" t="n"/>
      <c r="AW206" s="9" t="n"/>
      <c r="AX206" s="9" t="n"/>
      <c r="AY206" s="9" t="n"/>
      <c r="AZ206" s="9" t="n"/>
      <c r="BA206" s="9" t="n"/>
    </row>
    <row r="207" ht="15.75" customHeight="1" s="18">
      <c r="A207" s="3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  <c r="AH207" s="9" t="n"/>
      <c r="AI207" s="9" t="n"/>
      <c r="AJ207" s="9" t="n"/>
      <c r="AK207" s="9" t="n"/>
      <c r="AL207" s="9" t="n"/>
      <c r="AM207" s="9" t="n"/>
      <c r="AN207" s="9" t="n"/>
      <c r="AO207" s="9" t="n"/>
      <c r="AP207" s="9" t="n"/>
      <c r="AQ207" s="9" t="n"/>
      <c r="AR207" s="9" t="n"/>
      <c r="AS207" s="9" t="n"/>
      <c r="AT207" s="9" t="n"/>
      <c r="AU207" s="9" t="n"/>
      <c r="AV207" s="9" t="n"/>
      <c r="AW207" s="9" t="n"/>
      <c r="AX207" s="9" t="n"/>
      <c r="AY207" s="9" t="n"/>
      <c r="AZ207" s="9" t="n"/>
      <c r="BA207" s="9" t="n"/>
    </row>
    <row r="208" ht="15.75" customHeight="1" s="18">
      <c r="A208" s="3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  <c r="AF208" s="9" t="n"/>
      <c r="AG208" s="9" t="n"/>
      <c r="AH208" s="9" t="n"/>
      <c r="AI208" s="9" t="n"/>
      <c r="AJ208" s="9" t="n"/>
      <c r="AK208" s="9" t="n"/>
      <c r="AL208" s="9" t="n"/>
      <c r="AM208" s="9" t="n"/>
      <c r="AN208" s="9" t="n"/>
      <c r="AO208" s="9" t="n"/>
      <c r="AP208" s="9" t="n"/>
      <c r="AQ208" s="9" t="n"/>
      <c r="AR208" s="9" t="n"/>
      <c r="AS208" s="9" t="n"/>
      <c r="AT208" s="9" t="n"/>
      <c r="AU208" s="9" t="n"/>
      <c r="AV208" s="9" t="n"/>
      <c r="AW208" s="9" t="n"/>
      <c r="AX208" s="9" t="n"/>
      <c r="AY208" s="9" t="n"/>
      <c r="AZ208" s="9" t="n"/>
      <c r="BA208" s="9" t="n"/>
    </row>
    <row r="209" ht="15.75" customHeight="1" s="18">
      <c r="A209" s="3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  <c r="AF209" s="9" t="n"/>
      <c r="AG209" s="9" t="n"/>
      <c r="AH209" s="9" t="n"/>
      <c r="AI209" s="9" t="n"/>
      <c r="AJ209" s="9" t="n"/>
      <c r="AK209" s="9" t="n"/>
      <c r="AL209" s="9" t="n"/>
      <c r="AM209" s="9" t="n"/>
      <c r="AN209" s="9" t="n"/>
      <c r="AO209" s="9" t="n"/>
      <c r="AP209" s="9" t="n"/>
      <c r="AQ209" s="9" t="n"/>
      <c r="AR209" s="9" t="n"/>
      <c r="AS209" s="9" t="n"/>
      <c r="AT209" s="9" t="n"/>
      <c r="AU209" s="9" t="n"/>
      <c r="AV209" s="9" t="n"/>
      <c r="AW209" s="9" t="n"/>
      <c r="AX209" s="9" t="n"/>
      <c r="AY209" s="9" t="n"/>
      <c r="AZ209" s="9" t="n"/>
      <c r="BA209" s="9" t="n"/>
    </row>
    <row r="210" ht="15.75" customHeight="1" s="18">
      <c r="A210" s="3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  <c r="AF210" s="9" t="n"/>
      <c r="AG210" s="9" t="n"/>
      <c r="AH210" s="9" t="n"/>
      <c r="AI210" s="9" t="n"/>
      <c r="AJ210" s="9" t="n"/>
      <c r="AK210" s="9" t="n"/>
      <c r="AL210" s="9" t="n"/>
      <c r="AM210" s="9" t="n"/>
      <c r="AN210" s="9" t="n"/>
      <c r="AO210" s="9" t="n"/>
      <c r="AP210" s="9" t="n"/>
      <c r="AQ210" s="9" t="n"/>
      <c r="AR210" s="9" t="n"/>
      <c r="AS210" s="9" t="n"/>
      <c r="AT210" s="9" t="n"/>
      <c r="AU210" s="9" t="n"/>
      <c r="AV210" s="9" t="n"/>
      <c r="AW210" s="9" t="n"/>
      <c r="AX210" s="9" t="n"/>
      <c r="AY210" s="9" t="n"/>
      <c r="AZ210" s="9" t="n"/>
      <c r="BA210" s="9" t="n"/>
    </row>
    <row r="211" ht="15.75" customHeight="1" s="18">
      <c r="A211" s="3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  <c r="AF211" s="9" t="n"/>
      <c r="AG211" s="9" t="n"/>
      <c r="AH211" s="9" t="n"/>
      <c r="AI211" s="9" t="n"/>
      <c r="AJ211" s="9" t="n"/>
      <c r="AK211" s="9" t="n"/>
      <c r="AL211" s="9" t="n"/>
      <c r="AM211" s="9" t="n"/>
      <c r="AN211" s="9" t="n"/>
      <c r="AO211" s="9" t="n"/>
      <c r="AP211" s="9" t="n"/>
      <c r="AQ211" s="9" t="n"/>
      <c r="AR211" s="9" t="n"/>
      <c r="AS211" s="9" t="n"/>
      <c r="AT211" s="9" t="n"/>
      <c r="AU211" s="9" t="n"/>
      <c r="AV211" s="9" t="n"/>
      <c r="AW211" s="9" t="n"/>
      <c r="AX211" s="9" t="n"/>
      <c r="AY211" s="9" t="n"/>
      <c r="AZ211" s="9" t="n"/>
      <c r="BA211" s="9" t="n"/>
    </row>
    <row r="212" ht="15.75" customHeight="1" s="18">
      <c r="A212" s="3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  <c r="AF212" s="9" t="n"/>
      <c r="AG212" s="9" t="n"/>
      <c r="AH212" s="9" t="n"/>
      <c r="AI212" s="9" t="n"/>
      <c r="AJ212" s="9" t="n"/>
      <c r="AK212" s="9" t="n"/>
      <c r="AL212" s="9" t="n"/>
      <c r="AM212" s="9" t="n"/>
      <c r="AN212" s="9" t="n"/>
      <c r="AO212" s="9" t="n"/>
      <c r="AP212" s="9" t="n"/>
      <c r="AQ212" s="9" t="n"/>
      <c r="AR212" s="9" t="n"/>
      <c r="AS212" s="9" t="n"/>
      <c r="AT212" s="9" t="n"/>
      <c r="AU212" s="9" t="n"/>
      <c r="AV212" s="9" t="n"/>
      <c r="AW212" s="9" t="n"/>
      <c r="AX212" s="9" t="n"/>
      <c r="AY212" s="9" t="n"/>
      <c r="AZ212" s="9" t="n"/>
      <c r="BA212" s="9" t="n"/>
    </row>
    <row r="213" ht="15.75" customHeight="1" s="18">
      <c r="A213" s="3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  <c r="AF213" s="9" t="n"/>
      <c r="AG213" s="9" t="n"/>
      <c r="AH213" s="9" t="n"/>
      <c r="AI213" s="9" t="n"/>
      <c r="AJ213" s="9" t="n"/>
      <c r="AK213" s="9" t="n"/>
      <c r="AL213" s="9" t="n"/>
      <c r="AM213" s="9" t="n"/>
      <c r="AN213" s="9" t="n"/>
      <c r="AO213" s="9" t="n"/>
      <c r="AP213" s="9" t="n"/>
      <c r="AQ213" s="9" t="n"/>
      <c r="AR213" s="9" t="n"/>
      <c r="AS213" s="9" t="n"/>
      <c r="AT213" s="9" t="n"/>
      <c r="AU213" s="9" t="n"/>
      <c r="AV213" s="9" t="n"/>
      <c r="AW213" s="9" t="n"/>
      <c r="AX213" s="9" t="n"/>
      <c r="AY213" s="9" t="n"/>
      <c r="AZ213" s="9" t="n"/>
      <c r="BA213" s="9" t="n"/>
    </row>
    <row r="214" ht="15.75" customHeight="1" s="18">
      <c r="A214" s="3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  <c r="AF214" s="9" t="n"/>
      <c r="AG214" s="9" t="n"/>
      <c r="AH214" s="9" t="n"/>
      <c r="AI214" s="9" t="n"/>
      <c r="AJ214" s="9" t="n"/>
      <c r="AK214" s="9" t="n"/>
      <c r="AL214" s="9" t="n"/>
      <c r="AM214" s="9" t="n"/>
      <c r="AN214" s="9" t="n"/>
      <c r="AO214" s="9" t="n"/>
      <c r="AP214" s="9" t="n"/>
      <c r="AQ214" s="9" t="n"/>
      <c r="AR214" s="9" t="n"/>
      <c r="AS214" s="9" t="n"/>
      <c r="AT214" s="9" t="n"/>
      <c r="AU214" s="9" t="n"/>
      <c r="AV214" s="9" t="n"/>
      <c r="AW214" s="9" t="n"/>
      <c r="AX214" s="9" t="n"/>
      <c r="AY214" s="9" t="n"/>
      <c r="AZ214" s="9" t="n"/>
      <c r="BA214" s="9" t="n"/>
    </row>
    <row r="215" ht="15.75" customHeight="1" s="18">
      <c r="A215" s="3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  <c r="AF215" s="9" t="n"/>
      <c r="AG215" s="9" t="n"/>
      <c r="AH215" s="9" t="n"/>
      <c r="AI215" s="9" t="n"/>
      <c r="AJ215" s="9" t="n"/>
      <c r="AK215" s="9" t="n"/>
      <c r="AL215" s="9" t="n"/>
      <c r="AM215" s="9" t="n"/>
      <c r="AN215" s="9" t="n"/>
      <c r="AO215" s="9" t="n"/>
      <c r="AP215" s="9" t="n"/>
      <c r="AQ215" s="9" t="n"/>
      <c r="AR215" s="9" t="n"/>
      <c r="AS215" s="9" t="n"/>
      <c r="AT215" s="9" t="n"/>
      <c r="AU215" s="9" t="n"/>
      <c r="AV215" s="9" t="n"/>
      <c r="AW215" s="9" t="n"/>
      <c r="AX215" s="9" t="n"/>
      <c r="AY215" s="9" t="n"/>
      <c r="AZ215" s="9" t="n"/>
      <c r="BA215" s="9" t="n"/>
    </row>
    <row r="216" ht="15.75" customHeight="1" s="18">
      <c r="A216" s="3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  <c r="AH216" s="9" t="n"/>
      <c r="AI216" s="9" t="n"/>
      <c r="AJ216" s="9" t="n"/>
      <c r="AK216" s="9" t="n"/>
      <c r="AL216" s="9" t="n"/>
      <c r="AM216" s="9" t="n"/>
      <c r="AN216" s="9" t="n"/>
      <c r="AO216" s="9" t="n"/>
      <c r="AP216" s="9" t="n"/>
      <c r="AQ216" s="9" t="n"/>
      <c r="AR216" s="9" t="n"/>
      <c r="AS216" s="9" t="n"/>
      <c r="AT216" s="9" t="n"/>
      <c r="AU216" s="9" t="n"/>
      <c r="AV216" s="9" t="n"/>
      <c r="AW216" s="9" t="n"/>
      <c r="AX216" s="9" t="n"/>
      <c r="AY216" s="9" t="n"/>
      <c r="AZ216" s="9" t="n"/>
      <c r="BA216" s="9" t="n"/>
    </row>
    <row r="217" ht="15.75" customHeight="1" s="18">
      <c r="A217" s="3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  <c r="AF217" s="9" t="n"/>
      <c r="AG217" s="9" t="n"/>
      <c r="AH217" s="9" t="n"/>
      <c r="AI217" s="9" t="n"/>
      <c r="AJ217" s="9" t="n"/>
      <c r="AK217" s="9" t="n"/>
      <c r="AL217" s="9" t="n"/>
      <c r="AM217" s="9" t="n"/>
      <c r="AN217" s="9" t="n"/>
      <c r="AO217" s="9" t="n"/>
      <c r="AP217" s="9" t="n"/>
      <c r="AQ217" s="9" t="n"/>
      <c r="AR217" s="9" t="n"/>
      <c r="AS217" s="9" t="n"/>
      <c r="AT217" s="9" t="n"/>
      <c r="AU217" s="9" t="n"/>
      <c r="AV217" s="9" t="n"/>
      <c r="AW217" s="9" t="n"/>
      <c r="AX217" s="9" t="n"/>
      <c r="AY217" s="9" t="n"/>
      <c r="AZ217" s="9" t="n"/>
      <c r="BA217" s="9" t="n"/>
    </row>
    <row r="218" ht="15.75" customHeight="1" s="18">
      <c r="A218" s="3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  <c r="AH218" s="9" t="n"/>
      <c r="AI218" s="9" t="n"/>
      <c r="AJ218" s="9" t="n"/>
      <c r="AK218" s="9" t="n"/>
      <c r="AL218" s="9" t="n"/>
      <c r="AM218" s="9" t="n"/>
      <c r="AN218" s="9" t="n"/>
      <c r="AO218" s="9" t="n"/>
      <c r="AP218" s="9" t="n"/>
      <c r="AQ218" s="9" t="n"/>
      <c r="AR218" s="9" t="n"/>
      <c r="AS218" s="9" t="n"/>
      <c r="AT218" s="9" t="n"/>
      <c r="AU218" s="9" t="n"/>
      <c r="AV218" s="9" t="n"/>
      <c r="AW218" s="9" t="n"/>
      <c r="AX218" s="9" t="n"/>
      <c r="AY218" s="9" t="n"/>
      <c r="AZ218" s="9" t="n"/>
      <c r="BA218" s="9" t="n"/>
    </row>
    <row r="219" ht="15.75" customHeight="1" s="18">
      <c r="A219" s="3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  <c r="AF219" s="9" t="n"/>
      <c r="AG219" s="9" t="n"/>
      <c r="AH219" s="9" t="n"/>
      <c r="AI219" s="9" t="n"/>
      <c r="AJ219" s="9" t="n"/>
      <c r="AK219" s="9" t="n"/>
      <c r="AL219" s="9" t="n"/>
      <c r="AM219" s="9" t="n"/>
      <c r="AN219" s="9" t="n"/>
      <c r="AO219" s="9" t="n"/>
      <c r="AP219" s="9" t="n"/>
      <c r="AQ219" s="9" t="n"/>
      <c r="AR219" s="9" t="n"/>
      <c r="AS219" s="9" t="n"/>
      <c r="AT219" s="9" t="n"/>
      <c r="AU219" s="9" t="n"/>
      <c r="AV219" s="9" t="n"/>
      <c r="AW219" s="9" t="n"/>
      <c r="AX219" s="9" t="n"/>
      <c r="AY219" s="9" t="n"/>
      <c r="AZ219" s="9" t="n"/>
      <c r="BA219" s="9" t="n"/>
    </row>
    <row r="220" ht="15.75" customHeight="1" s="18">
      <c r="A220" s="3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  <c r="AH220" s="9" t="n"/>
      <c r="AI220" s="9" t="n"/>
      <c r="AJ220" s="9" t="n"/>
      <c r="AK220" s="9" t="n"/>
      <c r="AL220" s="9" t="n"/>
      <c r="AM220" s="9" t="n"/>
      <c r="AN220" s="9" t="n"/>
      <c r="AO220" s="9" t="n"/>
      <c r="AP220" s="9" t="n"/>
      <c r="AQ220" s="9" t="n"/>
      <c r="AR220" s="9" t="n"/>
      <c r="AS220" s="9" t="n"/>
      <c r="AT220" s="9" t="n"/>
      <c r="AU220" s="9" t="n"/>
      <c r="AV220" s="9" t="n"/>
      <c r="AW220" s="9" t="n"/>
      <c r="AX220" s="9" t="n"/>
      <c r="AY220" s="9" t="n"/>
      <c r="AZ220" s="9" t="n"/>
      <c r="BA220" s="9" t="n"/>
    </row>
    <row r="221" ht="15.75" customHeight="1" s="18">
      <c r="A221" s="3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  <c r="AG221" s="9" t="n"/>
      <c r="AH221" s="9" t="n"/>
      <c r="AI221" s="9" t="n"/>
      <c r="AJ221" s="9" t="n"/>
      <c r="AK221" s="9" t="n"/>
      <c r="AL221" s="9" t="n"/>
      <c r="AM221" s="9" t="n"/>
      <c r="AN221" s="9" t="n"/>
      <c r="AO221" s="9" t="n"/>
      <c r="AP221" s="9" t="n"/>
      <c r="AQ221" s="9" t="n"/>
      <c r="AR221" s="9" t="n"/>
      <c r="AS221" s="9" t="n"/>
      <c r="AT221" s="9" t="n"/>
      <c r="AU221" s="9" t="n"/>
      <c r="AV221" s="9" t="n"/>
      <c r="AW221" s="9" t="n"/>
      <c r="AX221" s="9" t="n"/>
      <c r="AY221" s="9" t="n"/>
      <c r="AZ221" s="9" t="n"/>
      <c r="BA221" s="9" t="n"/>
    </row>
    <row r="222" ht="15.75" customHeight="1" s="18">
      <c r="A222" s="3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  <c r="AH222" s="9" t="n"/>
      <c r="AI222" s="9" t="n"/>
      <c r="AJ222" s="9" t="n"/>
      <c r="AK222" s="9" t="n"/>
      <c r="AL222" s="9" t="n"/>
      <c r="AM222" s="9" t="n"/>
      <c r="AN222" s="9" t="n"/>
      <c r="AO222" s="9" t="n"/>
      <c r="AP222" s="9" t="n"/>
      <c r="AQ222" s="9" t="n"/>
      <c r="AR222" s="9" t="n"/>
      <c r="AS222" s="9" t="n"/>
      <c r="AT222" s="9" t="n"/>
      <c r="AU222" s="9" t="n"/>
      <c r="AV222" s="9" t="n"/>
      <c r="AW222" s="9" t="n"/>
      <c r="AX222" s="9" t="n"/>
      <c r="AY222" s="9" t="n"/>
      <c r="AZ222" s="9" t="n"/>
      <c r="BA222" s="9" t="n"/>
    </row>
    <row r="223" ht="15.75" customHeight="1" s="18">
      <c r="A223" s="3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  <c r="AF223" s="9" t="n"/>
      <c r="AG223" s="9" t="n"/>
      <c r="AH223" s="9" t="n"/>
      <c r="AI223" s="9" t="n"/>
      <c r="AJ223" s="9" t="n"/>
      <c r="AK223" s="9" t="n"/>
      <c r="AL223" s="9" t="n"/>
      <c r="AM223" s="9" t="n"/>
      <c r="AN223" s="9" t="n"/>
      <c r="AO223" s="9" t="n"/>
      <c r="AP223" s="9" t="n"/>
      <c r="AQ223" s="9" t="n"/>
      <c r="AR223" s="9" t="n"/>
      <c r="AS223" s="9" t="n"/>
      <c r="AT223" s="9" t="n"/>
      <c r="AU223" s="9" t="n"/>
      <c r="AV223" s="9" t="n"/>
      <c r="AW223" s="9" t="n"/>
      <c r="AX223" s="9" t="n"/>
      <c r="AY223" s="9" t="n"/>
      <c r="AZ223" s="9" t="n"/>
      <c r="BA223" s="9" t="n"/>
    </row>
    <row r="224" ht="15.75" customHeight="1" s="18">
      <c r="A224" s="3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  <c r="AH224" s="9" t="n"/>
      <c r="AI224" s="9" t="n"/>
      <c r="AJ224" s="9" t="n"/>
      <c r="AK224" s="9" t="n"/>
      <c r="AL224" s="9" t="n"/>
      <c r="AM224" s="9" t="n"/>
      <c r="AN224" s="9" t="n"/>
      <c r="AO224" s="9" t="n"/>
      <c r="AP224" s="9" t="n"/>
      <c r="AQ224" s="9" t="n"/>
      <c r="AR224" s="9" t="n"/>
      <c r="AS224" s="9" t="n"/>
      <c r="AT224" s="9" t="n"/>
      <c r="AU224" s="9" t="n"/>
      <c r="AV224" s="9" t="n"/>
      <c r="AW224" s="9" t="n"/>
      <c r="AX224" s="9" t="n"/>
      <c r="AY224" s="9" t="n"/>
      <c r="AZ224" s="9" t="n"/>
      <c r="BA224" s="9" t="n"/>
    </row>
    <row r="225" ht="15.75" customHeight="1" s="18">
      <c r="A225" s="3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  <c r="AH225" s="9" t="n"/>
      <c r="AI225" s="9" t="n"/>
      <c r="AJ225" s="9" t="n"/>
      <c r="AK225" s="9" t="n"/>
      <c r="AL225" s="9" t="n"/>
      <c r="AM225" s="9" t="n"/>
      <c r="AN225" s="9" t="n"/>
      <c r="AO225" s="9" t="n"/>
      <c r="AP225" s="9" t="n"/>
      <c r="AQ225" s="9" t="n"/>
      <c r="AR225" s="9" t="n"/>
      <c r="AS225" s="9" t="n"/>
      <c r="AT225" s="9" t="n"/>
      <c r="AU225" s="9" t="n"/>
      <c r="AV225" s="9" t="n"/>
      <c r="AW225" s="9" t="n"/>
      <c r="AX225" s="9" t="n"/>
      <c r="AY225" s="9" t="n"/>
      <c r="AZ225" s="9" t="n"/>
      <c r="BA225" s="9" t="n"/>
    </row>
    <row r="226" ht="15.75" customHeight="1" s="18">
      <c r="A226" s="3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I226" s="9" t="n"/>
      <c r="AJ226" s="9" t="n"/>
      <c r="AK226" s="9" t="n"/>
      <c r="AL226" s="9" t="n"/>
      <c r="AM226" s="9" t="n"/>
      <c r="AN226" s="9" t="n"/>
      <c r="AO226" s="9" t="n"/>
      <c r="AP226" s="9" t="n"/>
      <c r="AQ226" s="9" t="n"/>
      <c r="AR226" s="9" t="n"/>
      <c r="AS226" s="9" t="n"/>
      <c r="AT226" s="9" t="n"/>
      <c r="AU226" s="9" t="n"/>
      <c r="AV226" s="9" t="n"/>
      <c r="AW226" s="9" t="n"/>
      <c r="AX226" s="9" t="n"/>
      <c r="AY226" s="9" t="n"/>
      <c r="AZ226" s="9" t="n"/>
      <c r="BA226" s="9" t="n"/>
    </row>
    <row r="227" ht="15.75" customHeight="1" s="18">
      <c r="A227" s="3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I227" s="9" t="n"/>
      <c r="AJ227" s="9" t="n"/>
      <c r="AK227" s="9" t="n"/>
      <c r="AL227" s="9" t="n"/>
      <c r="AM227" s="9" t="n"/>
      <c r="AN227" s="9" t="n"/>
      <c r="AO227" s="9" t="n"/>
      <c r="AP227" s="9" t="n"/>
      <c r="AQ227" s="9" t="n"/>
      <c r="AR227" s="9" t="n"/>
      <c r="AS227" s="9" t="n"/>
      <c r="AT227" s="9" t="n"/>
      <c r="AU227" s="9" t="n"/>
      <c r="AV227" s="9" t="n"/>
      <c r="AW227" s="9" t="n"/>
      <c r="AX227" s="9" t="n"/>
      <c r="AY227" s="9" t="n"/>
      <c r="AZ227" s="9" t="n"/>
      <c r="BA227" s="9" t="n"/>
    </row>
    <row r="228" ht="15.75" customHeight="1" s="18">
      <c r="A228" s="3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I228" s="9" t="n"/>
      <c r="AJ228" s="9" t="n"/>
      <c r="AK228" s="9" t="n"/>
      <c r="AL228" s="9" t="n"/>
      <c r="AM228" s="9" t="n"/>
      <c r="AN228" s="9" t="n"/>
      <c r="AO228" s="9" t="n"/>
      <c r="AP228" s="9" t="n"/>
      <c r="AQ228" s="9" t="n"/>
      <c r="AR228" s="9" t="n"/>
      <c r="AS228" s="9" t="n"/>
      <c r="AT228" s="9" t="n"/>
      <c r="AU228" s="9" t="n"/>
      <c r="AV228" s="9" t="n"/>
      <c r="AW228" s="9" t="n"/>
      <c r="AX228" s="9" t="n"/>
      <c r="AY228" s="9" t="n"/>
      <c r="AZ228" s="9" t="n"/>
      <c r="BA228" s="9" t="n"/>
    </row>
    <row r="229" ht="15.75" customHeight="1" s="18">
      <c r="A229" s="3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I229" s="9" t="n"/>
      <c r="AJ229" s="9" t="n"/>
      <c r="AK229" s="9" t="n"/>
      <c r="AL229" s="9" t="n"/>
      <c r="AM229" s="9" t="n"/>
      <c r="AN229" s="9" t="n"/>
      <c r="AO229" s="9" t="n"/>
      <c r="AP229" s="9" t="n"/>
      <c r="AQ229" s="9" t="n"/>
      <c r="AR229" s="9" t="n"/>
      <c r="AS229" s="9" t="n"/>
      <c r="AT229" s="9" t="n"/>
      <c r="AU229" s="9" t="n"/>
      <c r="AV229" s="9" t="n"/>
      <c r="AW229" s="9" t="n"/>
      <c r="AX229" s="9" t="n"/>
      <c r="AY229" s="9" t="n"/>
      <c r="AZ229" s="9" t="n"/>
      <c r="BA229" s="9" t="n"/>
    </row>
    <row r="230" ht="15.75" customHeight="1" s="18">
      <c r="A230" s="3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I230" s="9" t="n"/>
      <c r="AJ230" s="9" t="n"/>
      <c r="AK230" s="9" t="n"/>
      <c r="AL230" s="9" t="n"/>
      <c r="AM230" s="9" t="n"/>
      <c r="AN230" s="9" t="n"/>
      <c r="AO230" s="9" t="n"/>
      <c r="AP230" s="9" t="n"/>
      <c r="AQ230" s="9" t="n"/>
      <c r="AR230" s="9" t="n"/>
      <c r="AS230" s="9" t="n"/>
      <c r="AT230" s="9" t="n"/>
      <c r="AU230" s="9" t="n"/>
      <c r="AV230" s="9" t="n"/>
      <c r="AW230" s="9" t="n"/>
      <c r="AX230" s="9" t="n"/>
      <c r="AY230" s="9" t="n"/>
      <c r="AZ230" s="9" t="n"/>
      <c r="BA230" s="9" t="n"/>
    </row>
    <row r="231" ht="15.75" customHeight="1" s="18">
      <c r="A231" s="3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I231" s="9" t="n"/>
      <c r="AJ231" s="9" t="n"/>
      <c r="AK231" s="9" t="n"/>
      <c r="AL231" s="9" t="n"/>
      <c r="AM231" s="9" t="n"/>
      <c r="AN231" s="9" t="n"/>
      <c r="AO231" s="9" t="n"/>
      <c r="AP231" s="9" t="n"/>
      <c r="AQ231" s="9" t="n"/>
      <c r="AR231" s="9" t="n"/>
      <c r="AS231" s="9" t="n"/>
      <c r="AT231" s="9" t="n"/>
      <c r="AU231" s="9" t="n"/>
      <c r="AV231" s="9" t="n"/>
      <c r="AW231" s="9" t="n"/>
      <c r="AX231" s="9" t="n"/>
      <c r="AY231" s="9" t="n"/>
      <c r="AZ231" s="9" t="n"/>
      <c r="BA231" s="9" t="n"/>
    </row>
    <row r="232" ht="15.75" customHeight="1" s="18">
      <c r="A232" s="3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I232" s="9" t="n"/>
      <c r="AJ232" s="9" t="n"/>
      <c r="AK232" s="9" t="n"/>
      <c r="AL232" s="9" t="n"/>
      <c r="AM232" s="9" t="n"/>
      <c r="AN232" s="9" t="n"/>
      <c r="AO232" s="9" t="n"/>
      <c r="AP232" s="9" t="n"/>
      <c r="AQ232" s="9" t="n"/>
      <c r="AR232" s="9" t="n"/>
      <c r="AS232" s="9" t="n"/>
      <c r="AT232" s="9" t="n"/>
      <c r="AU232" s="9" t="n"/>
      <c r="AV232" s="9" t="n"/>
      <c r="AW232" s="9" t="n"/>
      <c r="AX232" s="9" t="n"/>
      <c r="AY232" s="9" t="n"/>
      <c r="AZ232" s="9" t="n"/>
      <c r="BA232" s="9" t="n"/>
    </row>
    <row r="233" ht="15.75" customHeight="1" s="18">
      <c r="A233" s="3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  <c r="AH233" s="9" t="n"/>
      <c r="AI233" s="9" t="n"/>
      <c r="AJ233" s="9" t="n"/>
      <c r="AK233" s="9" t="n"/>
      <c r="AL233" s="9" t="n"/>
      <c r="AM233" s="9" t="n"/>
      <c r="AN233" s="9" t="n"/>
      <c r="AO233" s="9" t="n"/>
      <c r="AP233" s="9" t="n"/>
      <c r="AQ233" s="9" t="n"/>
      <c r="AR233" s="9" t="n"/>
      <c r="AS233" s="9" t="n"/>
      <c r="AT233" s="9" t="n"/>
      <c r="AU233" s="9" t="n"/>
      <c r="AV233" s="9" t="n"/>
      <c r="AW233" s="9" t="n"/>
      <c r="AX233" s="9" t="n"/>
      <c r="AY233" s="9" t="n"/>
      <c r="AZ233" s="9" t="n"/>
      <c r="BA233" s="9" t="n"/>
    </row>
    <row r="234" ht="15.75" customHeight="1" s="18">
      <c r="A234" s="3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I234" s="9" t="n"/>
      <c r="AJ234" s="9" t="n"/>
      <c r="AK234" s="9" t="n"/>
      <c r="AL234" s="9" t="n"/>
      <c r="AM234" s="9" t="n"/>
      <c r="AN234" s="9" t="n"/>
      <c r="AO234" s="9" t="n"/>
      <c r="AP234" s="9" t="n"/>
      <c r="AQ234" s="9" t="n"/>
      <c r="AR234" s="9" t="n"/>
      <c r="AS234" s="9" t="n"/>
      <c r="AT234" s="9" t="n"/>
      <c r="AU234" s="9" t="n"/>
      <c r="AV234" s="9" t="n"/>
      <c r="AW234" s="9" t="n"/>
      <c r="AX234" s="9" t="n"/>
      <c r="AY234" s="9" t="n"/>
      <c r="AZ234" s="9" t="n"/>
      <c r="BA234" s="9" t="n"/>
    </row>
    <row r="235" ht="15.75" customHeight="1" s="18">
      <c r="A235" s="3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  <c r="AH235" s="9" t="n"/>
      <c r="AI235" s="9" t="n"/>
      <c r="AJ235" s="9" t="n"/>
      <c r="AK235" s="9" t="n"/>
      <c r="AL235" s="9" t="n"/>
      <c r="AM235" s="9" t="n"/>
      <c r="AN235" s="9" t="n"/>
      <c r="AO235" s="9" t="n"/>
      <c r="AP235" s="9" t="n"/>
      <c r="AQ235" s="9" t="n"/>
      <c r="AR235" s="9" t="n"/>
      <c r="AS235" s="9" t="n"/>
      <c r="AT235" s="9" t="n"/>
      <c r="AU235" s="9" t="n"/>
      <c r="AV235" s="9" t="n"/>
      <c r="AW235" s="9" t="n"/>
      <c r="AX235" s="9" t="n"/>
      <c r="AY235" s="9" t="n"/>
      <c r="AZ235" s="9" t="n"/>
      <c r="BA235" s="9" t="n"/>
    </row>
    <row r="236" ht="15.75" customHeight="1" s="18">
      <c r="A236" s="3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I236" s="9" t="n"/>
      <c r="AJ236" s="9" t="n"/>
      <c r="AK236" s="9" t="n"/>
      <c r="AL236" s="9" t="n"/>
      <c r="AM236" s="9" t="n"/>
      <c r="AN236" s="9" t="n"/>
      <c r="AO236" s="9" t="n"/>
      <c r="AP236" s="9" t="n"/>
      <c r="AQ236" s="9" t="n"/>
      <c r="AR236" s="9" t="n"/>
      <c r="AS236" s="9" t="n"/>
      <c r="AT236" s="9" t="n"/>
      <c r="AU236" s="9" t="n"/>
      <c r="AV236" s="9" t="n"/>
      <c r="AW236" s="9" t="n"/>
      <c r="AX236" s="9" t="n"/>
      <c r="AY236" s="9" t="n"/>
      <c r="AZ236" s="9" t="n"/>
      <c r="BA236" s="9" t="n"/>
    </row>
    <row r="237" ht="15.75" customHeight="1" s="18">
      <c r="A237" s="3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I237" s="9" t="n"/>
      <c r="AJ237" s="9" t="n"/>
      <c r="AK237" s="9" t="n"/>
      <c r="AL237" s="9" t="n"/>
      <c r="AM237" s="9" t="n"/>
      <c r="AN237" s="9" t="n"/>
      <c r="AO237" s="9" t="n"/>
      <c r="AP237" s="9" t="n"/>
      <c r="AQ237" s="9" t="n"/>
      <c r="AR237" s="9" t="n"/>
      <c r="AS237" s="9" t="n"/>
      <c r="AT237" s="9" t="n"/>
      <c r="AU237" s="9" t="n"/>
      <c r="AV237" s="9" t="n"/>
      <c r="AW237" s="9" t="n"/>
      <c r="AX237" s="9" t="n"/>
      <c r="AY237" s="9" t="n"/>
      <c r="AZ237" s="9" t="n"/>
      <c r="BA237" s="9" t="n"/>
    </row>
    <row r="238" ht="15.75" customHeight="1" s="18">
      <c r="A238" s="3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  <c r="AH238" s="9" t="n"/>
      <c r="AI238" s="9" t="n"/>
      <c r="AJ238" s="9" t="n"/>
      <c r="AK238" s="9" t="n"/>
      <c r="AL238" s="9" t="n"/>
      <c r="AM238" s="9" t="n"/>
      <c r="AN238" s="9" t="n"/>
      <c r="AO238" s="9" t="n"/>
      <c r="AP238" s="9" t="n"/>
      <c r="AQ238" s="9" t="n"/>
      <c r="AR238" s="9" t="n"/>
      <c r="AS238" s="9" t="n"/>
      <c r="AT238" s="9" t="n"/>
      <c r="AU238" s="9" t="n"/>
      <c r="AV238" s="9" t="n"/>
      <c r="AW238" s="9" t="n"/>
      <c r="AX238" s="9" t="n"/>
      <c r="AY238" s="9" t="n"/>
      <c r="AZ238" s="9" t="n"/>
      <c r="BA238" s="9" t="n"/>
    </row>
    <row r="239" ht="15.75" customHeight="1" s="18">
      <c r="A239" s="3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I239" s="9" t="n"/>
      <c r="AJ239" s="9" t="n"/>
      <c r="AK239" s="9" t="n"/>
      <c r="AL239" s="9" t="n"/>
      <c r="AM239" s="9" t="n"/>
      <c r="AN239" s="9" t="n"/>
      <c r="AO239" s="9" t="n"/>
      <c r="AP239" s="9" t="n"/>
      <c r="AQ239" s="9" t="n"/>
      <c r="AR239" s="9" t="n"/>
      <c r="AS239" s="9" t="n"/>
      <c r="AT239" s="9" t="n"/>
      <c r="AU239" s="9" t="n"/>
      <c r="AV239" s="9" t="n"/>
      <c r="AW239" s="9" t="n"/>
      <c r="AX239" s="9" t="n"/>
      <c r="AY239" s="9" t="n"/>
      <c r="AZ239" s="9" t="n"/>
      <c r="BA239" s="9" t="n"/>
    </row>
    <row r="240" ht="15.75" customHeight="1" s="18">
      <c r="A240" s="3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I240" s="9" t="n"/>
      <c r="AJ240" s="9" t="n"/>
      <c r="AK240" s="9" t="n"/>
      <c r="AL240" s="9" t="n"/>
      <c r="AM240" s="9" t="n"/>
      <c r="AN240" s="9" t="n"/>
      <c r="AO240" s="9" t="n"/>
      <c r="AP240" s="9" t="n"/>
      <c r="AQ240" s="9" t="n"/>
      <c r="AR240" s="9" t="n"/>
      <c r="AS240" s="9" t="n"/>
      <c r="AT240" s="9" t="n"/>
      <c r="AU240" s="9" t="n"/>
      <c r="AV240" s="9" t="n"/>
      <c r="AW240" s="9" t="n"/>
      <c r="AX240" s="9" t="n"/>
      <c r="AY240" s="9" t="n"/>
      <c r="AZ240" s="9" t="n"/>
      <c r="BA240" s="9" t="n"/>
    </row>
    <row r="241" ht="15.75" customHeight="1" s="18">
      <c r="A241" s="3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  <c r="AH241" s="9" t="n"/>
      <c r="AI241" s="9" t="n"/>
      <c r="AJ241" s="9" t="n"/>
      <c r="AK241" s="9" t="n"/>
      <c r="AL241" s="9" t="n"/>
      <c r="AM241" s="9" t="n"/>
      <c r="AN241" s="9" t="n"/>
      <c r="AO241" s="9" t="n"/>
      <c r="AP241" s="9" t="n"/>
      <c r="AQ241" s="9" t="n"/>
      <c r="AR241" s="9" t="n"/>
      <c r="AS241" s="9" t="n"/>
      <c r="AT241" s="9" t="n"/>
      <c r="AU241" s="9" t="n"/>
      <c r="AV241" s="9" t="n"/>
      <c r="AW241" s="9" t="n"/>
      <c r="AX241" s="9" t="n"/>
      <c r="AY241" s="9" t="n"/>
      <c r="AZ241" s="9" t="n"/>
      <c r="BA241" s="9" t="n"/>
    </row>
    <row r="242" ht="15.75" customHeight="1" s="18">
      <c r="A242" s="3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  <c r="AH242" s="9" t="n"/>
      <c r="AI242" s="9" t="n"/>
      <c r="AJ242" s="9" t="n"/>
      <c r="AK242" s="9" t="n"/>
      <c r="AL242" s="9" t="n"/>
      <c r="AM242" s="9" t="n"/>
      <c r="AN242" s="9" t="n"/>
      <c r="AO242" s="9" t="n"/>
      <c r="AP242" s="9" t="n"/>
      <c r="AQ242" s="9" t="n"/>
      <c r="AR242" s="9" t="n"/>
      <c r="AS242" s="9" t="n"/>
      <c r="AT242" s="9" t="n"/>
      <c r="AU242" s="9" t="n"/>
      <c r="AV242" s="9" t="n"/>
      <c r="AW242" s="9" t="n"/>
      <c r="AX242" s="9" t="n"/>
      <c r="AY242" s="9" t="n"/>
      <c r="AZ242" s="9" t="n"/>
      <c r="BA242" s="9" t="n"/>
    </row>
    <row r="243" ht="15.75" customHeight="1" s="18">
      <c r="A243" s="3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  <c r="AH243" s="9" t="n"/>
      <c r="AI243" s="9" t="n"/>
      <c r="AJ243" s="9" t="n"/>
      <c r="AK243" s="9" t="n"/>
      <c r="AL243" s="9" t="n"/>
      <c r="AM243" s="9" t="n"/>
      <c r="AN243" s="9" t="n"/>
      <c r="AO243" s="9" t="n"/>
      <c r="AP243" s="9" t="n"/>
      <c r="AQ243" s="9" t="n"/>
      <c r="AR243" s="9" t="n"/>
      <c r="AS243" s="9" t="n"/>
      <c r="AT243" s="9" t="n"/>
      <c r="AU243" s="9" t="n"/>
      <c r="AV243" s="9" t="n"/>
      <c r="AW243" s="9" t="n"/>
      <c r="AX243" s="9" t="n"/>
      <c r="AY243" s="9" t="n"/>
      <c r="AZ243" s="9" t="n"/>
      <c r="BA243" s="9" t="n"/>
    </row>
    <row r="244" ht="15.75" customHeight="1" s="18">
      <c r="A244" s="3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I244" s="9" t="n"/>
      <c r="AJ244" s="9" t="n"/>
      <c r="AK244" s="9" t="n"/>
      <c r="AL244" s="9" t="n"/>
      <c r="AM244" s="9" t="n"/>
      <c r="AN244" s="9" t="n"/>
      <c r="AO244" s="9" t="n"/>
      <c r="AP244" s="9" t="n"/>
      <c r="AQ244" s="9" t="n"/>
      <c r="AR244" s="9" t="n"/>
      <c r="AS244" s="9" t="n"/>
      <c r="AT244" s="9" t="n"/>
      <c r="AU244" s="9" t="n"/>
      <c r="AV244" s="9" t="n"/>
      <c r="AW244" s="9" t="n"/>
      <c r="AX244" s="9" t="n"/>
      <c r="AY244" s="9" t="n"/>
      <c r="AZ244" s="9" t="n"/>
      <c r="BA244" s="9" t="n"/>
    </row>
    <row r="245" ht="15.75" customHeight="1" s="18">
      <c r="A245" s="3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  <c r="AH245" s="9" t="n"/>
      <c r="AI245" s="9" t="n"/>
      <c r="AJ245" s="9" t="n"/>
      <c r="AK245" s="9" t="n"/>
      <c r="AL245" s="9" t="n"/>
      <c r="AM245" s="9" t="n"/>
      <c r="AN245" s="9" t="n"/>
      <c r="AO245" s="9" t="n"/>
      <c r="AP245" s="9" t="n"/>
      <c r="AQ245" s="9" t="n"/>
      <c r="AR245" s="9" t="n"/>
      <c r="AS245" s="9" t="n"/>
      <c r="AT245" s="9" t="n"/>
      <c r="AU245" s="9" t="n"/>
      <c r="AV245" s="9" t="n"/>
      <c r="AW245" s="9" t="n"/>
      <c r="AX245" s="9" t="n"/>
      <c r="AY245" s="9" t="n"/>
      <c r="AZ245" s="9" t="n"/>
      <c r="BA245" s="9" t="n"/>
    </row>
    <row r="246" ht="15.75" customHeight="1" s="18">
      <c r="A246" s="3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I246" s="9" t="n"/>
      <c r="AJ246" s="9" t="n"/>
      <c r="AK246" s="9" t="n"/>
      <c r="AL246" s="9" t="n"/>
      <c r="AM246" s="9" t="n"/>
      <c r="AN246" s="9" t="n"/>
      <c r="AO246" s="9" t="n"/>
      <c r="AP246" s="9" t="n"/>
      <c r="AQ246" s="9" t="n"/>
      <c r="AR246" s="9" t="n"/>
      <c r="AS246" s="9" t="n"/>
      <c r="AT246" s="9" t="n"/>
      <c r="AU246" s="9" t="n"/>
      <c r="AV246" s="9" t="n"/>
      <c r="AW246" s="9" t="n"/>
      <c r="AX246" s="9" t="n"/>
      <c r="AY246" s="9" t="n"/>
      <c r="AZ246" s="9" t="n"/>
      <c r="BA246" s="9" t="n"/>
    </row>
    <row r="247" ht="15.75" customHeight="1" s="18">
      <c r="A247" s="3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  <c r="AH247" s="9" t="n"/>
      <c r="AI247" s="9" t="n"/>
      <c r="AJ247" s="9" t="n"/>
      <c r="AK247" s="9" t="n"/>
      <c r="AL247" s="9" t="n"/>
      <c r="AM247" s="9" t="n"/>
      <c r="AN247" s="9" t="n"/>
      <c r="AO247" s="9" t="n"/>
      <c r="AP247" s="9" t="n"/>
      <c r="AQ247" s="9" t="n"/>
      <c r="AR247" s="9" t="n"/>
      <c r="AS247" s="9" t="n"/>
      <c r="AT247" s="9" t="n"/>
      <c r="AU247" s="9" t="n"/>
      <c r="AV247" s="9" t="n"/>
      <c r="AW247" s="9" t="n"/>
      <c r="AX247" s="9" t="n"/>
      <c r="AY247" s="9" t="n"/>
      <c r="AZ247" s="9" t="n"/>
      <c r="BA247" s="9" t="n"/>
    </row>
    <row r="248" ht="15.75" customHeight="1" s="18">
      <c r="A248" s="3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  <c r="AH248" s="9" t="n"/>
      <c r="AI248" s="9" t="n"/>
      <c r="AJ248" s="9" t="n"/>
      <c r="AK248" s="9" t="n"/>
      <c r="AL248" s="9" t="n"/>
      <c r="AM248" s="9" t="n"/>
      <c r="AN248" s="9" t="n"/>
      <c r="AO248" s="9" t="n"/>
      <c r="AP248" s="9" t="n"/>
      <c r="AQ248" s="9" t="n"/>
      <c r="AR248" s="9" t="n"/>
      <c r="AS248" s="9" t="n"/>
      <c r="AT248" s="9" t="n"/>
      <c r="AU248" s="9" t="n"/>
      <c r="AV248" s="9" t="n"/>
      <c r="AW248" s="9" t="n"/>
      <c r="AX248" s="9" t="n"/>
      <c r="AY248" s="9" t="n"/>
      <c r="AZ248" s="9" t="n"/>
      <c r="BA248" s="9" t="n"/>
    </row>
    <row r="249" ht="15.75" customHeight="1" s="18">
      <c r="A249" s="3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  <c r="AH249" s="9" t="n"/>
      <c r="AI249" s="9" t="n"/>
      <c r="AJ249" s="9" t="n"/>
      <c r="AK249" s="9" t="n"/>
      <c r="AL249" s="9" t="n"/>
      <c r="AM249" s="9" t="n"/>
      <c r="AN249" s="9" t="n"/>
      <c r="AO249" s="9" t="n"/>
      <c r="AP249" s="9" t="n"/>
      <c r="AQ249" s="9" t="n"/>
      <c r="AR249" s="9" t="n"/>
      <c r="AS249" s="9" t="n"/>
      <c r="AT249" s="9" t="n"/>
      <c r="AU249" s="9" t="n"/>
      <c r="AV249" s="9" t="n"/>
      <c r="AW249" s="9" t="n"/>
      <c r="AX249" s="9" t="n"/>
      <c r="AY249" s="9" t="n"/>
      <c r="AZ249" s="9" t="n"/>
      <c r="BA249" s="9" t="n"/>
    </row>
    <row r="250" ht="15.75" customHeight="1" s="18">
      <c r="A250" s="3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  <c r="AH250" s="9" t="n"/>
      <c r="AI250" s="9" t="n"/>
      <c r="AJ250" s="9" t="n"/>
      <c r="AK250" s="9" t="n"/>
      <c r="AL250" s="9" t="n"/>
      <c r="AM250" s="9" t="n"/>
      <c r="AN250" s="9" t="n"/>
      <c r="AO250" s="9" t="n"/>
      <c r="AP250" s="9" t="n"/>
      <c r="AQ250" s="9" t="n"/>
      <c r="AR250" s="9" t="n"/>
      <c r="AS250" s="9" t="n"/>
      <c r="AT250" s="9" t="n"/>
      <c r="AU250" s="9" t="n"/>
      <c r="AV250" s="9" t="n"/>
      <c r="AW250" s="9" t="n"/>
      <c r="AX250" s="9" t="n"/>
      <c r="AY250" s="9" t="n"/>
      <c r="AZ250" s="9" t="n"/>
      <c r="BA250" s="9" t="n"/>
    </row>
    <row r="251" ht="15.75" customHeight="1" s="18">
      <c r="A251" s="3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  <c r="AH251" s="9" t="n"/>
      <c r="AI251" s="9" t="n"/>
      <c r="AJ251" s="9" t="n"/>
      <c r="AK251" s="9" t="n"/>
      <c r="AL251" s="9" t="n"/>
      <c r="AM251" s="9" t="n"/>
      <c r="AN251" s="9" t="n"/>
      <c r="AO251" s="9" t="n"/>
      <c r="AP251" s="9" t="n"/>
      <c r="AQ251" s="9" t="n"/>
      <c r="AR251" s="9" t="n"/>
      <c r="AS251" s="9" t="n"/>
      <c r="AT251" s="9" t="n"/>
      <c r="AU251" s="9" t="n"/>
      <c r="AV251" s="9" t="n"/>
      <c r="AW251" s="9" t="n"/>
      <c r="AX251" s="9" t="n"/>
      <c r="AY251" s="9" t="n"/>
      <c r="AZ251" s="9" t="n"/>
      <c r="BA251" s="9" t="n"/>
    </row>
    <row r="252" ht="15.75" customHeight="1" s="18">
      <c r="A252" s="3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  <c r="AH252" s="9" t="n"/>
      <c r="AI252" s="9" t="n"/>
      <c r="AJ252" s="9" t="n"/>
      <c r="AK252" s="9" t="n"/>
      <c r="AL252" s="9" t="n"/>
      <c r="AM252" s="9" t="n"/>
      <c r="AN252" s="9" t="n"/>
      <c r="AO252" s="9" t="n"/>
      <c r="AP252" s="9" t="n"/>
      <c r="AQ252" s="9" t="n"/>
      <c r="AR252" s="9" t="n"/>
      <c r="AS252" s="9" t="n"/>
      <c r="AT252" s="9" t="n"/>
      <c r="AU252" s="9" t="n"/>
      <c r="AV252" s="9" t="n"/>
      <c r="AW252" s="9" t="n"/>
      <c r="AX252" s="9" t="n"/>
      <c r="AY252" s="9" t="n"/>
      <c r="AZ252" s="9" t="n"/>
      <c r="BA252" s="9" t="n"/>
    </row>
    <row r="253" ht="15.75" customHeight="1" s="18">
      <c r="A253" s="3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  <c r="AH253" s="9" t="n"/>
      <c r="AI253" s="9" t="n"/>
      <c r="AJ253" s="9" t="n"/>
      <c r="AK253" s="9" t="n"/>
      <c r="AL253" s="9" t="n"/>
      <c r="AM253" s="9" t="n"/>
      <c r="AN253" s="9" t="n"/>
      <c r="AO253" s="9" t="n"/>
      <c r="AP253" s="9" t="n"/>
      <c r="AQ253" s="9" t="n"/>
      <c r="AR253" s="9" t="n"/>
      <c r="AS253" s="9" t="n"/>
      <c r="AT253" s="9" t="n"/>
      <c r="AU253" s="9" t="n"/>
      <c r="AV253" s="9" t="n"/>
      <c r="AW253" s="9" t="n"/>
      <c r="AX253" s="9" t="n"/>
      <c r="AY253" s="9" t="n"/>
      <c r="AZ253" s="9" t="n"/>
      <c r="BA253" s="9" t="n"/>
    </row>
    <row r="254" ht="15.75" customHeight="1" s="18">
      <c r="A254" s="3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  <c r="AH254" s="9" t="n"/>
      <c r="AI254" s="9" t="n"/>
      <c r="AJ254" s="9" t="n"/>
      <c r="AK254" s="9" t="n"/>
      <c r="AL254" s="9" t="n"/>
      <c r="AM254" s="9" t="n"/>
      <c r="AN254" s="9" t="n"/>
      <c r="AO254" s="9" t="n"/>
      <c r="AP254" s="9" t="n"/>
      <c r="AQ254" s="9" t="n"/>
      <c r="AR254" s="9" t="n"/>
      <c r="AS254" s="9" t="n"/>
      <c r="AT254" s="9" t="n"/>
      <c r="AU254" s="9" t="n"/>
      <c r="AV254" s="9" t="n"/>
      <c r="AW254" s="9" t="n"/>
      <c r="AX254" s="9" t="n"/>
      <c r="AY254" s="9" t="n"/>
      <c r="AZ254" s="9" t="n"/>
      <c r="BA254" s="9" t="n"/>
    </row>
    <row r="255" ht="15.75" customHeight="1" s="18">
      <c r="A255" s="3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I255" s="9" t="n"/>
      <c r="AJ255" s="9" t="n"/>
      <c r="AK255" s="9" t="n"/>
      <c r="AL255" s="9" t="n"/>
      <c r="AM255" s="9" t="n"/>
      <c r="AN255" s="9" t="n"/>
      <c r="AO255" s="9" t="n"/>
      <c r="AP255" s="9" t="n"/>
      <c r="AQ255" s="9" t="n"/>
      <c r="AR255" s="9" t="n"/>
      <c r="AS255" s="9" t="n"/>
      <c r="AT255" s="9" t="n"/>
      <c r="AU255" s="9" t="n"/>
      <c r="AV255" s="9" t="n"/>
      <c r="AW255" s="9" t="n"/>
      <c r="AX255" s="9" t="n"/>
      <c r="AY255" s="9" t="n"/>
      <c r="AZ255" s="9" t="n"/>
      <c r="BA255" s="9" t="n"/>
    </row>
    <row r="256" ht="15.75" customHeight="1" s="18">
      <c r="A256" s="3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  <c r="AH256" s="9" t="n"/>
      <c r="AI256" s="9" t="n"/>
      <c r="AJ256" s="9" t="n"/>
      <c r="AK256" s="9" t="n"/>
      <c r="AL256" s="9" t="n"/>
      <c r="AM256" s="9" t="n"/>
      <c r="AN256" s="9" t="n"/>
      <c r="AO256" s="9" t="n"/>
      <c r="AP256" s="9" t="n"/>
      <c r="AQ256" s="9" t="n"/>
      <c r="AR256" s="9" t="n"/>
      <c r="AS256" s="9" t="n"/>
      <c r="AT256" s="9" t="n"/>
      <c r="AU256" s="9" t="n"/>
      <c r="AV256" s="9" t="n"/>
      <c r="AW256" s="9" t="n"/>
      <c r="AX256" s="9" t="n"/>
      <c r="AY256" s="9" t="n"/>
      <c r="AZ256" s="9" t="n"/>
      <c r="BA256" s="9" t="n"/>
    </row>
    <row r="257" ht="15.75" customHeight="1" s="18">
      <c r="A257" s="3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  <c r="AH257" s="9" t="n"/>
      <c r="AI257" s="9" t="n"/>
      <c r="AJ257" s="9" t="n"/>
      <c r="AK257" s="9" t="n"/>
      <c r="AL257" s="9" t="n"/>
      <c r="AM257" s="9" t="n"/>
      <c r="AN257" s="9" t="n"/>
      <c r="AO257" s="9" t="n"/>
      <c r="AP257" s="9" t="n"/>
      <c r="AQ257" s="9" t="n"/>
      <c r="AR257" s="9" t="n"/>
      <c r="AS257" s="9" t="n"/>
      <c r="AT257" s="9" t="n"/>
      <c r="AU257" s="9" t="n"/>
      <c r="AV257" s="9" t="n"/>
      <c r="AW257" s="9" t="n"/>
      <c r="AX257" s="9" t="n"/>
      <c r="AY257" s="9" t="n"/>
      <c r="AZ257" s="9" t="n"/>
      <c r="BA257" s="9" t="n"/>
    </row>
    <row r="258" ht="15.75" customHeight="1" s="18">
      <c r="A258" s="3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  <c r="AH258" s="9" t="n"/>
      <c r="AI258" s="9" t="n"/>
      <c r="AJ258" s="9" t="n"/>
      <c r="AK258" s="9" t="n"/>
      <c r="AL258" s="9" t="n"/>
      <c r="AM258" s="9" t="n"/>
      <c r="AN258" s="9" t="n"/>
      <c r="AO258" s="9" t="n"/>
      <c r="AP258" s="9" t="n"/>
      <c r="AQ258" s="9" t="n"/>
      <c r="AR258" s="9" t="n"/>
      <c r="AS258" s="9" t="n"/>
      <c r="AT258" s="9" t="n"/>
      <c r="AU258" s="9" t="n"/>
      <c r="AV258" s="9" t="n"/>
      <c r="AW258" s="9" t="n"/>
      <c r="AX258" s="9" t="n"/>
      <c r="AY258" s="9" t="n"/>
      <c r="AZ258" s="9" t="n"/>
      <c r="BA258" s="9" t="n"/>
    </row>
    <row r="259" ht="15.75" customHeight="1" s="18">
      <c r="A259" s="3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  <c r="AH259" s="9" t="n"/>
      <c r="AI259" s="9" t="n"/>
      <c r="AJ259" s="9" t="n"/>
      <c r="AK259" s="9" t="n"/>
      <c r="AL259" s="9" t="n"/>
      <c r="AM259" s="9" t="n"/>
      <c r="AN259" s="9" t="n"/>
      <c r="AO259" s="9" t="n"/>
      <c r="AP259" s="9" t="n"/>
      <c r="AQ259" s="9" t="n"/>
      <c r="AR259" s="9" t="n"/>
      <c r="AS259" s="9" t="n"/>
      <c r="AT259" s="9" t="n"/>
      <c r="AU259" s="9" t="n"/>
      <c r="AV259" s="9" t="n"/>
      <c r="AW259" s="9" t="n"/>
      <c r="AX259" s="9" t="n"/>
      <c r="AY259" s="9" t="n"/>
      <c r="AZ259" s="9" t="n"/>
      <c r="BA259" s="9" t="n"/>
    </row>
    <row r="260" ht="15.75" customHeight="1" s="18">
      <c r="A260" s="3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  <c r="AH260" s="9" t="n"/>
      <c r="AI260" s="9" t="n"/>
      <c r="AJ260" s="9" t="n"/>
      <c r="AK260" s="9" t="n"/>
      <c r="AL260" s="9" t="n"/>
      <c r="AM260" s="9" t="n"/>
      <c r="AN260" s="9" t="n"/>
      <c r="AO260" s="9" t="n"/>
      <c r="AP260" s="9" t="n"/>
      <c r="AQ260" s="9" t="n"/>
      <c r="AR260" s="9" t="n"/>
      <c r="AS260" s="9" t="n"/>
      <c r="AT260" s="9" t="n"/>
      <c r="AU260" s="9" t="n"/>
      <c r="AV260" s="9" t="n"/>
      <c r="AW260" s="9" t="n"/>
      <c r="AX260" s="9" t="n"/>
      <c r="AY260" s="9" t="n"/>
      <c r="AZ260" s="9" t="n"/>
      <c r="BA260" s="9" t="n"/>
    </row>
    <row r="261" ht="15.75" customHeight="1" s="18">
      <c r="A261" s="3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  <c r="AH261" s="9" t="n"/>
      <c r="AI261" s="9" t="n"/>
      <c r="AJ261" s="9" t="n"/>
      <c r="AK261" s="9" t="n"/>
      <c r="AL261" s="9" t="n"/>
      <c r="AM261" s="9" t="n"/>
      <c r="AN261" s="9" t="n"/>
      <c r="AO261" s="9" t="n"/>
      <c r="AP261" s="9" t="n"/>
      <c r="AQ261" s="9" t="n"/>
      <c r="AR261" s="9" t="n"/>
      <c r="AS261" s="9" t="n"/>
      <c r="AT261" s="9" t="n"/>
      <c r="AU261" s="9" t="n"/>
      <c r="AV261" s="9" t="n"/>
      <c r="AW261" s="9" t="n"/>
      <c r="AX261" s="9" t="n"/>
      <c r="AY261" s="9" t="n"/>
      <c r="AZ261" s="9" t="n"/>
      <c r="BA261" s="9" t="n"/>
    </row>
    <row r="262" ht="15.75" customHeight="1" s="18">
      <c r="A262" s="3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  <c r="AH262" s="9" t="n"/>
      <c r="AI262" s="9" t="n"/>
      <c r="AJ262" s="9" t="n"/>
      <c r="AK262" s="9" t="n"/>
      <c r="AL262" s="9" t="n"/>
      <c r="AM262" s="9" t="n"/>
      <c r="AN262" s="9" t="n"/>
      <c r="AO262" s="9" t="n"/>
      <c r="AP262" s="9" t="n"/>
      <c r="AQ262" s="9" t="n"/>
      <c r="AR262" s="9" t="n"/>
      <c r="AS262" s="9" t="n"/>
      <c r="AT262" s="9" t="n"/>
      <c r="AU262" s="9" t="n"/>
      <c r="AV262" s="9" t="n"/>
      <c r="AW262" s="9" t="n"/>
      <c r="AX262" s="9" t="n"/>
      <c r="AY262" s="9" t="n"/>
      <c r="AZ262" s="9" t="n"/>
      <c r="BA262" s="9" t="n"/>
    </row>
    <row r="263" ht="15.75" customHeight="1" s="18">
      <c r="A263" s="3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  <c r="AH263" s="9" t="n"/>
      <c r="AI263" s="9" t="n"/>
      <c r="AJ263" s="9" t="n"/>
      <c r="AK263" s="9" t="n"/>
      <c r="AL263" s="9" t="n"/>
      <c r="AM263" s="9" t="n"/>
      <c r="AN263" s="9" t="n"/>
      <c r="AO263" s="9" t="n"/>
      <c r="AP263" s="9" t="n"/>
      <c r="AQ263" s="9" t="n"/>
      <c r="AR263" s="9" t="n"/>
      <c r="AS263" s="9" t="n"/>
      <c r="AT263" s="9" t="n"/>
      <c r="AU263" s="9" t="n"/>
      <c r="AV263" s="9" t="n"/>
      <c r="AW263" s="9" t="n"/>
      <c r="AX263" s="9" t="n"/>
      <c r="AY263" s="9" t="n"/>
      <c r="AZ263" s="9" t="n"/>
      <c r="BA263" s="9" t="n"/>
    </row>
    <row r="264" ht="15.75" customHeight="1" s="18">
      <c r="A264" s="3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  <c r="AH264" s="9" t="n"/>
      <c r="AI264" s="9" t="n"/>
      <c r="AJ264" s="9" t="n"/>
      <c r="AK264" s="9" t="n"/>
      <c r="AL264" s="9" t="n"/>
      <c r="AM264" s="9" t="n"/>
      <c r="AN264" s="9" t="n"/>
      <c r="AO264" s="9" t="n"/>
      <c r="AP264" s="9" t="n"/>
      <c r="AQ264" s="9" t="n"/>
      <c r="AR264" s="9" t="n"/>
      <c r="AS264" s="9" t="n"/>
      <c r="AT264" s="9" t="n"/>
      <c r="AU264" s="9" t="n"/>
      <c r="AV264" s="9" t="n"/>
      <c r="AW264" s="9" t="n"/>
      <c r="AX264" s="9" t="n"/>
      <c r="AY264" s="9" t="n"/>
      <c r="AZ264" s="9" t="n"/>
      <c r="BA264" s="9" t="n"/>
    </row>
    <row r="265" ht="15.75" customHeight="1" s="18">
      <c r="A265" s="3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  <c r="AH265" s="9" t="n"/>
      <c r="AI265" s="9" t="n"/>
      <c r="AJ265" s="9" t="n"/>
      <c r="AK265" s="9" t="n"/>
      <c r="AL265" s="9" t="n"/>
      <c r="AM265" s="9" t="n"/>
      <c r="AN265" s="9" t="n"/>
      <c r="AO265" s="9" t="n"/>
      <c r="AP265" s="9" t="n"/>
      <c r="AQ265" s="9" t="n"/>
      <c r="AR265" s="9" t="n"/>
      <c r="AS265" s="9" t="n"/>
      <c r="AT265" s="9" t="n"/>
      <c r="AU265" s="9" t="n"/>
      <c r="AV265" s="9" t="n"/>
      <c r="AW265" s="9" t="n"/>
      <c r="AX265" s="9" t="n"/>
      <c r="AY265" s="9" t="n"/>
      <c r="AZ265" s="9" t="n"/>
      <c r="BA265" s="9" t="n"/>
    </row>
    <row r="266" ht="15.75" customHeight="1" s="18">
      <c r="A266" s="3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  <c r="AH266" s="9" t="n"/>
      <c r="AI266" s="9" t="n"/>
      <c r="AJ266" s="9" t="n"/>
      <c r="AK266" s="9" t="n"/>
      <c r="AL266" s="9" t="n"/>
      <c r="AM266" s="9" t="n"/>
      <c r="AN266" s="9" t="n"/>
      <c r="AO266" s="9" t="n"/>
      <c r="AP266" s="9" t="n"/>
      <c r="AQ266" s="9" t="n"/>
      <c r="AR266" s="9" t="n"/>
      <c r="AS266" s="9" t="n"/>
      <c r="AT266" s="9" t="n"/>
      <c r="AU266" s="9" t="n"/>
      <c r="AV266" s="9" t="n"/>
      <c r="AW266" s="9" t="n"/>
      <c r="AX266" s="9" t="n"/>
      <c r="AY266" s="9" t="n"/>
      <c r="AZ266" s="9" t="n"/>
      <c r="BA266" s="9" t="n"/>
    </row>
    <row r="267" ht="15.75" customHeight="1" s="18">
      <c r="A267" s="3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  <c r="AH267" s="9" t="n"/>
      <c r="AI267" s="9" t="n"/>
      <c r="AJ267" s="9" t="n"/>
      <c r="AK267" s="9" t="n"/>
      <c r="AL267" s="9" t="n"/>
      <c r="AM267" s="9" t="n"/>
      <c r="AN267" s="9" t="n"/>
      <c r="AO267" s="9" t="n"/>
      <c r="AP267" s="9" t="n"/>
      <c r="AQ267" s="9" t="n"/>
      <c r="AR267" s="9" t="n"/>
      <c r="AS267" s="9" t="n"/>
      <c r="AT267" s="9" t="n"/>
      <c r="AU267" s="9" t="n"/>
      <c r="AV267" s="9" t="n"/>
      <c r="AW267" s="9" t="n"/>
      <c r="AX267" s="9" t="n"/>
      <c r="AY267" s="9" t="n"/>
      <c r="AZ267" s="9" t="n"/>
      <c r="BA267" s="9" t="n"/>
    </row>
    <row r="268" ht="15.75" customHeight="1" s="18">
      <c r="A268" s="3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  <c r="AH268" s="9" t="n"/>
      <c r="AI268" s="9" t="n"/>
      <c r="AJ268" s="9" t="n"/>
      <c r="AK268" s="9" t="n"/>
      <c r="AL268" s="9" t="n"/>
      <c r="AM268" s="9" t="n"/>
      <c r="AN268" s="9" t="n"/>
      <c r="AO268" s="9" t="n"/>
      <c r="AP268" s="9" t="n"/>
      <c r="AQ268" s="9" t="n"/>
      <c r="AR268" s="9" t="n"/>
      <c r="AS268" s="9" t="n"/>
      <c r="AT268" s="9" t="n"/>
      <c r="AU268" s="9" t="n"/>
      <c r="AV268" s="9" t="n"/>
      <c r="AW268" s="9" t="n"/>
      <c r="AX268" s="9" t="n"/>
      <c r="AY268" s="9" t="n"/>
      <c r="AZ268" s="9" t="n"/>
      <c r="BA268" s="9" t="n"/>
    </row>
    <row r="269" ht="15.75" customHeight="1" s="18">
      <c r="A269" s="3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  <c r="AH269" s="9" t="n"/>
      <c r="AI269" s="9" t="n"/>
      <c r="AJ269" s="9" t="n"/>
      <c r="AK269" s="9" t="n"/>
      <c r="AL269" s="9" t="n"/>
      <c r="AM269" s="9" t="n"/>
      <c r="AN269" s="9" t="n"/>
      <c r="AO269" s="9" t="n"/>
      <c r="AP269" s="9" t="n"/>
      <c r="AQ269" s="9" t="n"/>
      <c r="AR269" s="9" t="n"/>
      <c r="AS269" s="9" t="n"/>
      <c r="AT269" s="9" t="n"/>
      <c r="AU269" s="9" t="n"/>
      <c r="AV269" s="9" t="n"/>
      <c r="AW269" s="9" t="n"/>
      <c r="AX269" s="9" t="n"/>
      <c r="AY269" s="9" t="n"/>
      <c r="AZ269" s="9" t="n"/>
      <c r="BA269" s="9" t="n"/>
    </row>
    <row r="270" ht="15.75" customHeight="1" s="18">
      <c r="A270" s="3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  <c r="AH270" s="9" t="n"/>
      <c r="AI270" s="9" t="n"/>
      <c r="AJ270" s="9" t="n"/>
      <c r="AK270" s="9" t="n"/>
      <c r="AL270" s="9" t="n"/>
      <c r="AM270" s="9" t="n"/>
      <c r="AN270" s="9" t="n"/>
      <c r="AO270" s="9" t="n"/>
      <c r="AP270" s="9" t="n"/>
      <c r="AQ270" s="9" t="n"/>
      <c r="AR270" s="9" t="n"/>
      <c r="AS270" s="9" t="n"/>
      <c r="AT270" s="9" t="n"/>
      <c r="AU270" s="9" t="n"/>
      <c r="AV270" s="9" t="n"/>
      <c r="AW270" s="9" t="n"/>
      <c r="AX270" s="9" t="n"/>
      <c r="AY270" s="9" t="n"/>
      <c r="AZ270" s="9" t="n"/>
      <c r="BA270" s="9" t="n"/>
    </row>
    <row r="271" ht="15.75" customHeight="1" s="18">
      <c r="A271" s="3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  <c r="AH271" s="9" t="n"/>
      <c r="AI271" s="9" t="n"/>
      <c r="AJ271" s="9" t="n"/>
      <c r="AK271" s="9" t="n"/>
      <c r="AL271" s="9" t="n"/>
      <c r="AM271" s="9" t="n"/>
      <c r="AN271" s="9" t="n"/>
      <c r="AO271" s="9" t="n"/>
      <c r="AP271" s="9" t="n"/>
      <c r="AQ271" s="9" t="n"/>
      <c r="AR271" s="9" t="n"/>
      <c r="AS271" s="9" t="n"/>
      <c r="AT271" s="9" t="n"/>
      <c r="AU271" s="9" t="n"/>
      <c r="AV271" s="9" t="n"/>
      <c r="AW271" s="9" t="n"/>
      <c r="AX271" s="9" t="n"/>
      <c r="AY271" s="9" t="n"/>
      <c r="AZ271" s="9" t="n"/>
      <c r="BA271" s="9" t="n"/>
    </row>
    <row r="272" ht="15.75" customHeight="1" s="18">
      <c r="A272" s="3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  <c r="AH272" s="9" t="n"/>
      <c r="AI272" s="9" t="n"/>
      <c r="AJ272" s="9" t="n"/>
      <c r="AK272" s="9" t="n"/>
      <c r="AL272" s="9" t="n"/>
      <c r="AM272" s="9" t="n"/>
      <c r="AN272" s="9" t="n"/>
      <c r="AO272" s="9" t="n"/>
      <c r="AP272" s="9" t="n"/>
      <c r="AQ272" s="9" t="n"/>
      <c r="AR272" s="9" t="n"/>
      <c r="AS272" s="9" t="n"/>
      <c r="AT272" s="9" t="n"/>
      <c r="AU272" s="9" t="n"/>
      <c r="AV272" s="9" t="n"/>
      <c r="AW272" s="9" t="n"/>
      <c r="AX272" s="9" t="n"/>
      <c r="AY272" s="9" t="n"/>
      <c r="AZ272" s="9" t="n"/>
      <c r="BA272" s="9" t="n"/>
    </row>
    <row r="273" ht="15.75" customHeight="1" s="18">
      <c r="A273" s="3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  <c r="AH273" s="9" t="n"/>
      <c r="AI273" s="9" t="n"/>
      <c r="AJ273" s="9" t="n"/>
      <c r="AK273" s="9" t="n"/>
      <c r="AL273" s="9" t="n"/>
      <c r="AM273" s="9" t="n"/>
      <c r="AN273" s="9" t="n"/>
      <c r="AO273" s="9" t="n"/>
      <c r="AP273" s="9" t="n"/>
      <c r="AQ273" s="9" t="n"/>
      <c r="AR273" s="9" t="n"/>
      <c r="AS273" s="9" t="n"/>
      <c r="AT273" s="9" t="n"/>
      <c r="AU273" s="9" t="n"/>
      <c r="AV273" s="9" t="n"/>
      <c r="AW273" s="9" t="n"/>
      <c r="AX273" s="9" t="n"/>
      <c r="AY273" s="9" t="n"/>
      <c r="AZ273" s="9" t="n"/>
      <c r="BA273" s="9" t="n"/>
    </row>
    <row r="274" ht="15.75" customHeight="1" s="18">
      <c r="A274" s="3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  <c r="AH274" s="9" t="n"/>
      <c r="AI274" s="9" t="n"/>
      <c r="AJ274" s="9" t="n"/>
      <c r="AK274" s="9" t="n"/>
      <c r="AL274" s="9" t="n"/>
      <c r="AM274" s="9" t="n"/>
      <c r="AN274" s="9" t="n"/>
      <c r="AO274" s="9" t="n"/>
      <c r="AP274" s="9" t="n"/>
      <c r="AQ274" s="9" t="n"/>
      <c r="AR274" s="9" t="n"/>
      <c r="AS274" s="9" t="n"/>
      <c r="AT274" s="9" t="n"/>
      <c r="AU274" s="9" t="n"/>
      <c r="AV274" s="9" t="n"/>
      <c r="AW274" s="9" t="n"/>
      <c r="AX274" s="9" t="n"/>
      <c r="AY274" s="9" t="n"/>
      <c r="AZ274" s="9" t="n"/>
      <c r="BA274" s="9" t="n"/>
    </row>
    <row r="275" ht="15.75" customHeight="1" s="18">
      <c r="A275" s="3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  <c r="AH275" s="9" t="n"/>
      <c r="AI275" s="9" t="n"/>
      <c r="AJ275" s="9" t="n"/>
      <c r="AK275" s="9" t="n"/>
      <c r="AL275" s="9" t="n"/>
      <c r="AM275" s="9" t="n"/>
      <c r="AN275" s="9" t="n"/>
      <c r="AO275" s="9" t="n"/>
      <c r="AP275" s="9" t="n"/>
      <c r="AQ275" s="9" t="n"/>
      <c r="AR275" s="9" t="n"/>
      <c r="AS275" s="9" t="n"/>
      <c r="AT275" s="9" t="n"/>
      <c r="AU275" s="9" t="n"/>
      <c r="AV275" s="9" t="n"/>
      <c r="AW275" s="9" t="n"/>
      <c r="AX275" s="9" t="n"/>
      <c r="AY275" s="9" t="n"/>
      <c r="AZ275" s="9" t="n"/>
      <c r="BA275" s="9" t="n"/>
    </row>
    <row r="276" ht="15.75" customHeight="1" s="18">
      <c r="A276" s="3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  <c r="AH276" s="9" t="n"/>
      <c r="AI276" s="9" t="n"/>
      <c r="AJ276" s="9" t="n"/>
      <c r="AK276" s="9" t="n"/>
      <c r="AL276" s="9" t="n"/>
      <c r="AM276" s="9" t="n"/>
      <c r="AN276" s="9" t="n"/>
      <c r="AO276" s="9" t="n"/>
      <c r="AP276" s="9" t="n"/>
      <c r="AQ276" s="9" t="n"/>
      <c r="AR276" s="9" t="n"/>
      <c r="AS276" s="9" t="n"/>
      <c r="AT276" s="9" t="n"/>
      <c r="AU276" s="9" t="n"/>
      <c r="AV276" s="9" t="n"/>
      <c r="AW276" s="9" t="n"/>
      <c r="AX276" s="9" t="n"/>
      <c r="AY276" s="9" t="n"/>
      <c r="AZ276" s="9" t="n"/>
      <c r="BA276" s="9" t="n"/>
    </row>
    <row r="277" ht="15.75" customHeight="1" s="18">
      <c r="A277" s="3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  <c r="AH277" s="9" t="n"/>
      <c r="AI277" s="9" t="n"/>
      <c r="AJ277" s="9" t="n"/>
      <c r="AK277" s="9" t="n"/>
      <c r="AL277" s="9" t="n"/>
      <c r="AM277" s="9" t="n"/>
      <c r="AN277" s="9" t="n"/>
      <c r="AO277" s="9" t="n"/>
      <c r="AP277" s="9" t="n"/>
      <c r="AQ277" s="9" t="n"/>
      <c r="AR277" s="9" t="n"/>
      <c r="AS277" s="9" t="n"/>
      <c r="AT277" s="9" t="n"/>
      <c r="AU277" s="9" t="n"/>
      <c r="AV277" s="9" t="n"/>
      <c r="AW277" s="9" t="n"/>
      <c r="AX277" s="9" t="n"/>
      <c r="AY277" s="9" t="n"/>
      <c r="AZ277" s="9" t="n"/>
      <c r="BA277" s="9" t="n"/>
    </row>
    <row r="278" ht="15.75" customHeight="1" s="18">
      <c r="A278" s="3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  <c r="AH278" s="9" t="n"/>
      <c r="AI278" s="9" t="n"/>
      <c r="AJ278" s="9" t="n"/>
      <c r="AK278" s="9" t="n"/>
      <c r="AL278" s="9" t="n"/>
      <c r="AM278" s="9" t="n"/>
      <c r="AN278" s="9" t="n"/>
      <c r="AO278" s="9" t="n"/>
      <c r="AP278" s="9" t="n"/>
      <c r="AQ278" s="9" t="n"/>
      <c r="AR278" s="9" t="n"/>
      <c r="AS278" s="9" t="n"/>
      <c r="AT278" s="9" t="n"/>
      <c r="AU278" s="9" t="n"/>
      <c r="AV278" s="9" t="n"/>
      <c r="AW278" s="9" t="n"/>
      <c r="AX278" s="9" t="n"/>
      <c r="AY278" s="9" t="n"/>
      <c r="AZ278" s="9" t="n"/>
      <c r="BA278" s="9" t="n"/>
    </row>
    <row r="279" ht="15.75" customHeight="1" s="18">
      <c r="A279" s="3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  <c r="AH279" s="9" t="n"/>
      <c r="AI279" s="9" t="n"/>
      <c r="AJ279" s="9" t="n"/>
      <c r="AK279" s="9" t="n"/>
      <c r="AL279" s="9" t="n"/>
      <c r="AM279" s="9" t="n"/>
      <c r="AN279" s="9" t="n"/>
      <c r="AO279" s="9" t="n"/>
      <c r="AP279" s="9" t="n"/>
      <c r="AQ279" s="9" t="n"/>
      <c r="AR279" s="9" t="n"/>
      <c r="AS279" s="9" t="n"/>
      <c r="AT279" s="9" t="n"/>
      <c r="AU279" s="9" t="n"/>
      <c r="AV279" s="9" t="n"/>
      <c r="AW279" s="9" t="n"/>
      <c r="AX279" s="9" t="n"/>
      <c r="AY279" s="9" t="n"/>
      <c r="AZ279" s="9" t="n"/>
      <c r="BA279" s="9" t="n"/>
    </row>
    <row r="280" ht="15.75" customHeight="1" s="18">
      <c r="A280" s="3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  <c r="AH280" s="9" t="n"/>
      <c r="AI280" s="9" t="n"/>
      <c r="AJ280" s="9" t="n"/>
      <c r="AK280" s="9" t="n"/>
      <c r="AL280" s="9" t="n"/>
      <c r="AM280" s="9" t="n"/>
      <c r="AN280" s="9" t="n"/>
      <c r="AO280" s="9" t="n"/>
      <c r="AP280" s="9" t="n"/>
      <c r="AQ280" s="9" t="n"/>
      <c r="AR280" s="9" t="n"/>
      <c r="AS280" s="9" t="n"/>
      <c r="AT280" s="9" t="n"/>
      <c r="AU280" s="9" t="n"/>
      <c r="AV280" s="9" t="n"/>
      <c r="AW280" s="9" t="n"/>
      <c r="AX280" s="9" t="n"/>
      <c r="AY280" s="9" t="n"/>
      <c r="AZ280" s="9" t="n"/>
      <c r="BA280" s="9" t="n"/>
    </row>
    <row r="281" ht="15.75" customHeight="1" s="18">
      <c r="A281" s="3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  <c r="AH281" s="9" t="n"/>
      <c r="AI281" s="9" t="n"/>
      <c r="AJ281" s="9" t="n"/>
      <c r="AK281" s="9" t="n"/>
      <c r="AL281" s="9" t="n"/>
      <c r="AM281" s="9" t="n"/>
      <c r="AN281" s="9" t="n"/>
      <c r="AO281" s="9" t="n"/>
      <c r="AP281" s="9" t="n"/>
      <c r="AQ281" s="9" t="n"/>
      <c r="AR281" s="9" t="n"/>
      <c r="AS281" s="9" t="n"/>
      <c r="AT281" s="9" t="n"/>
      <c r="AU281" s="9" t="n"/>
      <c r="AV281" s="9" t="n"/>
      <c r="AW281" s="9" t="n"/>
      <c r="AX281" s="9" t="n"/>
      <c r="AY281" s="9" t="n"/>
      <c r="AZ281" s="9" t="n"/>
      <c r="BA281" s="9" t="n"/>
    </row>
    <row r="282" ht="15.75" customHeight="1" s="18">
      <c r="A282" s="3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  <c r="AH282" s="9" t="n"/>
      <c r="AI282" s="9" t="n"/>
      <c r="AJ282" s="9" t="n"/>
      <c r="AK282" s="9" t="n"/>
      <c r="AL282" s="9" t="n"/>
      <c r="AM282" s="9" t="n"/>
      <c r="AN282" s="9" t="n"/>
      <c r="AO282" s="9" t="n"/>
      <c r="AP282" s="9" t="n"/>
      <c r="AQ282" s="9" t="n"/>
      <c r="AR282" s="9" t="n"/>
      <c r="AS282" s="9" t="n"/>
      <c r="AT282" s="9" t="n"/>
      <c r="AU282" s="9" t="n"/>
      <c r="AV282" s="9" t="n"/>
      <c r="AW282" s="9" t="n"/>
      <c r="AX282" s="9" t="n"/>
      <c r="AY282" s="9" t="n"/>
      <c r="AZ282" s="9" t="n"/>
      <c r="BA282" s="9" t="n"/>
    </row>
    <row r="283" ht="15.75" customHeight="1" s="18">
      <c r="A283" s="3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  <c r="AH283" s="9" t="n"/>
      <c r="AI283" s="9" t="n"/>
      <c r="AJ283" s="9" t="n"/>
      <c r="AK283" s="9" t="n"/>
      <c r="AL283" s="9" t="n"/>
      <c r="AM283" s="9" t="n"/>
      <c r="AN283" s="9" t="n"/>
      <c r="AO283" s="9" t="n"/>
      <c r="AP283" s="9" t="n"/>
      <c r="AQ283" s="9" t="n"/>
      <c r="AR283" s="9" t="n"/>
      <c r="AS283" s="9" t="n"/>
      <c r="AT283" s="9" t="n"/>
      <c r="AU283" s="9" t="n"/>
      <c r="AV283" s="9" t="n"/>
      <c r="AW283" s="9" t="n"/>
      <c r="AX283" s="9" t="n"/>
      <c r="AY283" s="9" t="n"/>
      <c r="AZ283" s="9" t="n"/>
      <c r="BA283" s="9" t="n"/>
    </row>
    <row r="284" ht="15.75" customHeight="1" s="18">
      <c r="A284" s="3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  <c r="AH284" s="9" t="n"/>
      <c r="AI284" s="9" t="n"/>
      <c r="AJ284" s="9" t="n"/>
      <c r="AK284" s="9" t="n"/>
      <c r="AL284" s="9" t="n"/>
      <c r="AM284" s="9" t="n"/>
      <c r="AN284" s="9" t="n"/>
      <c r="AO284" s="9" t="n"/>
      <c r="AP284" s="9" t="n"/>
      <c r="AQ284" s="9" t="n"/>
      <c r="AR284" s="9" t="n"/>
      <c r="AS284" s="9" t="n"/>
      <c r="AT284" s="9" t="n"/>
      <c r="AU284" s="9" t="n"/>
      <c r="AV284" s="9" t="n"/>
      <c r="AW284" s="9" t="n"/>
      <c r="AX284" s="9" t="n"/>
      <c r="AY284" s="9" t="n"/>
      <c r="AZ284" s="9" t="n"/>
      <c r="BA284" s="9" t="n"/>
    </row>
    <row r="285" ht="15.75" customHeight="1" s="18">
      <c r="A285" s="3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  <c r="AH285" s="9" t="n"/>
      <c r="AI285" s="9" t="n"/>
      <c r="AJ285" s="9" t="n"/>
      <c r="AK285" s="9" t="n"/>
      <c r="AL285" s="9" t="n"/>
      <c r="AM285" s="9" t="n"/>
      <c r="AN285" s="9" t="n"/>
      <c r="AO285" s="9" t="n"/>
      <c r="AP285" s="9" t="n"/>
      <c r="AQ285" s="9" t="n"/>
      <c r="AR285" s="9" t="n"/>
      <c r="AS285" s="9" t="n"/>
      <c r="AT285" s="9" t="n"/>
      <c r="AU285" s="9" t="n"/>
      <c r="AV285" s="9" t="n"/>
      <c r="AW285" s="9" t="n"/>
      <c r="AX285" s="9" t="n"/>
      <c r="AY285" s="9" t="n"/>
      <c r="AZ285" s="9" t="n"/>
      <c r="BA285" s="9" t="n"/>
    </row>
    <row r="286" ht="15.75" customHeight="1" s="18">
      <c r="A286" s="3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  <c r="AH286" s="9" t="n"/>
      <c r="AI286" s="9" t="n"/>
      <c r="AJ286" s="9" t="n"/>
      <c r="AK286" s="9" t="n"/>
      <c r="AL286" s="9" t="n"/>
      <c r="AM286" s="9" t="n"/>
      <c r="AN286" s="9" t="n"/>
      <c r="AO286" s="9" t="n"/>
      <c r="AP286" s="9" t="n"/>
      <c r="AQ286" s="9" t="n"/>
      <c r="AR286" s="9" t="n"/>
      <c r="AS286" s="9" t="n"/>
      <c r="AT286" s="9" t="n"/>
      <c r="AU286" s="9" t="n"/>
      <c r="AV286" s="9" t="n"/>
      <c r="AW286" s="9" t="n"/>
      <c r="AX286" s="9" t="n"/>
      <c r="AY286" s="9" t="n"/>
      <c r="AZ286" s="9" t="n"/>
      <c r="BA286" s="9" t="n"/>
    </row>
    <row r="287" ht="15.75" customHeight="1" s="18">
      <c r="A287" s="3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  <c r="AH287" s="9" t="n"/>
      <c r="AI287" s="9" t="n"/>
      <c r="AJ287" s="9" t="n"/>
      <c r="AK287" s="9" t="n"/>
      <c r="AL287" s="9" t="n"/>
      <c r="AM287" s="9" t="n"/>
      <c r="AN287" s="9" t="n"/>
      <c r="AO287" s="9" t="n"/>
      <c r="AP287" s="9" t="n"/>
      <c r="AQ287" s="9" t="n"/>
      <c r="AR287" s="9" t="n"/>
      <c r="AS287" s="9" t="n"/>
      <c r="AT287" s="9" t="n"/>
      <c r="AU287" s="9" t="n"/>
      <c r="AV287" s="9" t="n"/>
      <c r="AW287" s="9" t="n"/>
      <c r="AX287" s="9" t="n"/>
      <c r="AY287" s="9" t="n"/>
      <c r="AZ287" s="9" t="n"/>
      <c r="BA287" s="9" t="n"/>
    </row>
    <row r="288" ht="15.75" customHeight="1" s="18">
      <c r="A288" s="3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  <c r="AH288" s="9" t="n"/>
      <c r="AI288" s="9" t="n"/>
      <c r="AJ288" s="9" t="n"/>
      <c r="AK288" s="9" t="n"/>
      <c r="AL288" s="9" t="n"/>
      <c r="AM288" s="9" t="n"/>
      <c r="AN288" s="9" t="n"/>
      <c r="AO288" s="9" t="n"/>
      <c r="AP288" s="9" t="n"/>
      <c r="AQ288" s="9" t="n"/>
      <c r="AR288" s="9" t="n"/>
      <c r="AS288" s="9" t="n"/>
      <c r="AT288" s="9" t="n"/>
      <c r="AU288" s="9" t="n"/>
      <c r="AV288" s="9" t="n"/>
      <c r="AW288" s="9" t="n"/>
      <c r="AX288" s="9" t="n"/>
      <c r="AY288" s="9" t="n"/>
      <c r="AZ288" s="9" t="n"/>
      <c r="BA288" s="9" t="n"/>
    </row>
    <row r="289" ht="15.75" customHeight="1" s="18">
      <c r="A289" s="3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  <c r="AH289" s="9" t="n"/>
      <c r="AI289" s="9" t="n"/>
      <c r="AJ289" s="9" t="n"/>
      <c r="AK289" s="9" t="n"/>
      <c r="AL289" s="9" t="n"/>
      <c r="AM289" s="9" t="n"/>
      <c r="AN289" s="9" t="n"/>
      <c r="AO289" s="9" t="n"/>
      <c r="AP289" s="9" t="n"/>
      <c r="AQ289" s="9" t="n"/>
      <c r="AR289" s="9" t="n"/>
      <c r="AS289" s="9" t="n"/>
      <c r="AT289" s="9" t="n"/>
      <c r="AU289" s="9" t="n"/>
      <c r="AV289" s="9" t="n"/>
      <c r="AW289" s="9" t="n"/>
      <c r="AX289" s="9" t="n"/>
      <c r="AY289" s="9" t="n"/>
      <c r="AZ289" s="9" t="n"/>
      <c r="BA289" s="9" t="n"/>
    </row>
    <row r="290" ht="15.75" customHeight="1" s="18">
      <c r="A290" s="3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  <c r="AH290" s="9" t="n"/>
      <c r="AI290" s="9" t="n"/>
      <c r="AJ290" s="9" t="n"/>
      <c r="AK290" s="9" t="n"/>
      <c r="AL290" s="9" t="n"/>
      <c r="AM290" s="9" t="n"/>
      <c r="AN290" s="9" t="n"/>
      <c r="AO290" s="9" t="n"/>
      <c r="AP290" s="9" t="n"/>
      <c r="AQ290" s="9" t="n"/>
      <c r="AR290" s="9" t="n"/>
      <c r="AS290" s="9" t="n"/>
      <c r="AT290" s="9" t="n"/>
      <c r="AU290" s="9" t="n"/>
      <c r="AV290" s="9" t="n"/>
      <c r="AW290" s="9" t="n"/>
      <c r="AX290" s="9" t="n"/>
      <c r="AY290" s="9" t="n"/>
      <c r="AZ290" s="9" t="n"/>
      <c r="BA290" s="9" t="n"/>
    </row>
    <row r="291" ht="15.75" customHeight="1" s="18">
      <c r="A291" s="3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  <c r="AH291" s="9" t="n"/>
      <c r="AI291" s="9" t="n"/>
      <c r="AJ291" s="9" t="n"/>
      <c r="AK291" s="9" t="n"/>
      <c r="AL291" s="9" t="n"/>
      <c r="AM291" s="9" t="n"/>
      <c r="AN291" s="9" t="n"/>
      <c r="AO291" s="9" t="n"/>
      <c r="AP291" s="9" t="n"/>
      <c r="AQ291" s="9" t="n"/>
      <c r="AR291" s="9" t="n"/>
      <c r="AS291" s="9" t="n"/>
      <c r="AT291" s="9" t="n"/>
      <c r="AU291" s="9" t="n"/>
      <c r="AV291" s="9" t="n"/>
      <c r="AW291" s="9" t="n"/>
      <c r="AX291" s="9" t="n"/>
      <c r="AY291" s="9" t="n"/>
      <c r="AZ291" s="9" t="n"/>
      <c r="BA291" s="9" t="n"/>
    </row>
    <row r="292" ht="15.75" customHeight="1" s="18">
      <c r="A292" s="3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  <c r="AH292" s="9" t="n"/>
      <c r="AI292" s="9" t="n"/>
      <c r="AJ292" s="9" t="n"/>
      <c r="AK292" s="9" t="n"/>
      <c r="AL292" s="9" t="n"/>
      <c r="AM292" s="9" t="n"/>
      <c r="AN292" s="9" t="n"/>
      <c r="AO292" s="9" t="n"/>
      <c r="AP292" s="9" t="n"/>
      <c r="AQ292" s="9" t="n"/>
      <c r="AR292" s="9" t="n"/>
      <c r="AS292" s="9" t="n"/>
      <c r="AT292" s="9" t="n"/>
      <c r="AU292" s="9" t="n"/>
      <c r="AV292" s="9" t="n"/>
      <c r="AW292" s="9" t="n"/>
      <c r="AX292" s="9" t="n"/>
      <c r="AY292" s="9" t="n"/>
      <c r="AZ292" s="9" t="n"/>
      <c r="BA292" s="9" t="n"/>
    </row>
    <row r="293" ht="15.75" customHeight="1" s="18">
      <c r="A293" s="3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  <c r="AH293" s="9" t="n"/>
      <c r="AI293" s="9" t="n"/>
      <c r="AJ293" s="9" t="n"/>
      <c r="AK293" s="9" t="n"/>
      <c r="AL293" s="9" t="n"/>
      <c r="AM293" s="9" t="n"/>
      <c r="AN293" s="9" t="n"/>
      <c r="AO293" s="9" t="n"/>
      <c r="AP293" s="9" t="n"/>
      <c r="AQ293" s="9" t="n"/>
      <c r="AR293" s="9" t="n"/>
      <c r="AS293" s="9" t="n"/>
      <c r="AT293" s="9" t="n"/>
      <c r="AU293" s="9" t="n"/>
      <c r="AV293" s="9" t="n"/>
      <c r="AW293" s="9" t="n"/>
      <c r="AX293" s="9" t="n"/>
      <c r="AY293" s="9" t="n"/>
      <c r="AZ293" s="9" t="n"/>
      <c r="BA293" s="9" t="n"/>
    </row>
    <row r="294" ht="15.75" customHeight="1" s="18">
      <c r="A294" s="3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  <c r="AH294" s="9" t="n"/>
      <c r="AI294" s="9" t="n"/>
      <c r="AJ294" s="9" t="n"/>
      <c r="AK294" s="9" t="n"/>
      <c r="AL294" s="9" t="n"/>
      <c r="AM294" s="9" t="n"/>
      <c r="AN294" s="9" t="n"/>
      <c r="AO294" s="9" t="n"/>
      <c r="AP294" s="9" t="n"/>
      <c r="AQ294" s="9" t="n"/>
      <c r="AR294" s="9" t="n"/>
      <c r="AS294" s="9" t="n"/>
      <c r="AT294" s="9" t="n"/>
      <c r="AU294" s="9" t="n"/>
      <c r="AV294" s="9" t="n"/>
      <c r="AW294" s="9" t="n"/>
      <c r="AX294" s="9" t="n"/>
      <c r="AY294" s="9" t="n"/>
      <c r="AZ294" s="9" t="n"/>
      <c r="BA294" s="9" t="n"/>
    </row>
    <row r="295" ht="15.75" customHeight="1" s="18">
      <c r="A295" s="3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  <c r="AH295" s="9" t="n"/>
      <c r="AI295" s="9" t="n"/>
      <c r="AJ295" s="9" t="n"/>
      <c r="AK295" s="9" t="n"/>
      <c r="AL295" s="9" t="n"/>
      <c r="AM295" s="9" t="n"/>
      <c r="AN295" s="9" t="n"/>
      <c r="AO295" s="9" t="n"/>
      <c r="AP295" s="9" t="n"/>
      <c r="AQ295" s="9" t="n"/>
      <c r="AR295" s="9" t="n"/>
      <c r="AS295" s="9" t="n"/>
      <c r="AT295" s="9" t="n"/>
      <c r="AU295" s="9" t="n"/>
      <c r="AV295" s="9" t="n"/>
      <c r="AW295" s="9" t="n"/>
      <c r="AX295" s="9" t="n"/>
      <c r="AY295" s="9" t="n"/>
      <c r="AZ295" s="9" t="n"/>
      <c r="BA295" s="9" t="n"/>
    </row>
    <row r="296" ht="15.75" customHeight="1" s="18">
      <c r="A296" s="3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  <c r="AH296" s="9" t="n"/>
      <c r="AI296" s="9" t="n"/>
      <c r="AJ296" s="9" t="n"/>
      <c r="AK296" s="9" t="n"/>
      <c r="AL296" s="9" t="n"/>
      <c r="AM296" s="9" t="n"/>
      <c r="AN296" s="9" t="n"/>
      <c r="AO296" s="9" t="n"/>
      <c r="AP296" s="9" t="n"/>
      <c r="AQ296" s="9" t="n"/>
      <c r="AR296" s="9" t="n"/>
      <c r="AS296" s="9" t="n"/>
      <c r="AT296" s="9" t="n"/>
      <c r="AU296" s="9" t="n"/>
      <c r="AV296" s="9" t="n"/>
      <c r="AW296" s="9" t="n"/>
      <c r="AX296" s="9" t="n"/>
      <c r="AY296" s="9" t="n"/>
      <c r="AZ296" s="9" t="n"/>
      <c r="BA296" s="9" t="n"/>
    </row>
    <row r="297" ht="15.75" customHeight="1" s="18">
      <c r="A297" s="3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  <c r="AH297" s="9" t="n"/>
      <c r="AI297" s="9" t="n"/>
      <c r="AJ297" s="9" t="n"/>
      <c r="AK297" s="9" t="n"/>
      <c r="AL297" s="9" t="n"/>
      <c r="AM297" s="9" t="n"/>
      <c r="AN297" s="9" t="n"/>
      <c r="AO297" s="9" t="n"/>
      <c r="AP297" s="9" t="n"/>
      <c r="AQ297" s="9" t="n"/>
      <c r="AR297" s="9" t="n"/>
      <c r="AS297" s="9" t="n"/>
      <c r="AT297" s="9" t="n"/>
      <c r="AU297" s="9" t="n"/>
      <c r="AV297" s="9" t="n"/>
      <c r="AW297" s="9" t="n"/>
      <c r="AX297" s="9" t="n"/>
      <c r="AY297" s="9" t="n"/>
      <c r="AZ297" s="9" t="n"/>
      <c r="BA297" s="9" t="n"/>
    </row>
    <row r="298" ht="15.75" customHeight="1" s="18">
      <c r="A298" s="3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  <c r="AH298" s="9" t="n"/>
      <c r="AI298" s="9" t="n"/>
      <c r="AJ298" s="9" t="n"/>
      <c r="AK298" s="9" t="n"/>
      <c r="AL298" s="9" t="n"/>
      <c r="AM298" s="9" t="n"/>
      <c r="AN298" s="9" t="n"/>
      <c r="AO298" s="9" t="n"/>
      <c r="AP298" s="9" t="n"/>
      <c r="AQ298" s="9" t="n"/>
      <c r="AR298" s="9" t="n"/>
      <c r="AS298" s="9" t="n"/>
      <c r="AT298" s="9" t="n"/>
      <c r="AU298" s="9" t="n"/>
      <c r="AV298" s="9" t="n"/>
      <c r="AW298" s="9" t="n"/>
      <c r="AX298" s="9" t="n"/>
      <c r="AY298" s="9" t="n"/>
      <c r="AZ298" s="9" t="n"/>
      <c r="BA298" s="9" t="n"/>
    </row>
    <row r="299" ht="15.75" customHeight="1" s="18">
      <c r="A299" s="3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  <c r="AH299" s="9" t="n"/>
      <c r="AI299" s="9" t="n"/>
      <c r="AJ299" s="9" t="n"/>
      <c r="AK299" s="9" t="n"/>
      <c r="AL299" s="9" t="n"/>
      <c r="AM299" s="9" t="n"/>
      <c r="AN299" s="9" t="n"/>
      <c r="AO299" s="9" t="n"/>
      <c r="AP299" s="9" t="n"/>
      <c r="AQ299" s="9" t="n"/>
      <c r="AR299" s="9" t="n"/>
      <c r="AS299" s="9" t="n"/>
      <c r="AT299" s="9" t="n"/>
      <c r="AU299" s="9" t="n"/>
      <c r="AV299" s="9" t="n"/>
      <c r="AW299" s="9" t="n"/>
      <c r="AX299" s="9" t="n"/>
      <c r="AY299" s="9" t="n"/>
      <c r="AZ299" s="9" t="n"/>
      <c r="BA299" s="9" t="n"/>
    </row>
    <row r="300" ht="15.75" customHeight="1" s="18">
      <c r="A300" s="3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  <c r="AH300" s="9" t="n"/>
      <c r="AI300" s="9" t="n"/>
      <c r="AJ300" s="9" t="n"/>
      <c r="AK300" s="9" t="n"/>
      <c r="AL300" s="9" t="n"/>
      <c r="AM300" s="9" t="n"/>
      <c r="AN300" s="9" t="n"/>
      <c r="AO300" s="9" t="n"/>
      <c r="AP300" s="9" t="n"/>
      <c r="AQ300" s="9" t="n"/>
      <c r="AR300" s="9" t="n"/>
      <c r="AS300" s="9" t="n"/>
      <c r="AT300" s="9" t="n"/>
      <c r="AU300" s="9" t="n"/>
      <c r="AV300" s="9" t="n"/>
      <c r="AW300" s="9" t="n"/>
      <c r="AX300" s="9" t="n"/>
      <c r="AY300" s="9" t="n"/>
      <c r="AZ300" s="9" t="n"/>
      <c r="BA300" s="9" t="n"/>
    </row>
    <row r="301" ht="15.75" customHeight="1" s="18">
      <c r="A301" s="3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  <c r="AH301" s="9" t="n"/>
      <c r="AI301" s="9" t="n"/>
      <c r="AJ301" s="9" t="n"/>
      <c r="AK301" s="9" t="n"/>
      <c r="AL301" s="9" t="n"/>
      <c r="AM301" s="9" t="n"/>
      <c r="AN301" s="9" t="n"/>
      <c r="AO301" s="9" t="n"/>
      <c r="AP301" s="9" t="n"/>
      <c r="AQ301" s="9" t="n"/>
      <c r="AR301" s="9" t="n"/>
      <c r="AS301" s="9" t="n"/>
      <c r="AT301" s="9" t="n"/>
      <c r="AU301" s="9" t="n"/>
      <c r="AV301" s="9" t="n"/>
      <c r="AW301" s="9" t="n"/>
      <c r="AX301" s="9" t="n"/>
      <c r="AY301" s="9" t="n"/>
      <c r="AZ301" s="9" t="n"/>
      <c r="BA301" s="9" t="n"/>
    </row>
    <row r="302" ht="15.75" customHeight="1" s="18">
      <c r="A302" s="3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  <c r="AH302" s="9" t="n"/>
      <c r="AI302" s="9" t="n"/>
      <c r="AJ302" s="9" t="n"/>
      <c r="AK302" s="9" t="n"/>
      <c r="AL302" s="9" t="n"/>
      <c r="AM302" s="9" t="n"/>
      <c r="AN302" s="9" t="n"/>
      <c r="AO302" s="9" t="n"/>
      <c r="AP302" s="9" t="n"/>
      <c r="AQ302" s="9" t="n"/>
      <c r="AR302" s="9" t="n"/>
      <c r="AS302" s="9" t="n"/>
      <c r="AT302" s="9" t="n"/>
      <c r="AU302" s="9" t="n"/>
      <c r="AV302" s="9" t="n"/>
      <c r="AW302" s="9" t="n"/>
      <c r="AX302" s="9" t="n"/>
      <c r="AY302" s="9" t="n"/>
      <c r="AZ302" s="9" t="n"/>
      <c r="BA302" s="9" t="n"/>
    </row>
    <row r="303" ht="15.75" customHeight="1" s="18">
      <c r="A303" s="3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  <c r="AH303" s="9" t="n"/>
      <c r="AI303" s="9" t="n"/>
      <c r="AJ303" s="9" t="n"/>
      <c r="AK303" s="9" t="n"/>
      <c r="AL303" s="9" t="n"/>
      <c r="AM303" s="9" t="n"/>
      <c r="AN303" s="9" t="n"/>
      <c r="AO303" s="9" t="n"/>
      <c r="AP303" s="9" t="n"/>
      <c r="AQ303" s="9" t="n"/>
      <c r="AR303" s="9" t="n"/>
      <c r="AS303" s="9" t="n"/>
      <c r="AT303" s="9" t="n"/>
      <c r="AU303" s="9" t="n"/>
      <c r="AV303" s="9" t="n"/>
      <c r="AW303" s="9" t="n"/>
      <c r="AX303" s="9" t="n"/>
      <c r="AY303" s="9" t="n"/>
      <c r="AZ303" s="9" t="n"/>
      <c r="BA303" s="9" t="n"/>
    </row>
    <row r="304" ht="15.75" customHeight="1" s="18">
      <c r="A304" s="3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  <c r="AH304" s="9" t="n"/>
      <c r="AI304" s="9" t="n"/>
      <c r="AJ304" s="9" t="n"/>
      <c r="AK304" s="9" t="n"/>
      <c r="AL304" s="9" t="n"/>
      <c r="AM304" s="9" t="n"/>
      <c r="AN304" s="9" t="n"/>
      <c r="AO304" s="9" t="n"/>
      <c r="AP304" s="9" t="n"/>
      <c r="AQ304" s="9" t="n"/>
      <c r="AR304" s="9" t="n"/>
      <c r="AS304" s="9" t="n"/>
      <c r="AT304" s="9" t="n"/>
      <c r="AU304" s="9" t="n"/>
      <c r="AV304" s="9" t="n"/>
      <c r="AW304" s="9" t="n"/>
      <c r="AX304" s="9" t="n"/>
      <c r="AY304" s="9" t="n"/>
      <c r="AZ304" s="9" t="n"/>
      <c r="BA304" s="9" t="n"/>
    </row>
    <row r="305" ht="15.75" customHeight="1" s="18">
      <c r="A305" s="3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  <c r="AH305" s="9" t="n"/>
      <c r="AI305" s="9" t="n"/>
      <c r="AJ305" s="9" t="n"/>
      <c r="AK305" s="9" t="n"/>
      <c r="AL305" s="9" t="n"/>
      <c r="AM305" s="9" t="n"/>
      <c r="AN305" s="9" t="n"/>
      <c r="AO305" s="9" t="n"/>
      <c r="AP305" s="9" t="n"/>
      <c r="AQ305" s="9" t="n"/>
      <c r="AR305" s="9" t="n"/>
      <c r="AS305" s="9" t="n"/>
      <c r="AT305" s="9" t="n"/>
      <c r="AU305" s="9" t="n"/>
      <c r="AV305" s="9" t="n"/>
      <c r="AW305" s="9" t="n"/>
      <c r="AX305" s="9" t="n"/>
      <c r="AY305" s="9" t="n"/>
      <c r="AZ305" s="9" t="n"/>
      <c r="BA305" s="9" t="n"/>
    </row>
    <row r="306" ht="15.75" customHeight="1" s="18">
      <c r="A306" s="3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  <c r="AH306" s="9" t="n"/>
      <c r="AI306" s="9" t="n"/>
      <c r="AJ306" s="9" t="n"/>
      <c r="AK306" s="9" t="n"/>
      <c r="AL306" s="9" t="n"/>
      <c r="AM306" s="9" t="n"/>
      <c r="AN306" s="9" t="n"/>
      <c r="AO306" s="9" t="n"/>
      <c r="AP306" s="9" t="n"/>
      <c r="AQ306" s="9" t="n"/>
      <c r="AR306" s="9" t="n"/>
      <c r="AS306" s="9" t="n"/>
      <c r="AT306" s="9" t="n"/>
      <c r="AU306" s="9" t="n"/>
      <c r="AV306" s="9" t="n"/>
      <c r="AW306" s="9" t="n"/>
      <c r="AX306" s="9" t="n"/>
      <c r="AY306" s="9" t="n"/>
      <c r="AZ306" s="9" t="n"/>
      <c r="BA306" s="9" t="n"/>
    </row>
    <row r="307" ht="15.75" customHeight="1" s="18">
      <c r="A307" s="3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  <c r="AH307" s="9" t="n"/>
      <c r="AI307" s="9" t="n"/>
      <c r="AJ307" s="9" t="n"/>
      <c r="AK307" s="9" t="n"/>
      <c r="AL307" s="9" t="n"/>
      <c r="AM307" s="9" t="n"/>
      <c r="AN307" s="9" t="n"/>
      <c r="AO307" s="9" t="n"/>
      <c r="AP307" s="9" t="n"/>
      <c r="AQ307" s="9" t="n"/>
      <c r="AR307" s="9" t="n"/>
      <c r="AS307" s="9" t="n"/>
      <c r="AT307" s="9" t="n"/>
      <c r="AU307" s="9" t="n"/>
      <c r="AV307" s="9" t="n"/>
      <c r="AW307" s="9" t="n"/>
      <c r="AX307" s="9" t="n"/>
      <c r="AY307" s="9" t="n"/>
      <c r="AZ307" s="9" t="n"/>
      <c r="BA307" s="9" t="n"/>
    </row>
    <row r="308" ht="15.75" customHeight="1" s="1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  <c r="AH308" s="9" t="n"/>
      <c r="AI308" s="9" t="n"/>
      <c r="AJ308" s="9" t="n"/>
      <c r="AK308" s="9" t="n"/>
      <c r="AL308" s="9" t="n"/>
      <c r="AM308" s="9" t="n"/>
      <c r="AN308" s="9" t="n"/>
      <c r="AO308" s="9" t="n"/>
      <c r="AP308" s="9" t="n"/>
      <c r="AQ308" s="9" t="n"/>
      <c r="AR308" s="9" t="n"/>
      <c r="AS308" s="9" t="n"/>
      <c r="AT308" s="9" t="n"/>
      <c r="AU308" s="9" t="n"/>
      <c r="AV308" s="9" t="n"/>
      <c r="AW308" s="9" t="n"/>
      <c r="AX308" s="9" t="n"/>
      <c r="AY308" s="9" t="n"/>
      <c r="AZ308" s="9" t="n"/>
      <c r="BA308" s="9" t="n"/>
    </row>
    <row r="309" ht="15.75" customHeight="1" s="18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  <c r="AH309" s="9" t="n"/>
      <c r="AI309" s="9" t="n"/>
      <c r="AJ309" s="9" t="n"/>
      <c r="AK309" s="9" t="n"/>
      <c r="AL309" s="9" t="n"/>
      <c r="AM309" s="9" t="n"/>
      <c r="AN309" s="9" t="n"/>
      <c r="AO309" s="9" t="n"/>
      <c r="AP309" s="9" t="n"/>
      <c r="AQ309" s="9" t="n"/>
      <c r="AR309" s="9" t="n"/>
      <c r="AS309" s="9" t="n"/>
      <c r="AT309" s="9" t="n"/>
      <c r="AU309" s="9" t="n"/>
      <c r="AV309" s="9" t="n"/>
      <c r="AW309" s="9" t="n"/>
      <c r="AX309" s="9" t="n"/>
      <c r="AY309" s="9" t="n"/>
      <c r="AZ309" s="9" t="n"/>
      <c r="BA309" s="9" t="n"/>
    </row>
    <row r="310" ht="15.75" customHeight="1" s="18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  <c r="AH310" s="9" t="n"/>
      <c r="AI310" s="9" t="n"/>
      <c r="AJ310" s="9" t="n"/>
      <c r="AK310" s="9" t="n"/>
      <c r="AL310" s="9" t="n"/>
      <c r="AM310" s="9" t="n"/>
      <c r="AN310" s="9" t="n"/>
      <c r="AO310" s="9" t="n"/>
      <c r="AP310" s="9" t="n"/>
      <c r="AQ310" s="9" t="n"/>
      <c r="AR310" s="9" t="n"/>
      <c r="AS310" s="9" t="n"/>
      <c r="AT310" s="9" t="n"/>
      <c r="AU310" s="9" t="n"/>
      <c r="AV310" s="9" t="n"/>
      <c r="AW310" s="9" t="n"/>
      <c r="AX310" s="9" t="n"/>
      <c r="AY310" s="9" t="n"/>
      <c r="AZ310" s="9" t="n"/>
      <c r="BA310" s="9" t="n"/>
    </row>
    <row r="311" ht="15.75" customHeight="1" s="18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  <c r="AH311" s="9" t="n"/>
      <c r="AI311" s="9" t="n"/>
      <c r="AJ311" s="9" t="n"/>
      <c r="AK311" s="9" t="n"/>
      <c r="AL311" s="9" t="n"/>
      <c r="AM311" s="9" t="n"/>
      <c r="AN311" s="9" t="n"/>
      <c r="AO311" s="9" t="n"/>
      <c r="AP311" s="9" t="n"/>
      <c r="AQ311" s="9" t="n"/>
      <c r="AR311" s="9" t="n"/>
      <c r="AS311" s="9" t="n"/>
      <c r="AT311" s="9" t="n"/>
      <c r="AU311" s="9" t="n"/>
      <c r="AV311" s="9" t="n"/>
      <c r="AW311" s="9" t="n"/>
      <c r="AX311" s="9" t="n"/>
      <c r="AY311" s="9" t="n"/>
      <c r="AZ311" s="9" t="n"/>
      <c r="BA311" s="9" t="n"/>
    </row>
    <row r="312" ht="15.75" customHeight="1" s="18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  <c r="AH312" s="9" t="n"/>
      <c r="AI312" s="9" t="n"/>
      <c r="AJ312" s="9" t="n"/>
      <c r="AK312" s="9" t="n"/>
      <c r="AL312" s="9" t="n"/>
      <c r="AM312" s="9" t="n"/>
      <c r="AN312" s="9" t="n"/>
      <c r="AO312" s="9" t="n"/>
      <c r="AP312" s="9" t="n"/>
      <c r="AQ312" s="9" t="n"/>
      <c r="AR312" s="9" t="n"/>
      <c r="AS312" s="9" t="n"/>
      <c r="AT312" s="9" t="n"/>
      <c r="AU312" s="9" t="n"/>
      <c r="AV312" s="9" t="n"/>
      <c r="AW312" s="9" t="n"/>
      <c r="AX312" s="9" t="n"/>
      <c r="AY312" s="9" t="n"/>
      <c r="AZ312" s="9" t="n"/>
      <c r="BA312" s="9" t="n"/>
    </row>
    <row r="313" ht="15.75" customHeight="1" s="18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  <c r="AH313" s="9" t="n"/>
      <c r="AI313" s="9" t="n"/>
      <c r="AJ313" s="9" t="n"/>
      <c r="AK313" s="9" t="n"/>
      <c r="AL313" s="9" t="n"/>
      <c r="AM313" s="9" t="n"/>
      <c r="AN313" s="9" t="n"/>
      <c r="AO313" s="9" t="n"/>
      <c r="AP313" s="9" t="n"/>
      <c r="AQ313" s="9" t="n"/>
      <c r="AR313" s="9" t="n"/>
      <c r="AS313" s="9" t="n"/>
      <c r="AT313" s="9" t="n"/>
      <c r="AU313" s="9" t="n"/>
      <c r="AV313" s="9" t="n"/>
      <c r="AW313" s="9" t="n"/>
      <c r="AX313" s="9" t="n"/>
      <c r="AY313" s="9" t="n"/>
      <c r="AZ313" s="9" t="n"/>
      <c r="BA313" s="9" t="n"/>
    </row>
    <row r="314" ht="15.75" customHeight="1" s="18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  <c r="AH314" s="9" t="n"/>
      <c r="AI314" s="9" t="n"/>
      <c r="AJ314" s="9" t="n"/>
      <c r="AK314" s="9" t="n"/>
      <c r="AL314" s="9" t="n"/>
      <c r="AM314" s="9" t="n"/>
      <c r="AN314" s="9" t="n"/>
      <c r="AO314" s="9" t="n"/>
      <c r="AP314" s="9" t="n"/>
      <c r="AQ314" s="9" t="n"/>
      <c r="AR314" s="9" t="n"/>
      <c r="AS314" s="9" t="n"/>
      <c r="AT314" s="9" t="n"/>
      <c r="AU314" s="9" t="n"/>
      <c r="AV314" s="9" t="n"/>
      <c r="AW314" s="9" t="n"/>
      <c r="AX314" s="9" t="n"/>
      <c r="AY314" s="9" t="n"/>
      <c r="AZ314" s="9" t="n"/>
      <c r="BA314" s="9" t="n"/>
    </row>
    <row r="315" ht="15.75" customHeight="1" s="18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  <c r="AH315" s="9" t="n"/>
      <c r="AI315" s="9" t="n"/>
      <c r="AJ315" s="9" t="n"/>
      <c r="AK315" s="9" t="n"/>
      <c r="AL315" s="9" t="n"/>
      <c r="AM315" s="9" t="n"/>
      <c r="AN315" s="9" t="n"/>
      <c r="AO315" s="9" t="n"/>
      <c r="AP315" s="9" t="n"/>
      <c r="AQ315" s="9" t="n"/>
      <c r="AR315" s="9" t="n"/>
      <c r="AS315" s="9" t="n"/>
      <c r="AT315" s="9" t="n"/>
      <c r="AU315" s="9" t="n"/>
      <c r="AV315" s="9" t="n"/>
      <c r="AW315" s="9" t="n"/>
      <c r="AX315" s="9" t="n"/>
      <c r="AY315" s="9" t="n"/>
      <c r="AZ315" s="9" t="n"/>
      <c r="BA315" s="9" t="n"/>
    </row>
    <row r="316" ht="15.75" customHeight="1" s="18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  <c r="AH316" s="9" t="n"/>
      <c r="AI316" s="9" t="n"/>
      <c r="AJ316" s="9" t="n"/>
      <c r="AK316" s="9" t="n"/>
      <c r="AL316" s="9" t="n"/>
      <c r="AM316" s="9" t="n"/>
      <c r="AN316" s="9" t="n"/>
      <c r="AO316" s="9" t="n"/>
      <c r="AP316" s="9" t="n"/>
      <c r="AQ316" s="9" t="n"/>
      <c r="AR316" s="9" t="n"/>
      <c r="AS316" s="9" t="n"/>
      <c r="AT316" s="9" t="n"/>
      <c r="AU316" s="9" t="n"/>
      <c r="AV316" s="9" t="n"/>
      <c r="AW316" s="9" t="n"/>
      <c r="AX316" s="9" t="n"/>
      <c r="AY316" s="9" t="n"/>
      <c r="AZ316" s="9" t="n"/>
      <c r="BA316" s="9" t="n"/>
    </row>
    <row r="317" ht="15.75" customHeight="1" s="18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  <c r="AH317" s="9" t="n"/>
      <c r="AI317" s="9" t="n"/>
      <c r="AJ317" s="9" t="n"/>
      <c r="AK317" s="9" t="n"/>
      <c r="AL317" s="9" t="n"/>
      <c r="AM317" s="9" t="n"/>
      <c r="AN317" s="9" t="n"/>
      <c r="AO317" s="9" t="n"/>
      <c r="AP317" s="9" t="n"/>
      <c r="AQ317" s="9" t="n"/>
      <c r="AR317" s="9" t="n"/>
      <c r="AS317" s="9" t="n"/>
      <c r="AT317" s="9" t="n"/>
      <c r="AU317" s="9" t="n"/>
      <c r="AV317" s="9" t="n"/>
      <c r="AW317" s="9" t="n"/>
      <c r="AX317" s="9" t="n"/>
      <c r="AY317" s="9" t="n"/>
      <c r="AZ317" s="9" t="n"/>
      <c r="BA317" s="9" t="n"/>
    </row>
    <row r="318" ht="15.75" customHeight="1" s="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  <c r="AH318" s="9" t="n"/>
      <c r="AI318" s="9" t="n"/>
      <c r="AJ318" s="9" t="n"/>
      <c r="AK318" s="9" t="n"/>
      <c r="AL318" s="9" t="n"/>
      <c r="AM318" s="9" t="n"/>
      <c r="AN318" s="9" t="n"/>
      <c r="AO318" s="9" t="n"/>
      <c r="AP318" s="9" t="n"/>
      <c r="AQ318" s="9" t="n"/>
      <c r="AR318" s="9" t="n"/>
      <c r="AS318" s="9" t="n"/>
      <c r="AT318" s="9" t="n"/>
      <c r="AU318" s="9" t="n"/>
      <c r="AV318" s="9" t="n"/>
      <c r="AW318" s="9" t="n"/>
      <c r="AX318" s="9" t="n"/>
      <c r="AY318" s="9" t="n"/>
      <c r="AZ318" s="9" t="n"/>
      <c r="BA318" s="9" t="n"/>
    </row>
    <row r="319" ht="15.75" customHeight="1" s="18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  <c r="AH319" s="9" t="n"/>
      <c r="AI319" s="9" t="n"/>
      <c r="AJ319" s="9" t="n"/>
      <c r="AK319" s="9" t="n"/>
      <c r="AL319" s="9" t="n"/>
      <c r="AM319" s="9" t="n"/>
      <c r="AN319" s="9" t="n"/>
      <c r="AO319" s="9" t="n"/>
      <c r="AP319" s="9" t="n"/>
      <c r="AQ319" s="9" t="n"/>
      <c r="AR319" s="9" t="n"/>
      <c r="AS319" s="9" t="n"/>
      <c r="AT319" s="9" t="n"/>
      <c r="AU319" s="9" t="n"/>
      <c r="AV319" s="9" t="n"/>
      <c r="AW319" s="9" t="n"/>
      <c r="AX319" s="9" t="n"/>
      <c r="AY319" s="9" t="n"/>
      <c r="AZ319" s="9" t="n"/>
      <c r="BA319" s="9" t="n"/>
    </row>
    <row r="320" ht="15.75" customHeight="1" s="18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  <c r="AH320" s="9" t="n"/>
      <c r="AI320" s="9" t="n"/>
      <c r="AJ320" s="9" t="n"/>
      <c r="AK320" s="9" t="n"/>
      <c r="AL320" s="9" t="n"/>
      <c r="AM320" s="9" t="n"/>
      <c r="AN320" s="9" t="n"/>
      <c r="AO320" s="9" t="n"/>
      <c r="AP320" s="9" t="n"/>
      <c r="AQ320" s="9" t="n"/>
      <c r="AR320" s="9" t="n"/>
      <c r="AS320" s="9" t="n"/>
      <c r="AT320" s="9" t="n"/>
      <c r="AU320" s="9" t="n"/>
      <c r="AV320" s="9" t="n"/>
      <c r="AW320" s="9" t="n"/>
      <c r="AX320" s="9" t="n"/>
      <c r="AY320" s="9" t="n"/>
      <c r="AZ320" s="9" t="n"/>
      <c r="BA320" s="9" t="n"/>
    </row>
    <row r="321" ht="15.75" customHeight="1" s="18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  <c r="AH321" s="9" t="n"/>
      <c r="AI321" s="9" t="n"/>
      <c r="AJ321" s="9" t="n"/>
      <c r="AK321" s="9" t="n"/>
      <c r="AL321" s="9" t="n"/>
      <c r="AM321" s="9" t="n"/>
      <c r="AN321" s="9" t="n"/>
      <c r="AO321" s="9" t="n"/>
      <c r="AP321" s="9" t="n"/>
      <c r="AQ321" s="9" t="n"/>
      <c r="AR321" s="9" t="n"/>
      <c r="AS321" s="9" t="n"/>
      <c r="AT321" s="9" t="n"/>
      <c r="AU321" s="9" t="n"/>
      <c r="AV321" s="9" t="n"/>
      <c r="AW321" s="9" t="n"/>
      <c r="AX321" s="9" t="n"/>
      <c r="AY321" s="9" t="n"/>
      <c r="AZ321" s="9" t="n"/>
      <c r="BA321" s="9" t="n"/>
    </row>
    <row r="322" ht="15.75" customHeight="1" s="18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  <c r="AH322" s="9" t="n"/>
      <c r="AI322" s="9" t="n"/>
      <c r="AJ322" s="9" t="n"/>
      <c r="AK322" s="9" t="n"/>
      <c r="AL322" s="9" t="n"/>
      <c r="AM322" s="9" t="n"/>
      <c r="AN322" s="9" t="n"/>
      <c r="AO322" s="9" t="n"/>
      <c r="AP322" s="9" t="n"/>
      <c r="AQ322" s="9" t="n"/>
      <c r="AR322" s="9" t="n"/>
      <c r="AS322" s="9" t="n"/>
      <c r="AT322" s="9" t="n"/>
      <c r="AU322" s="9" t="n"/>
      <c r="AV322" s="9" t="n"/>
      <c r="AW322" s="9" t="n"/>
      <c r="AX322" s="9" t="n"/>
      <c r="AY322" s="9" t="n"/>
      <c r="AZ322" s="9" t="n"/>
      <c r="BA322" s="9" t="n"/>
    </row>
    <row r="323" ht="15.75" customHeight="1" s="18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  <c r="AH323" s="9" t="n"/>
      <c r="AI323" s="9" t="n"/>
      <c r="AJ323" s="9" t="n"/>
      <c r="AK323" s="9" t="n"/>
      <c r="AL323" s="9" t="n"/>
      <c r="AM323" s="9" t="n"/>
      <c r="AN323" s="9" t="n"/>
      <c r="AO323" s="9" t="n"/>
      <c r="AP323" s="9" t="n"/>
      <c r="AQ323" s="9" t="n"/>
      <c r="AR323" s="9" t="n"/>
      <c r="AS323" s="9" t="n"/>
      <c r="AT323" s="9" t="n"/>
      <c r="AU323" s="9" t="n"/>
      <c r="AV323" s="9" t="n"/>
      <c r="AW323" s="9" t="n"/>
      <c r="AX323" s="9" t="n"/>
      <c r="AY323" s="9" t="n"/>
      <c r="AZ323" s="9" t="n"/>
      <c r="BA323" s="9" t="n"/>
    </row>
    <row r="324" ht="15.75" customHeight="1" s="18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  <c r="AH324" s="9" t="n"/>
      <c r="AI324" s="9" t="n"/>
      <c r="AJ324" s="9" t="n"/>
      <c r="AK324" s="9" t="n"/>
      <c r="AL324" s="9" t="n"/>
      <c r="AM324" s="9" t="n"/>
      <c r="AN324" s="9" t="n"/>
      <c r="AO324" s="9" t="n"/>
      <c r="AP324" s="9" t="n"/>
      <c r="AQ324" s="9" t="n"/>
      <c r="AR324" s="9" t="n"/>
      <c r="AS324" s="9" t="n"/>
      <c r="AT324" s="9" t="n"/>
      <c r="AU324" s="9" t="n"/>
      <c r="AV324" s="9" t="n"/>
      <c r="AW324" s="9" t="n"/>
      <c r="AX324" s="9" t="n"/>
      <c r="AY324" s="9" t="n"/>
      <c r="AZ324" s="9" t="n"/>
      <c r="BA324" s="9" t="n"/>
    </row>
    <row r="325" ht="15.75" customHeight="1" s="18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  <c r="AH325" s="9" t="n"/>
      <c r="AI325" s="9" t="n"/>
      <c r="AJ325" s="9" t="n"/>
      <c r="AK325" s="9" t="n"/>
      <c r="AL325" s="9" t="n"/>
      <c r="AM325" s="9" t="n"/>
      <c r="AN325" s="9" t="n"/>
      <c r="AO325" s="9" t="n"/>
      <c r="AP325" s="9" t="n"/>
      <c r="AQ325" s="9" t="n"/>
      <c r="AR325" s="9" t="n"/>
      <c r="AS325" s="9" t="n"/>
      <c r="AT325" s="9" t="n"/>
      <c r="AU325" s="9" t="n"/>
      <c r="AV325" s="9" t="n"/>
      <c r="AW325" s="9" t="n"/>
      <c r="AX325" s="9" t="n"/>
      <c r="AY325" s="9" t="n"/>
      <c r="AZ325" s="9" t="n"/>
      <c r="BA325" s="9" t="n"/>
    </row>
    <row r="326" ht="15.75" customHeight="1" s="18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  <c r="AH326" s="9" t="n"/>
      <c r="AI326" s="9" t="n"/>
      <c r="AJ326" s="9" t="n"/>
      <c r="AK326" s="9" t="n"/>
      <c r="AL326" s="9" t="n"/>
      <c r="AM326" s="9" t="n"/>
      <c r="AN326" s="9" t="n"/>
      <c r="AO326" s="9" t="n"/>
      <c r="AP326" s="9" t="n"/>
      <c r="AQ326" s="9" t="n"/>
      <c r="AR326" s="9" t="n"/>
      <c r="AS326" s="9" t="n"/>
      <c r="AT326" s="9" t="n"/>
      <c r="AU326" s="9" t="n"/>
      <c r="AV326" s="9" t="n"/>
      <c r="AW326" s="9" t="n"/>
      <c r="AX326" s="9" t="n"/>
      <c r="AY326" s="9" t="n"/>
      <c r="AZ326" s="9" t="n"/>
      <c r="BA326" s="9" t="n"/>
    </row>
    <row r="327" ht="15.75" customHeight="1" s="18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  <c r="AH327" s="9" t="n"/>
      <c r="AI327" s="9" t="n"/>
      <c r="AJ327" s="9" t="n"/>
      <c r="AK327" s="9" t="n"/>
      <c r="AL327" s="9" t="n"/>
      <c r="AM327" s="9" t="n"/>
      <c r="AN327" s="9" t="n"/>
      <c r="AO327" s="9" t="n"/>
      <c r="AP327" s="9" t="n"/>
      <c r="AQ327" s="9" t="n"/>
      <c r="AR327" s="9" t="n"/>
      <c r="AS327" s="9" t="n"/>
      <c r="AT327" s="9" t="n"/>
      <c r="AU327" s="9" t="n"/>
      <c r="AV327" s="9" t="n"/>
      <c r="AW327" s="9" t="n"/>
      <c r="AX327" s="9" t="n"/>
      <c r="AY327" s="9" t="n"/>
      <c r="AZ327" s="9" t="n"/>
      <c r="BA327" s="9" t="n"/>
    </row>
    <row r="328" ht="15.75" customHeight="1" s="1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  <c r="AH328" s="9" t="n"/>
      <c r="AI328" s="9" t="n"/>
      <c r="AJ328" s="9" t="n"/>
      <c r="AK328" s="9" t="n"/>
      <c r="AL328" s="9" t="n"/>
      <c r="AM328" s="9" t="n"/>
      <c r="AN328" s="9" t="n"/>
      <c r="AO328" s="9" t="n"/>
      <c r="AP328" s="9" t="n"/>
      <c r="AQ328" s="9" t="n"/>
      <c r="AR328" s="9" t="n"/>
      <c r="AS328" s="9" t="n"/>
      <c r="AT328" s="9" t="n"/>
      <c r="AU328" s="9" t="n"/>
      <c r="AV328" s="9" t="n"/>
      <c r="AW328" s="9" t="n"/>
      <c r="AX328" s="9" t="n"/>
      <c r="AY328" s="9" t="n"/>
      <c r="AZ328" s="9" t="n"/>
      <c r="BA328" s="9" t="n"/>
    </row>
    <row r="329" ht="15.75" customHeight="1" s="18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  <c r="AH329" s="9" t="n"/>
      <c r="AI329" s="9" t="n"/>
      <c r="AJ329" s="9" t="n"/>
      <c r="AK329" s="9" t="n"/>
      <c r="AL329" s="9" t="n"/>
      <c r="AM329" s="9" t="n"/>
      <c r="AN329" s="9" t="n"/>
      <c r="AO329" s="9" t="n"/>
      <c r="AP329" s="9" t="n"/>
      <c r="AQ329" s="9" t="n"/>
      <c r="AR329" s="9" t="n"/>
      <c r="AS329" s="9" t="n"/>
      <c r="AT329" s="9" t="n"/>
      <c r="AU329" s="9" t="n"/>
      <c r="AV329" s="9" t="n"/>
      <c r="AW329" s="9" t="n"/>
      <c r="AX329" s="9" t="n"/>
      <c r="AY329" s="9" t="n"/>
      <c r="AZ329" s="9" t="n"/>
      <c r="BA329" s="9" t="n"/>
    </row>
    <row r="330" ht="15.75" customHeight="1" s="18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  <c r="AH330" s="9" t="n"/>
      <c r="AI330" s="9" t="n"/>
      <c r="AJ330" s="9" t="n"/>
      <c r="AK330" s="9" t="n"/>
      <c r="AL330" s="9" t="n"/>
      <c r="AM330" s="9" t="n"/>
      <c r="AN330" s="9" t="n"/>
      <c r="AO330" s="9" t="n"/>
      <c r="AP330" s="9" t="n"/>
      <c r="AQ330" s="9" t="n"/>
      <c r="AR330" s="9" t="n"/>
      <c r="AS330" s="9" t="n"/>
      <c r="AT330" s="9" t="n"/>
      <c r="AU330" s="9" t="n"/>
      <c r="AV330" s="9" t="n"/>
      <c r="AW330" s="9" t="n"/>
      <c r="AX330" s="9" t="n"/>
      <c r="AY330" s="9" t="n"/>
      <c r="AZ330" s="9" t="n"/>
      <c r="BA330" s="9" t="n"/>
    </row>
    <row r="331" ht="15.75" customHeight="1" s="18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  <c r="AH331" s="9" t="n"/>
      <c r="AI331" s="9" t="n"/>
      <c r="AJ331" s="9" t="n"/>
      <c r="AK331" s="9" t="n"/>
      <c r="AL331" s="9" t="n"/>
      <c r="AM331" s="9" t="n"/>
      <c r="AN331" s="9" t="n"/>
      <c r="AO331" s="9" t="n"/>
      <c r="AP331" s="9" t="n"/>
      <c r="AQ331" s="9" t="n"/>
      <c r="AR331" s="9" t="n"/>
      <c r="AS331" s="9" t="n"/>
      <c r="AT331" s="9" t="n"/>
      <c r="AU331" s="9" t="n"/>
      <c r="AV331" s="9" t="n"/>
      <c r="AW331" s="9" t="n"/>
      <c r="AX331" s="9" t="n"/>
      <c r="AY331" s="9" t="n"/>
      <c r="AZ331" s="9" t="n"/>
      <c r="BA331" s="9" t="n"/>
    </row>
    <row r="332" ht="15.75" customHeight="1" s="18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  <c r="AH332" s="9" t="n"/>
      <c r="AI332" s="9" t="n"/>
      <c r="AJ332" s="9" t="n"/>
      <c r="AK332" s="9" t="n"/>
      <c r="AL332" s="9" t="n"/>
      <c r="AM332" s="9" t="n"/>
      <c r="AN332" s="9" t="n"/>
      <c r="AO332" s="9" t="n"/>
      <c r="AP332" s="9" t="n"/>
      <c r="AQ332" s="9" t="n"/>
      <c r="AR332" s="9" t="n"/>
      <c r="AS332" s="9" t="n"/>
      <c r="AT332" s="9" t="n"/>
      <c r="AU332" s="9" t="n"/>
      <c r="AV332" s="9" t="n"/>
      <c r="AW332" s="9" t="n"/>
      <c r="AX332" s="9" t="n"/>
      <c r="AY332" s="9" t="n"/>
      <c r="AZ332" s="9" t="n"/>
      <c r="BA332" s="9" t="n"/>
    </row>
    <row r="333" ht="15.75" customHeight="1" s="18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  <c r="AH333" s="9" t="n"/>
      <c r="AI333" s="9" t="n"/>
      <c r="AJ333" s="9" t="n"/>
      <c r="AK333" s="9" t="n"/>
      <c r="AL333" s="9" t="n"/>
      <c r="AM333" s="9" t="n"/>
      <c r="AN333" s="9" t="n"/>
      <c r="AO333" s="9" t="n"/>
      <c r="AP333" s="9" t="n"/>
      <c r="AQ333" s="9" t="n"/>
      <c r="AR333" s="9" t="n"/>
      <c r="AS333" s="9" t="n"/>
      <c r="AT333" s="9" t="n"/>
      <c r="AU333" s="9" t="n"/>
      <c r="AV333" s="9" t="n"/>
      <c r="AW333" s="9" t="n"/>
      <c r="AX333" s="9" t="n"/>
      <c r="AY333" s="9" t="n"/>
      <c r="AZ333" s="9" t="n"/>
      <c r="BA333" s="9" t="n"/>
    </row>
    <row r="334" ht="15.75" customHeight="1" s="18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  <c r="AH334" s="9" t="n"/>
      <c r="AI334" s="9" t="n"/>
      <c r="AJ334" s="9" t="n"/>
      <c r="AK334" s="9" t="n"/>
      <c r="AL334" s="9" t="n"/>
      <c r="AM334" s="9" t="n"/>
      <c r="AN334" s="9" t="n"/>
      <c r="AO334" s="9" t="n"/>
      <c r="AP334" s="9" t="n"/>
      <c r="AQ334" s="9" t="n"/>
      <c r="AR334" s="9" t="n"/>
      <c r="AS334" s="9" t="n"/>
      <c r="AT334" s="9" t="n"/>
      <c r="AU334" s="9" t="n"/>
      <c r="AV334" s="9" t="n"/>
      <c r="AW334" s="9" t="n"/>
      <c r="AX334" s="9" t="n"/>
      <c r="AY334" s="9" t="n"/>
      <c r="AZ334" s="9" t="n"/>
      <c r="BA334" s="9" t="n"/>
    </row>
    <row r="335" ht="15.75" customHeight="1" s="18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  <c r="AH335" s="9" t="n"/>
      <c r="AI335" s="9" t="n"/>
      <c r="AJ335" s="9" t="n"/>
      <c r="AK335" s="9" t="n"/>
      <c r="AL335" s="9" t="n"/>
      <c r="AM335" s="9" t="n"/>
      <c r="AN335" s="9" t="n"/>
      <c r="AO335" s="9" t="n"/>
      <c r="AP335" s="9" t="n"/>
      <c r="AQ335" s="9" t="n"/>
      <c r="AR335" s="9" t="n"/>
      <c r="AS335" s="9" t="n"/>
      <c r="AT335" s="9" t="n"/>
      <c r="AU335" s="9" t="n"/>
      <c r="AV335" s="9" t="n"/>
      <c r="AW335" s="9" t="n"/>
      <c r="AX335" s="9" t="n"/>
      <c r="AY335" s="9" t="n"/>
      <c r="AZ335" s="9" t="n"/>
      <c r="BA335" s="9" t="n"/>
    </row>
    <row r="336" ht="15.75" customHeight="1" s="18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  <c r="AH336" s="9" t="n"/>
      <c r="AI336" s="9" t="n"/>
      <c r="AJ336" s="9" t="n"/>
      <c r="AK336" s="9" t="n"/>
      <c r="AL336" s="9" t="n"/>
      <c r="AM336" s="9" t="n"/>
      <c r="AN336" s="9" t="n"/>
      <c r="AO336" s="9" t="n"/>
      <c r="AP336" s="9" t="n"/>
      <c r="AQ336" s="9" t="n"/>
      <c r="AR336" s="9" t="n"/>
      <c r="AS336" s="9" t="n"/>
      <c r="AT336" s="9" t="n"/>
      <c r="AU336" s="9" t="n"/>
      <c r="AV336" s="9" t="n"/>
      <c r="AW336" s="9" t="n"/>
      <c r="AX336" s="9" t="n"/>
      <c r="AY336" s="9" t="n"/>
      <c r="AZ336" s="9" t="n"/>
      <c r="BA336" s="9" t="n"/>
    </row>
    <row r="337" ht="15.75" customHeight="1" s="18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  <c r="AH337" s="9" t="n"/>
      <c r="AI337" s="9" t="n"/>
      <c r="AJ337" s="9" t="n"/>
      <c r="AK337" s="9" t="n"/>
      <c r="AL337" s="9" t="n"/>
      <c r="AM337" s="9" t="n"/>
      <c r="AN337" s="9" t="n"/>
      <c r="AO337" s="9" t="n"/>
      <c r="AP337" s="9" t="n"/>
      <c r="AQ337" s="9" t="n"/>
      <c r="AR337" s="9" t="n"/>
      <c r="AS337" s="9" t="n"/>
      <c r="AT337" s="9" t="n"/>
      <c r="AU337" s="9" t="n"/>
      <c r="AV337" s="9" t="n"/>
      <c r="AW337" s="9" t="n"/>
      <c r="AX337" s="9" t="n"/>
      <c r="AY337" s="9" t="n"/>
      <c r="AZ337" s="9" t="n"/>
      <c r="BA337" s="9" t="n"/>
    </row>
    <row r="338" ht="15.75" customHeight="1" s="1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  <c r="AH338" s="9" t="n"/>
      <c r="AI338" s="9" t="n"/>
      <c r="AJ338" s="9" t="n"/>
      <c r="AK338" s="9" t="n"/>
      <c r="AL338" s="9" t="n"/>
      <c r="AM338" s="9" t="n"/>
      <c r="AN338" s="9" t="n"/>
      <c r="AO338" s="9" t="n"/>
      <c r="AP338" s="9" t="n"/>
      <c r="AQ338" s="9" t="n"/>
      <c r="AR338" s="9" t="n"/>
      <c r="AS338" s="9" t="n"/>
      <c r="AT338" s="9" t="n"/>
      <c r="AU338" s="9" t="n"/>
      <c r="AV338" s="9" t="n"/>
      <c r="AW338" s="9" t="n"/>
      <c r="AX338" s="9" t="n"/>
      <c r="AY338" s="9" t="n"/>
      <c r="AZ338" s="9" t="n"/>
      <c r="BA338" s="9" t="n"/>
    </row>
    <row r="339" ht="15.75" customHeight="1" s="18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  <c r="AH339" s="9" t="n"/>
      <c r="AI339" s="9" t="n"/>
      <c r="AJ339" s="9" t="n"/>
      <c r="AK339" s="9" t="n"/>
      <c r="AL339" s="9" t="n"/>
      <c r="AM339" s="9" t="n"/>
      <c r="AN339" s="9" t="n"/>
      <c r="AO339" s="9" t="n"/>
      <c r="AP339" s="9" t="n"/>
      <c r="AQ339" s="9" t="n"/>
      <c r="AR339" s="9" t="n"/>
      <c r="AS339" s="9" t="n"/>
      <c r="AT339" s="9" t="n"/>
      <c r="AU339" s="9" t="n"/>
      <c r="AV339" s="9" t="n"/>
      <c r="AW339" s="9" t="n"/>
      <c r="AX339" s="9" t="n"/>
      <c r="AY339" s="9" t="n"/>
      <c r="AZ339" s="9" t="n"/>
      <c r="BA339" s="9" t="n"/>
    </row>
    <row r="340" ht="15.75" customHeight="1" s="18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  <c r="AH340" s="9" t="n"/>
      <c r="AI340" s="9" t="n"/>
      <c r="AJ340" s="9" t="n"/>
      <c r="AK340" s="9" t="n"/>
      <c r="AL340" s="9" t="n"/>
      <c r="AM340" s="9" t="n"/>
      <c r="AN340" s="9" t="n"/>
      <c r="AO340" s="9" t="n"/>
      <c r="AP340" s="9" t="n"/>
      <c r="AQ340" s="9" t="n"/>
      <c r="AR340" s="9" t="n"/>
      <c r="AS340" s="9" t="n"/>
      <c r="AT340" s="9" t="n"/>
      <c r="AU340" s="9" t="n"/>
      <c r="AV340" s="9" t="n"/>
      <c r="AW340" s="9" t="n"/>
      <c r="AX340" s="9" t="n"/>
      <c r="AY340" s="9" t="n"/>
      <c r="AZ340" s="9" t="n"/>
      <c r="BA340" s="9" t="n"/>
    </row>
    <row r="341" ht="15.75" customHeight="1" s="18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  <c r="AH341" s="9" t="n"/>
      <c r="AI341" s="9" t="n"/>
      <c r="AJ341" s="9" t="n"/>
      <c r="AK341" s="9" t="n"/>
      <c r="AL341" s="9" t="n"/>
      <c r="AM341" s="9" t="n"/>
      <c r="AN341" s="9" t="n"/>
      <c r="AO341" s="9" t="n"/>
      <c r="AP341" s="9" t="n"/>
      <c r="AQ341" s="9" t="n"/>
      <c r="AR341" s="9" t="n"/>
      <c r="AS341" s="9" t="n"/>
      <c r="AT341" s="9" t="n"/>
      <c r="AU341" s="9" t="n"/>
      <c r="AV341" s="9" t="n"/>
      <c r="AW341" s="9" t="n"/>
      <c r="AX341" s="9" t="n"/>
      <c r="AY341" s="9" t="n"/>
      <c r="AZ341" s="9" t="n"/>
      <c r="BA341" s="9" t="n"/>
    </row>
    <row r="342" ht="15.75" customHeight="1" s="18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  <c r="AH342" s="9" t="n"/>
      <c r="AI342" s="9" t="n"/>
      <c r="AJ342" s="9" t="n"/>
      <c r="AK342" s="9" t="n"/>
      <c r="AL342" s="9" t="n"/>
      <c r="AM342" s="9" t="n"/>
      <c r="AN342" s="9" t="n"/>
      <c r="AO342" s="9" t="n"/>
      <c r="AP342" s="9" t="n"/>
      <c r="AQ342" s="9" t="n"/>
      <c r="AR342" s="9" t="n"/>
      <c r="AS342" s="9" t="n"/>
      <c r="AT342" s="9" t="n"/>
      <c r="AU342" s="9" t="n"/>
      <c r="AV342" s="9" t="n"/>
      <c r="AW342" s="9" t="n"/>
      <c r="AX342" s="9" t="n"/>
      <c r="AY342" s="9" t="n"/>
      <c r="AZ342" s="9" t="n"/>
      <c r="BA342" s="9" t="n"/>
    </row>
    <row r="343" ht="15.75" customHeight="1" s="18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  <c r="AH343" s="9" t="n"/>
      <c r="AI343" s="9" t="n"/>
      <c r="AJ343" s="9" t="n"/>
      <c r="AK343" s="9" t="n"/>
      <c r="AL343" s="9" t="n"/>
      <c r="AM343" s="9" t="n"/>
      <c r="AN343" s="9" t="n"/>
      <c r="AO343" s="9" t="n"/>
      <c r="AP343" s="9" t="n"/>
      <c r="AQ343" s="9" t="n"/>
      <c r="AR343" s="9" t="n"/>
      <c r="AS343" s="9" t="n"/>
      <c r="AT343" s="9" t="n"/>
      <c r="AU343" s="9" t="n"/>
      <c r="AV343" s="9" t="n"/>
      <c r="AW343" s="9" t="n"/>
      <c r="AX343" s="9" t="n"/>
      <c r="AY343" s="9" t="n"/>
      <c r="AZ343" s="9" t="n"/>
      <c r="BA343" s="9" t="n"/>
    </row>
    <row r="344" ht="15.75" customHeight="1" s="18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  <c r="AH344" s="9" t="n"/>
      <c r="AI344" s="9" t="n"/>
      <c r="AJ344" s="9" t="n"/>
      <c r="AK344" s="9" t="n"/>
      <c r="AL344" s="9" t="n"/>
      <c r="AM344" s="9" t="n"/>
      <c r="AN344" s="9" t="n"/>
      <c r="AO344" s="9" t="n"/>
      <c r="AP344" s="9" t="n"/>
      <c r="AQ344" s="9" t="n"/>
      <c r="AR344" s="9" t="n"/>
      <c r="AS344" s="9" t="n"/>
      <c r="AT344" s="9" t="n"/>
      <c r="AU344" s="9" t="n"/>
      <c r="AV344" s="9" t="n"/>
      <c r="AW344" s="9" t="n"/>
      <c r="AX344" s="9" t="n"/>
      <c r="AY344" s="9" t="n"/>
      <c r="AZ344" s="9" t="n"/>
      <c r="BA344" s="9" t="n"/>
    </row>
    <row r="345" ht="15.75" customHeight="1" s="18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  <c r="AH345" s="9" t="n"/>
      <c r="AI345" s="9" t="n"/>
      <c r="AJ345" s="9" t="n"/>
      <c r="AK345" s="9" t="n"/>
      <c r="AL345" s="9" t="n"/>
      <c r="AM345" s="9" t="n"/>
      <c r="AN345" s="9" t="n"/>
      <c r="AO345" s="9" t="n"/>
      <c r="AP345" s="9" t="n"/>
      <c r="AQ345" s="9" t="n"/>
      <c r="AR345" s="9" t="n"/>
      <c r="AS345" s="9" t="n"/>
      <c r="AT345" s="9" t="n"/>
      <c r="AU345" s="9" t="n"/>
      <c r="AV345" s="9" t="n"/>
      <c r="AW345" s="9" t="n"/>
      <c r="AX345" s="9" t="n"/>
      <c r="AY345" s="9" t="n"/>
      <c r="AZ345" s="9" t="n"/>
      <c r="BA345" s="9" t="n"/>
    </row>
    <row r="346" ht="15.75" customHeight="1" s="18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  <c r="AH346" s="9" t="n"/>
      <c r="AI346" s="9" t="n"/>
      <c r="AJ346" s="9" t="n"/>
      <c r="AK346" s="9" t="n"/>
      <c r="AL346" s="9" t="n"/>
      <c r="AM346" s="9" t="n"/>
      <c r="AN346" s="9" t="n"/>
      <c r="AO346" s="9" t="n"/>
      <c r="AP346" s="9" t="n"/>
      <c r="AQ346" s="9" t="n"/>
      <c r="AR346" s="9" t="n"/>
      <c r="AS346" s="9" t="n"/>
      <c r="AT346" s="9" t="n"/>
      <c r="AU346" s="9" t="n"/>
      <c r="AV346" s="9" t="n"/>
      <c r="AW346" s="9" t="n"/>
      <c r="AX346" s="9" t="n"/>
      <c r="AY346" s="9" t="n"/>
      <c r="AZ346" s="9" t="n"/>
      <c r="BA346" s="9" t="n"/>
    </row>
    <row r="347" ht="15.75" customHeight="1" s="18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  <c r="AH347" s="9" t="n"/>
      <c r="AI347" s="9" t="n"/>
      <c r="AJ347" s="9" t="n"/>
      <c r="AK347" s="9" t="n"/>
      <c r="AL347" s="9" t="n"/>
      <c r="AM347" s="9" t="n"/>
      <c r="AN347" s="9" t="n"/>
      <c r="AO347" s="9" t="n"/>
      <c r="AP347" s="9" t="n"/>
      <c r="AQ347" s="9" t="n"/>
      <c r="AR347" s="9" t="n"/>
      <c r="AS347" s="9" t="n"/>
      <c r="AT347" s="9" t="n"/>
      <c r="AU347" s="9" t="n"/>
      <c r="AV347" s="9" t="n"/>
      <c r="AW347" s="9" t="n"/>
      <c r="AX347" s="9" t="n"/>
      <c r="AY347" s="9" t="n"/>
      <c r="AZ347" s="9" t="n"/>
      <c r="BA347" s="9" t="n"/>
    </row>
    <row r="348" ht="15.75" customHeight="1" s="1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  <c r="AH348" s="9" t="n"/>
      <c r="AI348" s="9" t="n"/>
      <c r="AJ348" s="9" t="n"/>
      <c r="AK348" s="9" t="n"/>
      <c r="AL348" s="9" t="n"/>
      <c r="AM348" s="9" t="n"/>
      <c r="AN348" s="9" t="n"/>
      <c r="AO348" s="9" t="n"/>
      <c r="AP348" s="9" t="n"/>
      <c r="AQ348" s="9" t="n"/>
      <c r="AR348" s="9" t="n"/>
      <c r="AS348" s="9" t="n"/>
      <c r="AT348" s="9" t="n"/>
      <c r="AU348" s="9" t="n"/>
      <c r="AV348" s="9" t="n"/>
      <c r="AW348" s="9" t="n"/>
      <c r="AX348" s="9" t="n"/>
      <c r="AY348" s="9" t="n"/>
      <c r="AZ348" s="9" t="n"/>
      <c r="BA348" s="9" t="n"/>
    </row>
    <row r="349" ht="15.75" customHeight="1" s="18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  <c r="AH349" s="9" t="n"/>
      <c r="AI349" s="9" t="n"/>
      <c r="AJ349" s="9" t="n"/>
      <c r="AK349" s="9" t="n"/>
      <c r="AL349" s="9" t="n"/>
      <c r="AM349" s="9" t="n"/>
      <c r="AN349" s="9" t="n"/>
      <c r="AO349" s="9" t="n"/>
      <c r="AP349" s="9" t="n"/>
      <c r="AQ349" s="9" t="n"/>
      <c r="AR349" s="9" t="n"/>
      <c r="AS349" s="9" t="n"/>
      <c r="AT349" s="9" t="n"/>
      <c r="AU349" s="9" t="n"/>
      <c r="AV349" s="9" t="n"/>
      <c r="AW349" s="9" t="n"/>
      <c r="AX349" s="9" t="n"/>
      <c r="AY349" s="9" t="n"/>
      <c r="AZ349" s="9" t="n"/>
      <c r="BA349" s="9" t="n"/>
    </row>
    <row r="350" ht="15.75" customHeight="1" s="18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  <c r="AH350" s="9" t="n"/>
      <c r="AI350" s="9" t="n"/>
      <c r="AJ350" s="9" t="n"/>
      <c r="AK350" s="9" t="n"/>
      <c r="AL350" s="9" t="n"/>
      <c r="AM350" s="9" t="n"/>
      <c r="AN350" s="9" t="n"/>
      <c r="AO350" s="9" t="n"/>
      <c r="AP350" s="9" t="n"/>
      <c r="AQ350" s="9" t="n"/>
      <c r="AR350" s="9" t="n"/>
      <c r="AS350" s="9" t="n"/>
      <c r="AT350" s="9" t="n"/>
      <c r="AU350" s="9" t="n"/>
      <c r="AV350" s="9" t="n"/>
      <c r="AW350" s="9" t="n"/>
      <c r="AX350" s="9" t="n"/>
      <c r="AY350" s="9" t="n"/>
      <c r="AZ350" s="9" t="n"/>
      <c r="BA350" s="9" t="n"/>
    </row>
    <row r="351" ht="15.75" customHeight="1" s="18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  <c r="AH351" s="9" t="n"/>
      <c r="AI351" s="9" t="n"/>
      <c r="AJ351" s="9" t="n"/>
      <c r="AK351" s="9" t="n"/>
      <c r="AL351" s="9" t="n"/>
      <c r="AM351" s="9" t="n"/>
      <c r="AN351" s="9" t="n"/>
      <c r="AO351" s="9" t="n"/>
      <c r="AP351" s="9" t="n"/>
      <c r="AQ351" s="9" t="n"/>
      <c r="AR351" s="9" t="n"/>
      <c r="AS351" s="9" t="n"/>
      <c r="AT351" s="9" t="n"/>
      <c r="AU351" s="9" t="n"/>
      <c r="AV351" s="9" t="n"/>
      <c r="AW351" s="9" t="n"/>
      <c r="AX351" s="9" t="n"/>
      <c r="AY351" s="9" t="n"/>
      <c r="AZ351" s="9" t="n"/>
      <c r="BA351" s="9" t="n"/>
    </row>
    <row r="352" ht="15.75" customHeight="1" s="18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  <c r="AH352" s="9" t="n"/>
      <c r="AI352" s="9" t="n"/>
      <c r="AJ352" s="9" t="n"/>
      <c r="AK352" s="9" t="n"/>
      <c r="AL352" s="9" t="n"/>
      <c r="AM352" s="9" t="n"/>
      <c r="AN352" s="9" t="n"/>
      <c r="AO352" s="9" t="n"/>
      <c r="AP352" s="9" t="n"/>
      <c r="AQ352" s="9" t="n"/>
      <c r="AR352" s="9" t="n"/>
      <c r="AS352" s="9" t="n"/>
      <c r="AT352" s="9" t="n"/>
      <c r="AU352" s="9" t="n"/>
      <c r="AV352" s="9" t="n"/>
      <c r="AW352" s="9" t="n"/>
      <c r="AX352" s="9" t="n"/>
      <c r="AY352" s="9" t="n"/>
      <c r="AZ352" s="9" t="n"/>
      <c r="BA352" s="9" t="n"/>
    </row>
    <row r="353" ht="15.75" customHeight="1" s="18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  <c r="AH353" s="9" t="n"/>
      <c r="AI353" s="9" t="n"/>
      <c r="AJ353" s="9" t="n"/>
      <c r="AK353" s="9" t="n"/>
      <c r="AL353" s="9" t="n"/>
      <c r="AM353" s="9" t="n"/>
      <c r="AN353" s="9" t="n"/>
      <c r="AO353" s="9" t="n"/>
      <c r="AP353" s="9" t="n"/>
      <c r="AQ353" s="9" t="n"/>
      <c r="AR353" s="9" t="n"/>
      <c r="AS353" s="9" t="n"/>
      <c r="AT353" s="9" t="n"/>
      <c r="AU353" s="9" t="n"/>
      <c r="AV353" s="9" t="n"/>
      <c r="AW353" s="9" t="n"/>
      <c r="AX353" s="9" t="n"/>
      <c r="AY353" s="9" t="n"/>
      <c r="AZ353" s="9" t="n"/>
      <c r="BA353" s="9" t="n"/>
    </row>
    <row r="354" ht="15.75" customHeight="1" s="18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  <c r="AH354" s="9" t="n"/>
      <c r="AI354" s="9" t="n"/>
      <c r="AJ354" s="9" t="n"/>
      <c r="AK354" s="9" t="n"/>
      <c r="AL354" s="9" t="n"/>
      <c r="AM354" s="9" t="n"/>
      <c r="AN354" s="9" t="n"/>
      <c r="AO354" s="9" t="n"/>
      <c r="AP354" s="9" t="n"/>
      <c r="AQ354" s="9" t="n"/>
      <c r="AR354" s="9" t="n"/>
      <c r="AS354" s="9" t="n"/>
      <c r="AT354" s="9" t="n"/>
      <c r="AU354" s="9" t="n"/>
      <c r="AV354" s="9" t="n"/>
      <c r="AW354" s="9" t="n"/>
      <c r="AX354" s="9" t="n"/>
      <c r="AY354" s="9" t="n"/>
      <c r="AZ354" s="9" t="n"/>
      <c r="BA354" s="9" t="n"/>
    </row>
    <row r="355" ht="15.75" customHeight="1" s="18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  <c r="AH355" s="9" t="n"/>
      <c r="AI355" s="9" t="n"/>
      <c r="AJ355" s="9" t="n"/>
      <c r="AK355" s="9" t="n"/>
      <c r="AL355" s="9" t="n"/>
      <c r="AM355" s="9" t="n"/>
      <c r="AN355" s="9" t="n"/>
      <c r="AO355" s="9" t="n"/>
      <c r="AP355" s="9" t="n"/>
      <c r="AQ355" s="9" t="n"/>
      <c r="AR355" s="9" t="n"/>
      <c r="AS355" s="9" t="n"/>
      <c r="AT355" s="9" t="n"/>
      <c r="AU355" s="9" t="n"/>
      <c r="AV355" s="9" t="n"/>
      <c r="AW355" s="9" t="n"/>
      <c r="AX355" s="9" t="n"/>
      <c r="AY355" s="9" t="n"/>
      <c r="AZ355" s="9" t="n"/>
      <c r="BA355" s="9" t="n"/>
    </row>
    <row r="356" ht="15.75" customHeight="1" s="18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  <c r="AH356" s="9" t="n"/>
      <c r="AI356" s="9" t="n"/>
      <c r="AJ356" s="9" t="n"/>
      <c r="AK356" s="9" t="n"/>
      <c r="AL356" s="9" t="n"/>
      <c r="AM356" s="9" t="n"/>
      <c r="AN356" s="9" t="n"/>
      <c r="AO356" s="9" t="n"/>
      <c r="AP356" s="9" t="n"/>
      <c r="AQ356" s="9" t="n"/>
      <c r="AR356" s="9" t="n"/>
      <c r="AS356" s="9" t="n"/>
      <c r="AT356" s="9" t="n"/>
      <c r="AU356" s="9" t="n"/>
      <c r="AV356" s="9" t="n"/>
      <c r="AW356" s="9" t="n"/>
      <c r="AX356" s="9" t="n"/>
      <c r="AY356" s="9" t="n"/>
      <c r="AZ356" s="9" t="n"/>
      <c r="BA356" s="9" t="n"/>
    </row>
    <row r="357" ht="15.75" customHeight="1" s="18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  <c r="AH357" s="9" t="n"/>
      <c r="AI357" s="9" t="n"/>
      <c r="AJ357" s="9" t="n"/>
      <c r="AK357" s="9" t="n"/>
      <c r="AL357" s="9" t="n"/>
      <c r="AM357" s="9" t="n"/>
      <c r="AN357" s="9" t="n"/>
      <c r="AO357" s="9" t="n"/>
      <c r="AP357" s="9" t="n"/>
      <c r="AQ357" s="9" t="n"/>
      <c r="AR357" s="9" t="n"/>
      <c r="AS357" s="9" t="n"/>
      <c r="AT357" s="9" t="n"/>
      <c r="AU357" s="9" t="n"/>
      <c r="AV357" s="9" t="n"/>
      <c r="AW357" s="9" t="n"/>
      <c r="AX357" s="9" t="n"/>
      <c r="AY357" s="9" t="n"/>
      <c r="AZ357" s="9" t="n"/>
      <c r="BA357" s="9" t="n"/>
    </row>
    <row r="358" ht="15.75" customHeight="1" s="1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  <c r="AH358" s="9" t="n"/>
      <c r="AI358" s="9" t="n"/>
      <c r="AJ358" s="9" t="n"/>
      <c r="AK358" s="9" t="n"/>
      <c r="AL358" s="9" t="n"/>
      <c r="AM358" s="9" t="n"/>
      <c r="AN358" s="9" t="n"/>
      <c r="AO358" s="9" t="n"/>
      <c r="AP358" s="9" t="n"/>
      <c r="AQ358" s="9" t="n"/>
      <c r="AR358" s="9" t="n"/>
      <c r="AS358" s="9" t="n"/>
      <c r="AT358" s="9" t="n"/>
      <c r="AU358" s="9" t="n"/>
      <c r="AV358" s="9" t="n"/>
      <c r="AW358" s="9" t="n"/>
      <c r="AX358" s="9" t="n"/>
      <c r="AY358" s="9" t="n"/>
      <c r="AZ358" s="9" t="n"/>
      <c r="BA358" s="9" t="n"/>
    </row>
    <row r="359" ht="15.75" customHeight="1" s="18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  <c r="AH359" s="9" t="n"/>
      <c r="AI359" s="9" t="n"/>
      <c r="AJ359" s="9" t="n"/>
      <c r="AK359" s="9" t="n"/>
      <c r="AL359" s="9" t="n"/>
      <c r="AM359" s="9" t="n"/>
      <c r="AN359" s="9" t="n"/>
      <c r="AO359" s="9" t="n"/>
      <c r="AP359" s="9" t="n"/>
      <c r="AQ359" s="9" t="n"/>
      <c r="AR359" s="9" t="n"/>
      <c r="AS359" s="9" t="n"/>
      <c r="AT359" s="9" t="n"/>
      <c r="AU359" s="9" t="n"/>
      <c r="AV359" s="9" t="n"/>
      <c r="AW359" s="9" t="n"/>
      <c r="AX359" s="9" t="n"/>
      <c r="AY359" s="9" t="n"/>
      <c r="AZ359" s="9" t="n"/>
      <c r="BA359" s="9" t="n"/>
    </row>
    <row r="360" ht="15.75" customHeight="1" s="18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  <c r="AH360" s="9" t="n"/>
      <c r="AI360" s="9" t="n"/>
      <c r="AJ360" s="9" t="n"/>
      <c r="AK360" s="9" t="n"/>
      <c r="AL360" s="9" t="n"/>
      <c r="AM360" s="9" t="n"/>
      <c r="AN360" s="9" t="n"/>
      <c r="AO360" s="9" t="n"/>
      <c r="AP360" s="9" t="n"/>
      <c r="AQ360" s="9" t="n"/>
      <c r="AR360" s="9" t="n"/>
      <c r="AS360" s="9" t="n"/>
      <c r="AT360" s="9" t="n"/>
      <c r="AU360" s="9" t="n"/>
      <c r="AV360" s="9" t="n"/>
      <c r="AW360" s="9" t="n"/>
      <c r="AX360" s="9" t="n"/>
      <c r="AY360" s="9" t="n"/>
      <c r="AZ360" s="9" t="n"/>
      <c r="BA360" s="9" t="n"/>
    </row>
    <row r="361" ht="15.75" customHeight="1" s="18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  <c r="AH361" s="9" t="n"/>
      <c r="AI361" s="9" t="n"/>
      <c r="AJ361" s="9" t="n"/>
      <c r="AK361" s="9" t="n"/>
      <c r="AL361" s="9" t="n"/>
      <c r="AM361" s="9" t="n"/>
      <c r="AN361" s="9" t="n"/>
      <c r="AO361" s="9" t="n"/>
      <c r="AP361" s="9" t="n"/>
      <c r="AQ361" s="9" t="n"/>
      <c r="AR361" s="9" t="n"/>
      <c r="AS361" s="9" t="n"/>
      <c r="AT361" s="9" t="n"/>
      <c r="AU361" s="9" t="n"/>
      <c r="AV361" s="9" t="n"/>
      <c r="AW361" s="9" t="n"/>
      <c r="AX361" s="9" t="n"/>
      <c r="AY361" s="9" t="n"/>
      <c r="AZ361" s="9" t="n"/>
      <c r="BA361" s="9" t="n"/>
    </row>
    <row r="362" ht="15.75" customHeight="1" s="18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  <c r="AH362" s="9" t="n"/>
      <c r="AI362" s="9" t="n"/>
      <c r="AJ362" s="9" t="n"/>
      <c r="AK362" s="9" t="n"/>
      <c r="AL362" s="9" t="n"/>
      <c r="AM362" s="9" t="n"/>
      <c r="AN362" s="9" t="n"/>
      <c r="AO362" s="9" t="n"/>
      <c r="AP362" s="9" t="n"/>
      <c r="AQ362" s="9" t="n"/>
      <c r="AR362" s="9" t="n"/>
      <c r="AS362" s="9" t="n"/>
      <c r="AT362" s="9" t="n"/>
      <c r="AU362" s="9" t="n"/>
      <c r="AV362" s="9" t="n"/>
      <c r="AW362" s="9" t="n"/>
      <c r="AX362" s="9" t="n"/>
      <c r="AY362" s="9" t="n"/>
      <c r="AZ362" s="9" t="n"/>
      <c r="BA362" s="9" t="n"/>
    </row>
    <row r="363" ht="15.75" customHeight="1" s="18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  <c r="AH363" s="9" t="n"/>
      <c r="AI363" s="9" t="n"/>
      <c r="AJ363" s="9" t="n"/>
      <c r="AK363" s="9" t="n"/>
      <c r="AL363" s="9" t="n"/>
      <c r="AM363" s="9" t="n"/>
      <c r="AN363" s="9" t="n"/>
      <c r="AO363" s="9" t="n"/>
      <c r="AP363" s="9" t="n"/>
      <c r="AQ363" s="9" t="n"/>
      <c r="AR363" s="9" t="n"/>
      <c r="AS363" s="9" t="n"/>
      <c r="AT363" s="9" t="n"/>
      <c r="AU363" s="9" t="n"/>
      <c r="AV363" s="9" t="n"/>
      <c r="AW363" s="9" t="n"/>
      <c r="AX363" s="9" t="n"/>
      <c r="AY363" s="9" t="n"/>
      <c r="AZ363" s="9" t="n"/>
      <c r="BA363" s="9" t="n"/>
    </row>
    <row r="364" ht="15.75" customHeight="1" s="18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  <c r="AH364" s="9" t="n"/>
      <c r="AI364" s="9" t="n"/>
      <c r="AJ364" s="9" t="n"/>
      <c r="AK364" s="9" t="n"/>
      <c r="AL364" s="9" t="n"/>
      <c r="AM364" s="9" t="n"/>
      <c r="AN364" s="9" t="n"/>
      <c r="AO364" s="9" t="n"/>
      <c r="AP364" s="9" t="n"/>
      <c r="AQ364" s="9" t="n"/>
      <c r="AR364" s="9" t="n"/>
      <c r="AS364" s="9" t="n"/>
      <c r="AT364" s="9" t="n"/>
      <c r="AU364" s="9" t="n"/>
      <c r="AV364" s="9" t="n"/>
      <c r="AW364" s="9" t="n"/>
      <c r="AX364" s="9" t="n"/>
      <c r="AY364" s="9" t="n"/>
      <c r="AZ364" s="9" t="n"/>
      <c r="BA364" s="9" t="n"/>
    </row>
    <row r="365" ht="15.75" customHeight="1" s="18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  <c r="AH365" s="9" t="n"/>
      <c r="AI365" s="9" t="n"/>
      <c r="AJ365" s="9" t="n"/>
      <c r="AK365" s="9" t="n"/>
      <c r="AL365" s="9" t="n"/>
      <c r="AM365" s="9" t="n"/>
      <c r="AN365" s="9" t="n"/>
      <c r="AO365" s="9" t="n"/>
      <c r="AP365" s="9" t="n"/>
      <c r="AQ365" s="9" t="n"/>
      <c r="AR365" s="9" t="n"/>
      <c r="AS365" s="9" t="n"/>
      <c r="AT365" s="9" t="n"/>
      <c r="AU365" s="9" t="n"/>
      <c r="AV365" s="9" t="n"/>
      <c r="AW365" s="9" t="n"/>
      <c r="AX365" s="9" t="n"/>
      <c r="AY365" s="9" t="n"/>
      <c r="AZ365" s="9" t="n"/>
      <c r="BA365" s="9" t="n"/>
    </row>
    <row r="366" ht="15.75" customHeight="1" s="18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  <c r="AH366" s="9" t="n"/>
      <c r="AI366" s="9" t="n"/>
      <c r="AJ366" s="9" t="n"/>
      <c r="AK366" s="9" t="n"/>
      <c r="AL366" s="9" t="n"/>
      <c r="AM366" s="9" t="n"/>
      <c r="AN366" s="9" t="n"/>
      <c r="AO366" s="9" t="n"/>
      <c r="AP366" s="9" t="n"/>
      <c r="AQ366" s="9" t="n"/>
      <c r="AR366" s="9" t="n"/>
      <c r="AS366" s="9" t="n"/>
      <c r="AT366" s="9" t="n"/>
      <c r="AU366" s="9" t="n"/>
      <c r="AV366" s="9" t="n"/>
      <c r="AW366" s="9" t="n"/>
      <c r="AX366" s="9" t="n"/>
      <c r="AY366" s="9" t="n"/>
      <c r="AZ366" s="9" t="n"/>
      <c r="BA366" s="9" t="n"/>
    </row>
    <row r="367" ht="15.75" customHeight="1" s="18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  <c r="AH367" s="9" t="n"/>
      <c r="AI367" s="9" t="n"/>
      <c r="AJ367" s="9" t="n"/>
      <c r="AK367" s="9" t="n"/>
      <c r="AL367" s="9" t="n"/>
      <c r="AM367" s="9" t="n"/>
      <c r="AN367" s="9" t="n"/>
      <c r="AO367" s="9" t="n"/>
      <c r="AP367" s="9" t="n"/>
      <c r="AQ367" s="9" t="n"/>
      <c r="AR367" s="9" t="n"/>
      <c r="AS367" s="9" t="n"/>
      <c r="AT367" s="9" t="n"/>
      <c r="AU367" s="9" t="n"/>
      <c r="AV367" s="9" t="n"/>
      <c r="AW367" s="9" t="n"/>
      <c r="AX367" s="9" t="n"/>
      <c r="AY367" s="9" t="n"/>
      <c r="AZ367" s="9" t="n"/>
      <c r="BA367" s="9" t="n"/>
    </row>
    <row r="368" ht="15.75" customHeight="1" s="1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  <c r="AH368" s="9" t="n"/>
      <c r="AI368" s="9" t="n"/>
      <c r="AJ368" s="9" t="n"/>
      <c r="AK368" s="9" t="n"/>
      <c r="AL368" s="9" t="n"/>
      <c r="AM368" s="9" t="n"/>
      <c r="AN368" s="9" t="n"/>
      <c r="AO368" s="9" t="n"/>
      <c r="AP368" s="9" t="n"/>
      <c r="AQ368" s="9" t="n"/>
      <c r="AR368" s="9" t="n"/>
      <c r="AS368" s="9" t="n"/>
      <c r="AT368" s="9" t="n"/>
      <c r="AU368" s="9" t="n"/>
      <c r="AV368" s="9" t="n"/>
      <c r="AW368" s="9" t="n"/>
      <c r="AX368" s="9" t="n"/>
      <c r="AY368" s="9" t="n"/>
      <c r="AZ368" s="9" t="n"/>
      <c r="BA368" s="9" t="n"/>
    </row>
    <row r="369" ht="15.75" customHeight="1" s="18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  <c r="AH369" s="9" t="n"/>
      <c r="AI369" s="9" t="n"/>
      <c r="AJ369" s="9" t="n"/>
      <c r="AK369" s="9" t="n"/>
      <c r="AL369" s="9" t="n"/>
      <c r="AM369" s="9" t="n"/>
      <c r="AN369" s="9" t="n"/>
      <c r="AO369" s="9" t="n"/>
      <c r="AP369" s="9" t="n"/>
      <c r="AQ369" s="9" t="n"/>
      <c r="AR369" s="9" t="n"/>
      <c r="AS369" s="9" t="n"/>
      <c r="AT369" s="9" t="n"/>
      <c r="AU369" s="9" t="n"/>
      <c r="AV369" s="9" t="n"/>
      <c r="AW369" s="9" t="n"/>
      <c r="AX369" s="9" t="n"/>
      <c r="AY369" s="9" t="n"/>
      <c r="AZ369" s="9" t="n"/>
      <c r="BA369" s="9" t="n"/>
    </row>
    <row r="370" ht="15.75" customHeight="1" s="18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  <c r="AH370" s="9" t="n"/>
      <c r="AI370" s="9" t="n"/>
      <c r="AJ370" s="9" t="n"/>
      <c r="AK370" s="9" t="n"/>
      <c r="AL370" s="9" t="n"/>
      <c r="AM370" s="9" t="n"/>
      <c r="AN370" s="9" t="n"/>
      <c r="AO370" s="9" t="n"/>
      <c r="AP370" s="9" t="n"/>
      <c r="AQ370" s="9" t="n"/>
      <c r="AR370" s="9" t="n"/>
      <c r="AS370" s="9" t="n"/>
      <c r="AT370" s="9" t="n"/>
      <c r="AU370" s="9" t="n"/>
      <c r="AV370" s="9" t="n"/>
      <c r="AW370" s="9" t="n"/>
      <c r="AX370" s="9" t="n"/>
      <c r="AY370" s="9" t="n"/>
      <c r="AZ370" s="9" t="n"/>
      <c r="BA370" s="9" t="n"/>
    </row>
    <row r="371" ht="15.75" customHeight="1" s="18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  <c r="AH371" s="9" t="n"/>
      <c r="AI371" s="9" t="n"/>
      <c r="AJ371" s="9" t="n"/>
      <c r="AK371" s="9" t="n"/>
      <c r="AL371" s="9" t="n"/>
      <c r="AM371" s="9" t="n"/>
      <c r="AN371" s="9" t="n"/>
      <c r="AO371" s="9" t="n"/>
      <c r="AP371" s="9" t="n"/>
      <c r="AQ371" s="9" t="n"/>
      <c r="AR371" s="9" t="n"/>
      <c r="AS371" s="9" t="n"/>
      <c r="AT371" s="9" t="n"/>
      <c r="AU371" s="9" t="n"/>
      <c r="AV371" s="9" t="n"/>
      <c r="AW371" s="9" t="n"/>
      <c r="AX371" s="9" t="n"/>
      <c r="AY371" s="9" t="n"/>
      <c r="AZ371" s="9" t="n"/>
      <c r="BA371" s="9" t="n"/>
    </row>
    <row r="372" ht="15.75" customHeight="1" s="18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  <c r="AH372" s="9" t="n"/>
      <c r="AI372" s="9" t="n"/>
      <c r="AJ372" s="9" t="n"/>
      <c r="AK372" s="9" t="n"/>
      <c r="AL372" s="9" t="n"/>
      <c r="AM372" s="9" t="n"/>
      <c r="AN372" s="9" t="n"/>
      <c r="AO372" s="9" t="n"/>
      <c r="AP372" s="9" t="n"/>
      <c r="AQ372" s="9" t="n"/>
      <c r="AR372" s="9" t="n"/>
      <c r="AS372" s="9" t="n"/>
      <c r="AT372" s="9" t="n"/>
      <c r="AU372" s="9" t="n"/>
      <c r="AV372" s="9" t="n"/>
      <c r="AW372" s="9" t="n"/>
      <c r="AX372" s="9" t="n"/>
      <c r="AY372" s="9" t="n"/>
      <c r="AZ372" s="9" t="n"/>
      <c r="BA372" s="9" t="n"/>
    </row>
    <row r="373" ht="15.75" customHeight="1" s="18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  <c r="AH373" s="9" t="n"/>
      <c r="AI373" s="9" t="n"/>
      <c r="AJ373" s="9" t="n"/>
      <c r="AK373" s="9" t="n"/>
      <c r="AL373" s="9" t="n"/>
      <c r="AM373" s="9" t="n"/>
      <c r="AN373" s="9" t="n"/>
      <c r="AO373" s="9" t="n"/>
      <c r="AP373" s="9" t="n"/>
      <c r="AQ373" s="9" t="n"/>
      <c r="AR373" s="9" t="n"/>
      <c r="AS373" s="9" t="n"/>
      <c r="AT373" s="9" t="n"/>
      <c r="AU373" s="9" t="n"/>
      <c r="AV373" s="9" t="n"/>
      <c r="AW373" s="9" t="n"/>
      <c r="AX373" s="9" t="n"/>
      <c r="AY373" s="9" t="n"/>
      <c r="AZ373" s="9" t="n"/>
      <c r="BA373" s="9" t="n"/>
    </row>
    <row r="374" ht="15.75" customHeight="1" s="18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  <c r="AH374" s="9" t="n"/>
      <c r="AI374" s="9" t="n"/>
      <c r="AJ374" s="9" t="n"/>
      <c r="AK374" s="9" t="n"/>
      <c r="AL374" s="9" t="n"/>
      <c r="AM374" s="9" t="n"/>
      <c r="AN374" s="9" t="n"/>
      <c r="AO374" s="9" t="n"/>
      <c r="AP374" s="9" t="n"/>
      <c r="AQ374" s="9" t="n"/>
      <c r="AR374" s="9" t="n"/>
      <c r="AS374" s="9" t="n"/>
      <c r="AT374" s="9" t="n"/>
      <c r="AU374" s="9" t="n"/>
      <c r="AV374" s="9" t="n"/>
      <c r="AW374" s="9" t="n"/>
      <c r="AX374" s="9" t="n"/>
      <c r="AY374" s="9" t="n"/>
      <c r="AZ374" s="9" t="n"/>
      <c r="BA374" s="9" t="n"/>
    </row>
    <row r="375" ht="15.75" customHeight="1" s="18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  <c r="AH375" s="9" t="n"/>
      <c r="AI375" s="9" t="n"/>
      <c r="AJ375" s="9" t="n"/>
      <c r="AK375" s="9" t="n"/>
      <c r="AL375" s="9" t="n"/>
      <c r="AM375" s="9" t="n"/>
      <c r="AN375" s="9" t="n"/>
      <c r="AO375" s="9" t="n"/>
      <c r="AP375" s="9" t="n"/>
      <c r="AQ375" s="9" t="n"/>
      <c r="AR375" s="9" t="n"/>
      <c r="AS375" s="9" t="n"/>
      <c r="AT375" s="9" t="n"/>
      <c r="AU375" s="9" t="n"/>
      <c r="AV375" s="9" t="n"/>
      <c r="AW375" s="9" t="n"/>
      <c r="AX375" s="9" t="n"/>
      <c r="AY375" s="9" t="n"/>
      <c r="AZ375" s="9" t="n"/>
      <c r="BA375" s="9" t="n"/>
    </row>
    <row r="376" ht="15.75" customHeight="1" s="18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  <c r="AH376" s="9" t="n"/>
      <c r="AI376" s="9" t="n"/>
      <c r="AJ376" s="9" t="n"/>
      <c r="AK376" s="9" t="n"/>
      <c r="AL376" s="9" t="n"/>
      <c r="AM376" s="9" t="n"/>
      <c r="AN376" s="9" t="n"/>
      <c r="AO376" s="9" t="n"/>
      <c r="AP376" s="9" t="n"/>
      <c r="AQ376" s="9" t="n"/>
      <c r="AR376" s="9" t="n"/>
      <c r="AS376" s="9" t="n"/>
      <c r="AT376" s="9" t="n"/>
      <c r="AU376" s="9" t="n"/>
      <c r="AV376" s="9" t="n"/>
      <c r="AW376" s="9" t="n"/>
      <c r="AX376" s="9" t="n"/>
      <c r="AY376" s="9" t="n"/>
      <c r="AZ376" s="9" t="n"/>
      <c r="BA376" s="9" t="n"/>
    </row>
    <row r="377" ht="15.75" customHeight="1" s="18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  <c r="AH377" s="9" t="n"/>
      <c r="AI377" s="9" t="n"/>
      <c r="AJ377" s="9" t="n"/>
      <c r="AK377" s="9" t="n"/>
      <c r="AL377" s="9" t="n"/>
      <c r="AM377" s="9" t="n"/>
      <c r="AN377" s="9" t="n"/>
      <c r="AO377" s="9" t="n"/>
      <c r="AP377" s="9" t="n"/>
      <c r="AQ377" s="9" t="n"/>
      <c r="AR377" s="9" t="n"/>
      <c r="AS377" s="9" t="n"/>
      <c r="AT377" s="9" t="n"/>
      <c r="AU377" s="9" t="n"/>
      <c r="AV377" s="9" t="n"/>
      <c r="AW377" s="9" t="n"/>
      <c r="AX377" s="9" t="n"/>
      <c r="AY377" s="9" t="n"/>
      <c r="AZ377" s="9" t="n"/>
      <c r="BA377" s="9" t="n"/>
    </row>
    <row r="378" ht="15.75" customHeight="1" s="1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  <c r="AH378" s="9" t="n"/>
      <c r="AI378" s="9" t="n"/>
      <c r="AJ378" s="9" t="n"/>
      <c r="AK378" s="9" t="n"/>
      <c r="AL378" s="9" t="n"/>
      <c r="AM378" s="9" t="n"/>
      <c r="AN378" s="9" t="n"/>
      <c r="AO378" s="9" t="n"/>
      <c r="AP378" s="9" t="n"/>
      <c r="AQ378" s="9" t="n"/>
      <c r="AR378" s="9" t="n"/>
      <c r="AS378" s="9" t="n"/>
      <c r="AT378" s="9" t="n"/>
      <c r="AU378" s="9" t="n"/>
      <c r="AV378" s="9" t="n"/>
      <c r="AW378" s="9" t="n"/>
      <c r="AX378" s="9" t="n"/>
      <c r="AY378" s="9" t="n"/>
      <c r="AZ378" s="9" t="n"/>
      <c r="BA378" s="9" t="n"/>
    </row>
    <row r="379" ht="15.75" customHeight="1" s="18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  <c r="AH379" s="9" t="n"/>
      <c r="AI379" s="9" t="n"/>
      <c r="AJ379" s="9" t="n"/>
      <c r="AK379" s="9" t="n"/>
      <c r="AL379" s="9" t="n"/>
      <c r="AM379" s="9" t="n"/>
      <c r="AN379" s="9" t="n"/>
      <c r="AO379" s="9" t="n"/>
      <c r="AP379" s="9" t="n"/>
      <c r="AQ379" s="9" t="n"/>
      <c r="AR379" s="9" t="n"/>
      <c r="AS379" s="9" t="n"/>
      <c r="AT379" s="9" t="n"/>
      <c r="AU379" s="9" t="n"/>
      <c r="AV379" s="9" t="n"/>
      <c r="AW379" s="9" t="n"/>
      <c r="AX379" s="9" t="n"/>
      <c r="AY379" s="9" t="n"/>
      <c r="AZ379" s="9" t="n"/>
      <c r="BA379" s="9" t="n"/>
    </row>
    <row r="380" ht="15.75" customHeight="1" s="18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  <c r="AH380" s="9" t="n"/>
      <c r="AI380" s="9" t="n"/>
      <c r="AJ380" s="9" t="n"/>
      <c r="AK380" s="9" t="n"/>
      <c r="AL380" s="9" t="n"/>
      <c r="AM380" s="9" t="n"/>
      <c r="AN380" s="9" t="n"/>
      <c r="AO380" s="9" t="n"/>
      <c r="AP380" s="9" t="n"/>
      <c r="AQ380" s="9" t="n"/>
      <c r="AR380" s="9" t="n"/>
      <c r="AS380" s="9" t="n"/>
      <c r="AT380" s="9" t="n"/>
      <c r="AU380" s="9" t="n"/>
      <c r="AV380" s="9" t="n"/>
      <c r="AW380" s="9" t="n"/>
      <c r="AX380" s="9" t="n"/>
      <c r="AY380" s="9" t="n"/>
      <c r="AZ380" s="9" t="n"/>
      <c r="BA380" s="9" t="n"/>
    </row>
    <row r="381" ht="15.75" customHeight="1" s="18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  <c r="AH381" s="9" t="n"/>
      <c r="AI381" s="9" t="n"/>
      <c r="AJ381" s="9" t="n"/>
      <c r="AK381" s="9" t="n"/>
      <c r="AL381" s="9" t="n"/>
      <c r="AM381" s="9" t="n"/>
      <c r="AN381" s="9" t="n"/>
      <c r="AO381" s="9" t="n"/>
      <c r="AP381" s="9" t="n"/>
      <c r="AQ381" s="9" t="n"/>
      <c r="AR381" s="9" t="n"/>
      <c r="AS381" s="9" t="n"/>
      <c r="AT381" s="9" t="n"/>
      <c r="AU381" s="9" t="n"/>
      <c r="AV381" s="9" t="n"/>
      <c r="AW381" s="9" t="n"/>
      <c r="AX381" s="9" t="n"/>
      <c r="AY381" s="9" t="n"/>
      <c r="AZ381" s="9" t="n"/>
      <c r="BA381" s="9" t="n"/>
    </row>
    <row r="382" ht="15.75" customHeight="1" s="18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  <c r="AH382" s="9" t="n"/>
      <c r="AI382" s="9" t="n"/>
      <c r="AJ382" s="9" t="n"/>
      <c r="AK382" s="9" t="n"/>
      <c r="AL382" s="9" t="n"/>
      <c r="AM382" s="9" t="n"/>
      <c r="AN382" s="9" t="n"/>
      <c r="AO382" s="9" t="n"/>
      <c r="AP382" s="9" t="n"/>
      <c r="AQ382" s="9" t="n"/>
      <c r="AR382" s="9" t="n"/>
      <c r="AS382" s="9" t="n"/>
      <c r="AT382" s="9" t="n"/>
      <c r="AU382" s="9" t="n"/>
      <c r="AV382" s="9" t="n"/>
      <c r="AW382" s="9" t="n"/>
      <c r="AX382" s="9" t="n"/>
      <c r="AY382" s="9" t="n"/>
      <c r="AZ382" s="9" t="n"/>
      <c r="BA382" s="9" t="n"/>
    </row>
    <row r="383" ht="15.75" customHeight="1" s="18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  <c r="AH383" s="9" t="n"/>
      <c r="AI383" s="9" t="n"/>
      <c r="AJ383" s="9" t="n"/>
      <c r="AK383" s="9" t="n"/>
      <c r="AL383" s="9" t="n"/>
      <c r="AM383" s="9" t="n"/>
      <c r="AN383" s="9" t="n"/>
      <c r="AO383" s="9" t="n"/>
      <c r="AP383" s="9" t="n"/>
      <c r="AQ383" s="9" t="n"/>
      <c r="AR383" s="9" t="n"/>
      <c r="AS383" s="9" t="n"/>
      <c r="AT383" s="9" t="n"/>
      <c r="AU383" s="9" t="n"/>
      <c r="AV383" s="9" t="n"/>
      <c r="AW383" s="9" t="n"/>
      <c r="AX383" s="9" t="n"/>
      <c r="AY383" s="9" t="n"/>
      <c r="AZ383" s="9" t="n"/>
      <c r="BA383" s="9" t="n"/>
    </row>
    <row r="384" ht="15.75" customHeight="1" s="18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  <c r="AH384" s="9" t="n"/>
      <c r="AI384" s="9" t="n"/>
      <c r="AJ384" s="9" t="n"/>
      <c r="AK384" s="9" t="n"/>
      <c r="AL384" s="9" t="n"/>
      <c r="AM384" s="9" t="n"/>
      <c r="AN384" s="9" t="n"/>
      <c r="AO384" s="9" t="n"/>
      <c r="AP384" s="9" t="n"/>
      <c r="AQ384" s="9" t="n"/>
      <c r="AR384" s="9" t="n"/>
      <c r="AS384" s="9" t="n"/>
      <c r="AT384" s="9" t="n"/>
      <c r="AU384" s="9" t="n"/>
      <c r="AV384" s="9" t="n"/>
      <c r="AW384" s="9" t="n"/>
      <c r="AX384" s="9" t="n"/>
      <c r="AY384" s="9" t="n"/>
      <c r="AZ384" s="9" t="n"/>
      <c r="BA384" s="9" t="n"/>
    </row>
    <row r="385" ht="15.75" customHeight="1" s="18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  <c r="AH385" s="9" t="n"/>
      <c r="AI385" s="9" t="n"/>
      <c r="AJ385" s="9" t="n"/>
      <c r="AK385" s="9" t="n"/>
      <c r="AL385" s="9" t="n"/>
      <c r="AM385" s="9" t="n"/>
      <c r="AN385" s="9" t="n"/>
      <c r="AO385" s="9" t="n"/>
      <c r="AP385" s="9" t="n"/>
      <c r="AQ385" s="9" t="n"/>
      <c r="AR385" s="9" t="n"/>
      <c r="AS385" s="9" t="n"/>
      <c r="AT385" s="9" t="n"/>
      <c r="AU385" s="9" t="n"/>
      <c r="AV385" s="9" t="n"/>
      <c r="AW385" s="9" t="n"/>
      <c r="AX385" s="9" t="n"/>
      <c r="AY385" s="9" t="n"/>
      <c r="AZ385" s="9" t="n"/>
      <c r="BA385" s="9" t="n"/>
    </row>
    <row r="386" ht="15.75" customHeight="1" s="18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  <c r="AH386" s="9" t="n"/>
      <c r="AI386" s="9" t="n"/>
      <c r="AJ386" s="9" t="n"/>
      <c r="AK386" s="9" t="n"/>
      <c r="AL386" s="9" t="n"/>
      <c r="AM386" s="9" t="n"/>
      <c r="AN386" s="9" t="n"/>
      <c r="AO386" s="9" t="n"/>
      <c r="AP386" s="9" t="n"/>
      <c r="AQ386" s="9" t="n"/>
      <c r="AR386" s="9" t="n"/>
      <c r="AS386" s="9" t="n"/>
      <c r="AT386" s="9" t="n"/>
      <c r="AU386" s="9" t="n"/>
      <c r="AV386" s="9" t="n"/>
      <c r="AW386" s="9" t="n"/>
      <c r="AX386" s="9" t="n"/>
      <c r="AY386" s="9" t="n"/>
      <c r="AZ386" s="9" t="n"/>
      <c r="BA386" s="9" t="n"/>
    </row>
    <row r="387" ht="15.75" customHeight="1" s="18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  <c r="AH387" s="9" t="n"/>
      <c r="AI387" s="9" t="n"/>
      <c r="AJ387" s="9" t="n"/>
      <c r="AK387" s="9" t="n"/>
      <c r="AL387" s="9" t="n"/>
      <c r="AM387" s="9" t="n"/>
      <c r="AN387" s="9" t="n"/>
      <c r="AO387" s="9" t="n"/>
      <c r="AP387" s="9" t="n"/>
      <c r="AQ387" s="9" t="n"/>
      <c r="AR387" s="9" t="n"/>
      <c r="AS387" s="9" t="n"/>
      <c r="AT387" s="9" t="n"/>
      <c r="AU387" s="9" t="n"/>
      <c r="AV387" s="9" t="n"/>
      <c r="AW387" s="9" t="n"/>
      <c r="AX387" s="9" t="n"/>
      <c r="AY387" s="9" t="n"/>
      <c r="AZ387" s="9" t="n"/>
      <c r="BA387" s="9" t="n"/>
    </row>
    <row r="388" ht="15.75" customHeight="1" s="1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  <c r="AH388" s="9" t="n"/>
      <c r="AI388" s="9" t="n"/>
      <c r="AJ388" s="9" t="n"/>
      <c r="AK388" s="9" t="n"/>
      <c r="AL388" s="9" t="n"/>
      <c r="AM388" s="9" t="n"/>
      <c r="AN388" s="9" t="n"/>
      <c r="AO388" s="9" t="n"/>
      <c r="AP388" s="9" t="n"/>
      <c r="AQ388" s="9" t="n"/>
      <c r="AR388" s="9" t="n"/>
      <c r="AS388" s="9" t="n"/>
      <c r="AT388" s="9" t="n"/>
      <c r="AU388" s="9" t="n"/>
      <c r="AV388" s="9" t="n"/>
      <c r="AW388" s="9" t="n"/>
      <c r="AX388" s="9" t="n"/>
      <c r="AY388" s="9" t="n"/>
      <c r="AZ388" s="9" t="n"/>
      <c r="BA388" s="9" t="n"/>
    </row>
    <row r="389" ht="15.75" customHeight="1" s="18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  <c r="AH389" s="9" t="n"/>
      <c r="AI389" s="9" t="n"/>
      <c r="AJ389" s="9" t="n"/>
      <c r="AK389" s="9" t="n"/>
      <c r="AL389" s="9" t="n"/>
      <c r="AM389" s="9" t="n"/>
      <c r="AN389" s="9" t="n"/>
      <c r="AO389" s="9" t="n"/>
      <c r="AP389" s="9" t="n"/>
      <c r="AQ389" s="9" t="n"/>
      <c r="AR389" s="9" t="n"/>
      <c r="AS389" s="9" t="n"/>
      <c r="AT389" s="9" t="n"/>
      <c r="AU389" s="9" t="n"/>
      <c r="AV389" s="9" t="n"/>
      <c r="AW389" s="9" t="n"/>
      <c r="AX389" s="9" t="n"/>
      <c r="AY389" s="9" t="n"/>
      <c r="AZ389" s="9" t="n"/>
      <c r="BA389" s="9" t="n"/>
    </row>
    <row r="390" ht="15.75" customHeight="1" s="18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  <c r="AH390" s="9" t="n"/>
      <c r="AI390" s="9" t="n"/>
      <c r="AJ390" s="9" t="n"/>
      <c r="AK390" s="9" t="n"/>
      <c r="AL390" s="9" t="n"/>
      <c r="AM390" s="9" t="n"/>
      <c r="AN390" s="9" t="n"/>
      <c r="AO390" s="9" t="n"/>
      <c r="AP390" s="9" t="n"/>
      <c r="AQ390" s="9" t="n"/>
      <c r="AR390" s="9" t="n"/>
      <c r="AS390" s="9" t="n"/>
      <c r="AT390" s="9" t="n"/>
      <c r="AU390" s="9" t="n"/>
      <c r="AV390" s="9" t="n"/>
      <c r="AW390" s="9" t="n"/>
      <c r="AX390" s="9" t="n"/>
      <c r="AY390" s="9" t="n"/>
      <c r="AZ390" s="9" t="n"/>
      <c r="BA390" s="9" t="n"/>
    </row>
    <row r="391" ht="15.75" customHeight="1" s="18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  <c r="AH391" s="9" t="n"/>
      <c r="AI391" s="9" t="n"/>
      <c r="AJ391" s="9" t="n"/>
      <c r="AK391" s="9" t="n"/>
      <c r="AL391" s="9" t="n"/>
      <c r="AM391" s="9" t="n"/>
      <c r="AN391" s="9" t="n"/>
      <c r="AO391" s="9" t="n"/>
      <c r="AP391" s="9" t="n"/>
      <c r="AQ391" s="9" t="n"/>
      <c r="AR391" s="9" t="n"/>
      <c r="AS391" s="9" t="n"/>
      <c r="AT391" s="9" t="n"/>
      <c r="AU391" s="9" t="n"/>
      <c r="AV391" s="9" t="n"/>
      <c r="AW391" s="9" t="n"/>
      <c r="AX391" s="9" t="n"/>
      <c r="AY391" s="9" t="n"/>
      <c r="AZ391" s="9" t="n"/>
      <c r="BA391" s="9" t="n"/>
    </row>
    <row r="392" ht="15.75" customHeight="1" s="18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  <c r="AH392" s="9" t="n"/>
      <c r="AI392" s="9" t="n"/>
      <c r="AJ392" s="9" t="n"/>
      <c r="AK392" s="9" t="n"/>
      <c r="AL392" s="9" t="n"/>
      <c r="AM392" s="9" t="n"/>
      <c r="AN392" s="9" t="n"/>
      <c r="AO392" s="9" t="n"/>
      <c r="AP392" s="9" t="n"/>
      <c r="AQ392" s="9" t="n"/>
      <c r="AR392" s="9" t="n"/>
      <c r="AS392" s="9" t="n"/>
      <c r="AT392" s="9" t="n"/>
      <c r="AU392" s="9" t="n"/>
      <c r="AV392" s="9" t="n"/>
      <c r="AW392" s="9" t="n"/>
      <c r="AX392" s="9" t="n"/>
      <c r="AY392" s="9" t="n"/>
      <c r="AZ392" s="9" t="n"/>
      <c r="BA392" s="9" t="n"/>
    </row>
    <row r="393" ht="15.75" customHeight="1" s="18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  <c r="AH393" s="9" t="n"/>
      <c r="AI393" s="9" t="n"/>
      <c r="AJ393" s="9" t="n"/>
      <c r="AK393" s="9" t="n"/>
      <c r="AL393" s="9" t="n"/>
      <c r="AM393" s="9" t="n"/>
      <c r="AN393" s="9" t="n"/>
      <c r="AO393" s="9" t="n"/>
      <c r="AP393" s="9" t="n"/>
      <c r="AQ393" s="9" t="n"/>
      <c r="AR393" s="9" t="n"/>
      <c r="AS393" s="9" t="n"/>
      <c r="AT393" s="9" t="n"/>
      <c r="AU393" s="9" t="n"/>
      <c r="AV393" s="9" t="n"/>
      <c r="AW393" s="9" t="n"/>
      <c r="AX393" s="9" t="n"/>
      <c r="AY393" s="9" t="n"/>
      <c r="AZ393" s="9" t="n"/>
      <c r="BA393" s="9" t="n"/>
    </row>
    <row r="394" ht="15.75" customHeight="1" s="18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  <c r="AH394" s="9" t="n"/>
      <c r="AI394" s="9" t="n"/>
      <c r="AJ394" s="9" t="n"/>
      <c r="AK394" s="9" t="n"/>
      <c r="AL394" s="9" t="n"/>
      <c r="AM394" s="9" t="n"/>
      <c r="AN394" s="9" t="n"/>
      <c r="AO394" s="9" t="n"/>
      <c r="AP394" s="9" t="n"/>
      <c r="AQ394" s="9" t="n"/>
      <c r="AR394" s="9" t="n"/>
      <c r="AS394" s="9" t="n"/>
      <c r="AT394" s="9" t="n"/>
      <c r="AU394" s="9" t="n"/>
      <c r="AV394" s="9" t="n"/>
      <c r="AW394" s="9" t="n"/>
      <c r="AX394" s="9" t="n"/>
      <c r="AY394" s="9" t="n"/>
      <c r="AZ394" s="9" t="n"/>
      <c r="BA394" s="9" t="n"/>
    </row>
    <row r="395" ht="15.75" customHeight="1" s="18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  <c r="AH395" s="9" t="n"/>
      <c r="AI395" s="9" t="n"/>
      <c r="AJ395" s="9" t="n"/>
      <c r="AK395" s="9" t="n"/>
      <c r="AL395" s="9" t="n"/>
      <c r="AM395" s="9" t="n"/>
      <c r="AN395" s="9" t="n"/>
      <c r="AO395" s="9" t="n"/>
      <c r="AP395" s="9" t="n"/>
      <c r="AQ395" s="9" t="n"/>
      <c r="AR395" s="9" t="n"/>
      <c r="AS395" s="9" t="n"/>
      <c r="AT395" s="9" t="n"/>
      <c r="AU395" s="9" t="n"/>
      <c r="AV395" s="9" t="n"/>
      <c r="AW395" s="9" t="n"/>
      <c r="AX395" s="9" t="n"/>
      <c r="AY395" s="9" t="n"/>
      <c r="AZ395" s="9" t="n"/>
      <c r="BA395" s="9" t="n"/>
    </row>
    <row r="396" ht="15.75" customHeight="1" s="18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  <c r="AH396" s="9" t="n"/>
      <c r="AI396" s="9" t="n"/>
      <c r="AJ396" s="9" t="n"/>
      <c r="AK396" s="9" t="n"/>
      <c r="AL396" s="9" t="n"/>
      <c r="AM396" s="9" t="n"/>
      <c r="AN396" s="9" t="n"/>
      <c r="AO396" s="9" t="n"/>
      <c r="AP396" s="9" t="n"/>
      <c r="AQ396" s="9" t="n"/>
      <c r="AR396" s="9" t="n"/>
      <c r="AS396" s="9" t="n"/>
      <c r="AT396" s="9" t="n"/>
      <c r="AU396" s="9" t="n"/>
      <c r="AV396" s="9" t="n"/>
      <c r="AW396" s="9" t="n"/>
      <c r="AX396" s="9" t="n"/>
      <c r="AY396" s="9" t="n"/>
      <c r="AZ396" s="9" t="n"/>
      <c r="BA396" s="9" t="n"/>
    </row>
    <row r="397" ht="15.75" customHeight="1" s="18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  <c r="AH397" s="9" t="n"/>
      <c r="AI397" s="9" t="n"/>
      <c r="AJ397" s="9" t="n"/>
      <c r="AK397" s="9" t="n"/>
      <c r="AL397" s="9" t="n"/>
      <c r="AM397" s="9" t="n"/>
      <c r="AN397" s="9" t="n"/>
      <c r="AO397" s="9" t="n"/>
      <c r="AP397" s="9" t="n"/>
      <c r="AQ397" s="9" t="n"/>
      <c r="AR397" s="9" t="n"/>
      <c r="AS397" s="9" t="n"/>
      <c r="AT397" s="9" t="n"/>
      <c r="AU397" s="9" t="n"/>
      <c r="AV397" s="9" t="n"/>
      <c r="AW397" s="9" t="n"/>
      <c r="AX397" s="9" t="n"/>
      <c r="AY397" s="9" t="n"/>
      <c r="AZ397" s="9" t="n"/>
      <c r="BA397" s="9" t="n"/>
    </row>
    <row r="398" ht="15.75" customHeight="1" s="1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  <c r="AH398" s="9" t="n"/>
      <c r="AI398" s="9" t="n"/>
      <c r="AJ398" s="9" t="n"/>
      <c r="AK398" s="9" t="n"/>
      <c r="AL398" s="9" t="n"/>
      <c r="AM398" s="9" t="n"/>
      <c r="AN398" s="9" t="n"/>
      <c r="AO398" s="9" t="n"/>
      <c r="AP398" s="9" t="n"/>
      <c r="AQ398" s="9" t="n"/>
      <c r="AR398" s="9" t="n"/>
      <c r="AS398" s="9" t="n"/>
      <c r="AT398" s="9" t="n"/>
      <c r="AU398" s="9" t="n"/>
      <c r="AV398" s="9" t="n"/>
      <c r="AW398" s="9" t="n"/>
      <c r="AX398" s="9" t="n"/>
      <c r="AY398" s="9" t="n"/>
      <c r="AZ398" s="9" t="n"/>
      <c r="BA398" s="9" t="n"/>
    </row>
    <row r="399" ht="15.75" customHeight="1" s="18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  <c r="AH399" s="9" t="n"/>
      <c r="AI399" s="9" t="n"/>
      <c r="AJ399" s="9" t="n"/>
      <c r="AK399" s="9" t="n"/>
      <c r="AL399" s="9" t="n"/>
      <c r="AM399" s="9" t="n"/>
      <c r="AN399" s="9" t="n"/>
      <c r="AO399" s="9" t="n"/>
      <c r="AP399" s="9" t="n"/>
      <c r="AQ399" s="9" t="n"/>
      <c r="AR399" s="9" t="n"/>
      <c r="AS399" s="9" t="n"/>
      <c r="AT399" s="9" t="n"/>
      <c r="AU399" s="9" t="n"/>
      <c r="AV399" s="9" t="n"/>
      <c r="AW399" s="9" t="n"/>
      <c r="AX399" s="9" t="n"/>
      <c r="AY399" s="9" t="n"/>
      <c r="AZ399" s="9" t="n"/>
      <c r="BA399" s="9" t="n"/>
    </row>
    <row r="400" ht="15.75" customHeight="1" s="18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  <c r="AH400" s="9" t="n"/>
      <c r="AI400" s="9" t="n"/>
      <c r="AJ400" s="9" t="n"/>
      <c r="AK400" s="9" t="n"/>
      <c r="AL400" s="9" t="n"/>
      <c r="AM400" s="9" t="n"/>
      <c r="AN400" s="9" t="n"/>
      <c r="AO400" s="9" t="n"/>
      <c r="AP400" s="9" t="n"/>
      <c r="AQ400" s="9" t="n"/>
      <c r="AR400" s="9" t="n"/>
      <c r="AS400" s="9" t="n"/>
      <c r="AT400" s="9" t="n"/>
      <c r="AU400" s="9" t="n"/>
      <c r="AV400" s="9" t="n"/>
      <c r="AW400" s="9" t="n"/>
      <c r="AX400" s="9" t="n"/>
      <c r="AY400" s="9" t="n"/>
      <c r="AZ400" s="9" t="n"/>
      <c r="BA400" s="9" t="n"/>
    </row>
    <row r="401" ht="15.75" customHeight="1" s="18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  <c r="AH401" s="9" t="n"/>
      <c r="AI401" s="9" t="n"/>
      <c r="AJ401" s="9" t="n"/>
      <c r="AK401" s="9" t="n"/>
      <c r="AL401" s="9" t="n"/>
      <c r="AM401" s="9" t="n"/>
      <c r="AN401" s="9" t="n"/>
      <c r="AO401" s="9" t="n"/>
      <c r="AP401" s="9" t="n"/>
      <c r="AQ401" s="9" t="n"/>
      <c r="AR401" s="9" t="n"/>
      <c r="AS401" s="9" t="n"/>
      <c r="AT401" s="9" t="n"/>
      <c r="AU401" s="9" t="n"/>
      <c r="AV401" s="9" t="n"/>
      <c r="AW401" s="9" t="n"/>
      <c r="AX401" s="9" t="n"/>
      <c r="AY401" s="9" t="n"/>
      <c r="AZ401" s="9" t="n"/>
      <c r="BA401" s="9" t="n"/>
    </row>
    <row r="402" ht="15.75" customHeight="1" s="18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  <c r="AH402" s="9" t="n"/>
      <c r="AI402" s="9" t="n"/>
      <c r="AJ402" s="9" t="n"/>
      <c r="AK402" s="9" t="n"/>
      <c r="AL402" s="9" t="n"/>
      <c r="AM402" s="9" t="n"/>
      <c r="AN402" s="9" t="n"/>
      <c r="AO402" s="9" t="n"/>
      <c r="AP402" s="9" t="n"/>
      <c r="AQ402" s="9" t="n"/>
      <c r="AR402" s="9" t="n"/>
      <c r="AS402" s="9" t="n"/>
      <c r="AT402" s="9" t="n"/>
      <c r="AU402" s="9" t="n"/>
      <c r="AV402" s="9" t="n"/>
      <c r="AW402" s="9" t="n"/>
      <c r="AX402" s="9" t="n"/>
      <c r="AY402" s="9" t="n"/>
      <c r="AZ402" s="9" t="n"/>
      <c r="BA402" s="9" t="n"/>
    </row>
    <row r="403" ht="15.75" customHeight="1" s="18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  <c r="AH403" s="9" t="n"/>
      <c r="AI403" s="9" t="n"/>
      <c r="AJ403" s="9" t="n"/>
      <c r="AK403" s="9" t="n"/>
      <c r="AL403" s="9" t="n"/>
      <c r="AM403" s="9" t="n"/>
      <c r="AN403" s="9" t="n"/>
      <c r="AO403" s="9" t="n"/>
      <c r="AP403" s="9" t="n"/>
      <c r="AQ403" s="9" t="n"/>
      <c r="AR403" s="9" t="n"/>
      <c r="AS403" s="9" t="n"/>
      <c r="AT403" s="9" t="n"/>
      <c r="AU403" s="9" t="n"/>
      <c r="AV403" s="9" t="n"/>
      <c r="AW403" s="9" t="n"/>
      <c r="AX403" s="9" t="n"/>
      <c r="AY403" s="9" t="n"/>
      <c r="AZ403" s="9" t="n"/>
      <c r="BA403" s="9" t="n"/>
    </row>
    <row r="404" ht="15.75" customHeight="1" s="18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  <c r="AH404" s="9" t="n"/>
      <c r="AI404" s="9" t="n"/>
      <c r="AJ404" s="9" t="n"/>
      <c r="AK404" s="9" t="n"/>
      <c r="AL404" s="9" t="n"/>
      <c r="AM404" s="9" t="n"/>
      <c r="AN404" s="9" t="n"/>
      <c r="AO404" s="9" t="n"/>
      <c r="AP404" s="9" t="n"/>
      <c r="AQ404" s="9" t="n"/>
      <c r="AR404" s="9" t="n"/>
      <c r="AS404" s="9" t="n"/>
      <c r="AT404" s="9" t="n"/>
      <c r="AU404" s="9" t="n"/>
      <c r="AV404" s="9" t="n"/>
      <c r="AW404" s="9" t="n"/>
      <c r="AX404" s="9" t="n"/>
      <c r="AY404" s="9" t="n"/>
      <c r="AZ404" s="9" t="n"/>
      <c r="BA404" s="9" t="n"/>
    </row>
    <row r="405" ht="15.75" customHeight="1" s="18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  <c r="AH405" s="9" t="n"/>
      <c r="AI405" s="9" t="n"/>
      <c r="AJ405" s="9" t="n"/>
      <c r="AK405" s="9" t="n"/>
      <c r="AL405" s="9" t="n"/>
      <c r="AM405" s="9" t="n"/>
      <c r="AN405" s="9" t="n"/>
      <c r="AO405" s="9" t="n"/>
      <c r="AP405" s="9" t="n"/>
      <c r="AQ405" s="9" t="n"/>
      <c r="AR405" s="9" t="n"/>
      <c r="AS405" s="9" t="n"/>
      <c r="AT405" s="9" t="n"/>
      <c r="AU405" s="9" t="n"/>
      <c r="AV405" s="9" t="n"/>
      <c r="AW405" s="9" t="n"/>
      <c r="AX405" s="9" t="n"/>
      <c r="AY405" s="9" t="n"/>
      <c r="AZ405" s="9" t="n"/>
      <c r="BA405" s="9" t="n"/>
    </row>
    <row r="406" ht="15.75" customHeight="1" s="18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  <c r="AH406" s="9" t="n"/>
      <c r="AI406" s="9" t="n"/>
      <c r="AJ406" s="9" t="n"/>
      <c r="AK406" s="9" t="n"/>
      <c r="AL406" s="9" t="n"/>
      <c r="AM406" s="9" t="n"/>
      <c r="AN406" s="9" t="n"/>
      <c r="AO406" s="9" t="n"/>
      <c r="AP406" s="9" t="n"/>
      <c r="AQ406" s="9" t="n"/>
      <c r="AR406" s="9" t="n"/>
      <c r="AS406" s="9" t="n"/>
      <c r="AT406" s="9" t="n"/>
      <c r="AU406" s="9" t="n"/>
      <c r="AV406" s="9" t="n"/>
      <c r="AW406" s="9" t="n"/>
      <c r="AX406" s="9" t="n"/>
      <c r="AY406" s="9" t="n"/>
      <c r="AZ406" s="9" t="n"/>
      <c r="BA406" s="9" t="n"/>
    </row>
    <row r="407" ht="15.75" customHeight="1" s="18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  <c r="AH407" s="9" t="n"/>
      <c r="AI407" s="9" t="n"/>
      <c r="AJ407" s="9" t="n"/>
      <c r="AK407" s="9" t="n"/>
      <c r="AL407" s="9" t="n"/>
      <c r="AM407" s="9" t="n"/>
      <c r="AN407" s="9" t="n"/>
      <c r="AO407" s="9" t="n"/>
      <c r="AP407" s="9" t="n"/>
      <c r="AQ407" s="9" t="n"/>
      <c r="AR407" s="9" t="n"/>
      <c r="AS407" s="9" t="n"/>
      <c r="AT407" s="9" t="n"/>
      <c r="AU407" s="9" t="n"/>
      <c r="AV407" s="9" t="n"/>
      <c r="AW407" s="9" t="n"/>
      <c r="AX407" s="9" t="n"/>
      <c r="AY407" s="9" t="n"/>
      <c r="AZ407" s="9" t="n"/>
      <c r="BA407" s="9" t="n"/>
    </row>
    <row r="408" ht="15.75" customHeight="1" s="1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  <c r="AH408" s="9" t="n"/>
      <c r="AI408" s="9" t="n"/>
      <c r="AJ408" s="9" t="n"/>
      <c r="AK408" s="9" t="n"/>
      <c r="AL408" s="9" t="n"/>
      <c r="AM408" s="9" t="n"/>
      <c r="AN408" s="9" t="n"/>
      <c r="AO408" s="9" t="n"/>
      <c r="AP408" s="9" t="n"/>
      <c r="AQ408" s="9" t="n"/>
      <c r="AR408" s="9" t="n"/>
      <c r="AS408" s="9" t="n"/>
      <c r="AT408" s="9" t="n"/>
      <c r="AU408" s="9" t="n"/>
      <c r="AV408" s="9" t="n"/>
      <c r="AW408" s="9" t="n"/>
      <c r="AX408" s="9" t="n"/>
      <c r="AY408" s="9" t="n"/>
      <c r="AZ408" s="9" t="n"/>
      <c r="BA408" s="9" t="n"/>
    </row>
    <row r="409" ht="15.75" customHeight="1" s="18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  <c r="AH409" s="9" t="n"/>
      <c r="AI409" s="9" t="n"/>
      <c r="AJ409" s="9" t="n"/>
      <c r="AK409" s="9" t="n"/>
      <c r="AL409" s="9" t="n"/>
      <c r="AM409" s="9" t="n"/>
      <c r="AN409" s="9" t="n"/>
      <c r="AO409" s="9" t="n"/>
      <c r="AP409" s="9" t="n"/>
      <c r="AQ409" s="9" t="n"/>
      <c r="AR409" s="9" t="n"/>
      <c r="AS409" s="9" t="n"/>
      <c r="AT409" s="9" t="n"/>
      <c r="AU409" s="9" t="n"/>
      <c r="AV409" s="9" t="n"/>
      <c r="AW409" s="9" t="n"/>
      <c r="AX409" s="9" t="n"/>
      <c r="AY409" s="9" t="n"/>
      <c r="AZ409" s="9" t="n"/>
      <c r="BA409" s="9" t="n"/>
    </row>
    <row r="410" ht="15.75" customHeight="1" s="18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  <c r="AH410" s="9" t="n"/>
      <c r="AI410" s="9" t="n"/>
      <c r="AJ410" s="9" t="n"/>
      <c r="AK410" s="9" t="n"/>
      <c r="AL410" s="9" t="n"/>
      <c r="AM410" s="9" t="n"/>
      <c r="AN410" s="9" t="n"/>
      <c r="AO410" s="9" t="n"/>
      <c r="AP410" s="9" t="n"/>
      <c r="AQ410" s="9" t="n"/>
      <c r="AR410" s="9" t="n"/>
      <c r="AS410" s="9" t="n"/>
      <c r="AT410" s="9" t="n"/>
      <c r="AU410" s="9" t="n"/>
      <c r="AV410" s="9" t="n"/>
      <c r="AW410" s="9" t="n"/>
      <c r="AX410" s="9" t="n"/>
      <c r="AY410" s="9" t="n"/>
      <c r="AZ410" s="9" t="n"/>
      <c r="BA410" s="9" t="n"/>
    </row>
    <row r="411" ht="15.75" customHeight="1" s="18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  <c r="AH411" s="9" t="n"/>
      <c r="AI411" s="9" t="n"/>
      <c r="AJ411" s="9" t="n"/>
      <c r="AK411" s="9" t="n"/>
      <c r="AL411" s="9" t="n"/>
      <c r="AM411" s="9" t="n"/>
      <c r="AN411" s="9" t="n"/>
      <c r="AO411" s="9" t="n"/>
      <c r="AP411" s="9" t="n"/>
      <c r="AQ411" s="9" t="n"/>
      <c r="AR411" s="9" t="n"/>
      <c r="AS411" s="9" t="n"/>
      <c r="AT411" s="9" t="n"/>
      <c r="AU411" s="9" t="n"/>
      <c r="AV411" s="9" t="n"/>
      <c r="AW411" s="9" t="n"/>
      <c r="AX411" s="9" t="n"/>
      <c r="AY411" s="9" t="n"/>
      <c r="AZ411" s="9" t="n"/>
      <c r="BA411" s="9" t="n"/>
    </row>
    <row r="412" ht="15.75" customHeight="1" s="18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  <c r="AH412" s="9" t="n"/>
      <c r="AI412" s="9" t="n"/>
      <c r="AJ412" s="9" t="n"/>
      <c r="AK412" s="9" t="n"/>
      <c r="AL412" s="9" t="n"/>
      <c r="AM412" s="9" t="n"/>
      <c r="AN412" s="9" t="n"/>
      <c r="AO412" s="9" t="n"/>
      <c r="AP412" s="9" t="n"/>
      <c r="AQ412" s="9" t="n"/>
      <c r="AR412" s="9" t="n"/>
      <c r="AS412" s="9" t="n"/>
      <c r="AT412" s="9" t="n"/>
      <c r="AU412" s="9" t="n"/>
      <c r="AV412" s="9" t="n"/>
      <c r="AW412" s="9" t="n"/>
      <c r="AX412" s="9" t="n"/>
      <c r="AY412" s="9" t="n"/>
      <c r="AZ412" s="9" t="n"/>
      <c r="BA412" s="9" t="n"/>
    </row>
    <row r="413" ht="15.75" customHeight="1" s="18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  <c r="AH413" s="9" t="n"/>
      <c r="AI413" s="9" t="n"/>
      <c r="AJ413" s="9" t="n"/>
      <c r="AK413" s="9" t="n"/>
      <c r="AL413" s="9" t="n"/>
      <c r="AM413" s="9" t="n"/>
      <c r="AN413" s="9" t="n"/>
      <c r="AO413" s="9" t="n"/>
      <c r="AP413" s="9" t="n"/>
      <c r="AQ413" s="9" t="n"/>
      <c r="AR413" s="9" t="n"/>
      <c r="AS413" s="9" t="n"/>
      <c r="AT413" s="9" t="n"/>
      <c r="AU413" s="9" t="n"/>
      <c r="AV413" s="9" t="n"/>
      <c r="AW413" s="9" t="n"/>
      <c r="AX413" s="9" t="n"/>
      <c r="AY413" s="9" t="n"/>
      <c r="AZ413" s="9" t="n"/>
      <c r="BA413" s="9" t="n"/>
    </row>
    <row r="414" ht="15.75" customHeight="1" s="18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  <c r="AH414" s="9" t="n"/>
      <c r="AI414" s="9" t="n"/>
      <c r="AJ414" s="9" t="n"/>
      <c r="AK414" s="9" t="n"/>
      <c r="AL414" s="9" t="n"/>
      <c r="AM414" s="9" t="n"/>
      <c r="AN414" s="9" t="n"/>
      <c r="AO414" s="9" t="n"/>
      <c r="AP414" s="9" t="n"/>
      <c r="AQ414" s="9" t="n"/>
      <c r="AR414" s="9" t="n"/>
      <c r="AS414" s="9" t="n"/>
      <c r="AT414" s="9" t="n"/>
      <c r="AU414" s="9" t="n"/>
      <c r="AV414" s="9" t="n"/>
      <c r="AW414" s="9" t="n"/>
      <c r="AX414" s="9" t="n"/>
      <c r="AY414" s="9" t="n"/>
      <c r="AZ414" s="9" t="n"/>
      <c r="BA414" s="9" t="n"/>
    </row>
    <row r="415" ht="15.75" customHeight="1" s="18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  <c r="AH415" s="9" t="n"/>
      <c r="AI415" s="9" t="n"/>
      <c r="AJ415" s="9" t="n"/>
      <c r="AK415" s="9" t="n"/>
      <c r="AL415" s="9" t="n"/>
      <c r="AM415" s="9" t="n"/>
      <c r="AN415" s="9" t="n"/>
      <c r="AO415" s="9" t="n"/>
      <c r="AP415" s="9" t="n"/>
      <c r="AQ415" s="9" t="n"/>
      <c r="AR415" s="9" t="n"/>
      <c r="AS415" s="9" t="n"/>
      <c r="AT415" s="9" t="n"/>
      <c r="AU415" s="9" t="n"/>
      <c r="AV415" s="9" t="n"/>
      <c r="AW415" s="9" t="n"/>
      <c r="AX415" s="9" t="n"/>
      <c r="AY415" s="9" t="n"/>
      <c r="AZ415" s="9" t="n"/>
      <c r="BA415" s="9" t="n"/>
    </row>
    <row r="416" ht="15.75" customHeight="1" s="18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  <c r="AH416" s="9" t="n"/>
      <c r="AI416" s="9" t="n"/>
      <c r="AJ416" s="9" t="n"/>
      <c r="AK416" s="9" t="n"/>
      <c r="AL416" s="9" t="n"/>
      <c r="AM416" s="9" t="n"/>
      <c r="AN416" s="9" t="n"/>
      <c r="AO416" s="9" t="n"/>
      <c r="AP416" s="9" t="n"/>
      <c r="AQ416" s="9" t="n"/>
      <c r="AR416" s="9" t="n"/>
      <c r="AS416" s="9" t="n"/>
      <c r="AT416" s="9" t="n"/>
      <c r="AU416" s="9" t="n"/>
      <c r="AV416" s="9" t="n"/>
      <c r="AW416" s="9" t="n"/>
      <c r="AX416" s="9" t="n"/>
      <c r="AY416" s="9" t="n"/>
      <c r="AZ416" s="9" t="n"/>
      <c r="BA416" s="9" t="n"/>
    </row>
    <row r="417" ht="15.75" customHeight="1" s="18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  <c r="AH417" s="9" t="n"/>
      <c r="AI417" s="9" t="n"/>
      <c r="AJ417" s="9" t="n"/>
      <c r="AK417" s="9" t="n"/>
      <c r="AL417" s="9" t="n"/>
      <c r="AM417" s="9" t="n"/>
      <c r="AN417" s="9" t="n"/>
      <c r="AO417" s="9" t="n"/>
      <c r="AP417" s="9" t="n"/>
      <c r="AQ417" s="9" t="n"/>
      <c r="AR417" s="9" t="n"/>
      <c r="AS417" s="9" t="n"/>
      <c r="AT417" s="9" t="n"/>
      <c r="AU417" s="9" t="n"/>
      <c r="AV417" s="9" t="n"/>
      <c r="AW417" s="9" t="n"/>
      <c r="AX417" s="9" t="n"/>
      <c r="AY417" s="9" t="n"/>
      <c r="AZ417" s="9" t="n"/>
      <c r="BA417" s="9" t="n"/>
    </row>
    <row r="418" ht="15.75" customHeight="1" s="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  <c r="AH418" s="9" t="n"/>
      <c r="AI418" s="9" t="n"/>
      <c r="AJ418" s="9" t="n"/>
      <c r="AK418" s="9" t="n"/>
      <c r="AL418" s="9" t="n"/>
      <c r="AM418" s="9" t="n"/>
      <c r="AN418" s="9" t="n"/>
      <c r="AO418" s="9" t="n"/>
      <c r="AP418" s="9" t="n"/>
      <c r="AQ418" s="9" t="n"/>
      <c r="AR418" s="9" t="n"/>
      <c r="AS418" s="9" t="n"/>
      <c r="AT418" s="9" t="n"/>
      <c r="AU418" s="9" t="n"/>
      <c r="AV418" s="9" t="n"/>
      <c r="AW418" s="9" t="n"/>
      <c r="AX418" s="9" t="n"/>
      <c r="AY418" s="9" t="n"/>
      <c r="AZ418" s="9" t="n"/>
      <c r="BA418" s="9" t="n"/>
    </row>
    <row r="419" ht="15.75" customHeight="1" s="18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  <c r="AH419" s="9" t="n"/>
      <c r="AI419" s="9" t="n"/>
      <c r="AJ419" s="9" t="n"/>
      <c r="AK419" s="9" t="n"/>
      <c r="AL419" s="9" t="n"/>
      <c r="AM419" s="9" t="n"/>
      <c r="AN419" s="9" t="n"/>
      <c r="AO419" s="9" t="n"/>
      <c r="AP419" s="9" t="n"/>
      <c r="AQ419" s="9" t="n"/>
      <c r="AR419" s="9" t="n"/>
      <c r="AS419" s="9" t="n"/>
      <c r="AT419" s="9" t="n"/>
      <c r="AU419" s="9" t="n"/>
      <c r="AV419" s="9" t="n"/>
      <c r="AW419" s="9" t="n"/>
      <c r="AX419" s="9" t="n"/>
      <c r="AY419" s="9" t="n"/>
      <c r="AZ419" s="9" t="n"/>
      <c r="BA419" s="9" t="n"/>
    </row>
    <row r="420" ht="15.75" customHeight="1" s="18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  <c r="AH420" s="9" t="n"/>
      <c r="AI420" s="9" t="n"/>
      <c r="AJ420" s="9" t="n"/>
      <c r="AK420" s="9" t="n"/>
      <c r="AL420" s="9" t="n"/>
      <c r="AM420" s="9" t="n"/>
      <c r="AN420" s="9" t="n"/>
      <c r="AO420" s="9" t="n"/>
      <c r="AP420" s="9" t="n"/>
      <c r="AQ420" s="9" t="n"/>
      <c r="AR420" s="9" t="n"/>
      <c r="AS420" s="9" t="n"/>
      <c r="AT420" s="9" t="n"/>
      <c r="AU420" s="9" t="n"/>
      <c r="AV420" s="9" t="n"/>
      <c r="AW420" s="9" t="n"/>
      <c r="AX420" s="9" t="n"/>
      <c r="AY420" s="9" t="n"/>
      <c r="AZ420" s="9" t="n"/>
      <c r="BA420" s="9" t="n"/>
    </row>
    <row r="421" ht="15.75" customHeight="1" s="18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  <c r="AH421" s="9" t="n"/>
      <c r="AI421" s="9" t="n"/>
      <c r="AJ421" s="9" t="n"/>
      <c r="AK421" s="9" t="n"/>
      <c r="AL421" s="9" t="n"/>
      <c r="AM421" s="9" t="n"/>
      <c r="AN421" s="9" t="n"/>
      <c r="AO421" s="9" t="n"/>
      <c r="AP421" s="9" t="n"/>
      <c r="AQ421" s="9" t="n"/>
      <c r="AR421" s="9" t="n"/>
      <c r="AS421" s="9" t="n"/>
      <c r="AT421" s="9" t="n"/>
      <c r="AU421" s="9" t="n"/>
      <c r="AV421" s="9" t="n"/>
      <c r="AW421" s="9" t="n"/>
      <c r="AX421" s="9" t="n"/>
      <c r="AY421" s="9" t="n"/>
      <c r="AZ421" s="9" t="n"/>
      <c r="BA421" s="9" t="n"/>
    </row>
    <row r="422" ht="15.75" customHeight="1" s="18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  <c r="AH422" s="9" t="n"/>
      <c r="AI422" s="9" t="n"/>
      <c r="AJ422" s="9" t="n"/>
      <c r="AK422" s="9" t="n"/>
      <c r="AL422" s="9" t="n"/>
      <c r="AM422" s="9" t="n"/>
      <c r="AN422" s="9" t="n"/>
      <c r="AO422" s="9" t="n"/>
      <c r="AP422" s="9" t="n"/>
      <c r="AQ422" s="9" t="n"/>
      <c r="AR422" s="9" t="n"/>
      <c r="AS422" s="9" t="n"/>
      <c r="AT422" s="9" t="n"/>
      <c r="AU422" s="9" t="n"/>
      <c r="AV422" s="9" t="n"/>
      <c r="AW422" s="9" t="n"/>
      <c r="AX422" s="9" t="n"/>
      <c r="AY422" s="9" t="n"/>
      <c r="AZ422" s="9" t="n"/>
      <c r="BA422" s="9" t="n"/>
    </row>
    <row r="423" ht="15.75" customHeight="1" s="18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  <c r="AH423" s="9" t="n"/>
      <c r="AI423" s="9" t="n"/>
      <c r="AJ423" s="9" t="n"/>
      <c r="AK423" s="9" t="n"/>
      <c r="AL423" s="9" t="n"/>
      <c r="AM423" s="9" t="n"/>
      <c r="AN423" s="9" t="n"/>
      <c r="AO423" s="9" t="n"/>
      <c r="AP423" s="9" t="n"/>
      <c r="AQ423" s="9" t="n"/>
      <c r="AR423" s="9" t="n"/>
      <c r="AS423" s="9" t="n"/>
      <c r="AT423" s="9" t="n"/>
      <c r="AU423" s="9" t="n"/>
      <c r="AV423" s="9" t="n"/>
      <c r="AW423" s="9" t="n"/>
      <c r="AX423" s="9" t="n"/>
      <c r="AY423" s="9" t="n"/>
      <c r="AZ423" s="9" t="n"/>
      <c r="BA423" s="9" t="n"/>
    </row>
    <row r="424" ht="15.75" customHeight="1" s="18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  <c r="AH424" s="9" t="n"/>
      <c r="AI424" s="9" t="n"/>
      <c r="AJ424" s="9" t="n"/>
      <c r="AK424" s="9" t="n"/>
      <c r="AL424" s="9" t="n"/>
      <c r="AM424" s="9" t="n"/>
      <c r="AN424" s="9" t="n"/>
      <c r="AO424" s="9" t="n"/>
      <c r="AP424" s="9" t="n"/>
      <c r="AQ424" s="9" t="n"/>
      <c r="AR424" s="9" t="n"/>
      <c r="AS424" s="9" t="n"/>
      <c r="AT424" s="9" t="n"/>
      <c r="AU424" s="9" t="n"/>
      <c r="AV424" s="9" t="n"/>
      <c r="AW424" s="9" t="n"/>
      <c r="AX424" s="9" t="n"/>
      <c r="AY424" s="9" t="n"/>
      <c r="AZ424" s="9" t="n"/>
      <c r="BA424" s="9" t="n"/>
    </row>
    <row r="425" ht="15.75" customHeight="1" s="18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  <c r="AH425" s="9" t="n"/>
      <c r="AI425" s="9" t="n"/>
      <c r="AJ425" s="9" t="n"/>
      <c r="AK425" s="9" t="n"/>
      <c r="AL425" s="9" t="n"/>
      <c r="AM425" s="9" t="n"/>
      <c r="AN425" s="9" t="n"/>
      <c r="AO425" s="9" t="n"/>
      <c r="AP425" s="9" t="n"/>
      <c r="AQ425" s="9" t="n"/>
      <c r="AR425" s="9" t="n"/>
      <c r="AS425" s="9" t="n"/>
      <c r="AT425" s="9" t="n"/>
      <c r="AU425" s="9" t="n"/>
      <c r="AV425" s="9" t="n"/>
      <c r="AW425" s="9" t="n"/>
      <c r="AX425" s="9" t="n"/>
      <c r="AY425" s="9" t="n"/>
      <c r="AZ425" s="9" t="n"/>
      <c r="BA425" s="9" t="n"/>
    </row>
    <row r="426" ht="15.75" customHeight="1" s="18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  <c r="AH426" s="9" t="n"/>
      <c r="AI426" s="9" t="n"/>
      <c r="AJ426" s="9" t="n"/>
      <c r="AK426" s="9" t="n"/>
      <c r="AL426" s="9" t="n"/>
      <c r="AM426" s="9" t="n"/>
      <c r="AN426" s="9" t="n"/>
      <c r="AO426" s="9" t="n"/>
      <c r="AP426" s="9" t="n"/>
      <c r="AQ426" s="9" t="n"/>
      <c r="AR426" s="9" t="n"/>
      <c r="AS426" s="9" t="n"/>
      <c r="AT426" s="9" t="n"/>
      <c r="AU426" s="9" t="n"/>
      <c r="AV426" s="9" t="n"/>
      <c r="AW426" s="9" t="n"/>
      <c r="AX426" s="9" t="n"/>
      <c r="AY426" s="9" t="n"/>
      <c r="AZ426" s="9" t="n"/>
      <c r="BA426" s="9" t="n"/>
    </row>
    <row r="427" ht="15.75" customHeight="1" s="18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  <c r="AH427" s="9" t="n"/>
      <c r="AI427" s="9" t="n"/>
      <c r="AJ427" s="9" t="n"/>
      <c r="AK427" s="9" t="n"/>
      <c r="AL427" s="9" t="n"/>
      <c r="AM427" s="9" t="n"/>
      <c r="AN427" s="9" t="n"/>
      <c r="AO427" s="9" t="n"/>
      <c r="AP427" s="9" t="n"/>
      <c r="AQ427" s="9" t="n"/>
      <c r="AR427" s="9" t="n"/>
      <c r="AS427" s="9" t="n"/>
      <c r="AT427" s="9" t="n"/>
      <c r="AU427" s="9" t="n"/>
      <c r="AV427" s="9" t="n"/>
      <c r="AW427" s="9" t="n"/>
      <c r="AX427" s="9" t="n"/>
      <c r="AY427" s="9" t="n"/>
      <c r="AZ427" s="9" t="n"/>
      <c r="BA427" s="9" t="n"/>
    </row>
    <row r="428" ht="15.75" customHeight="1" s="1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  <c r="AH428" s="9" t="n"/>
      <c r="AI428" s="9" t="n"/>
      <c r="AJ428" s="9" t="n"/>
      <c r="AK428" s="9" t="n"/>
      <c r="AL428" s="9" t="n"/>
      <c r="AM428" s="9" t="n"/>
      <c r="AN428" s="9" t="n"/>
      <c r="AO428" s="9" t="n"/>
      <c r="AP428" s="9" t="n"/>
      <c r="AQ428" s="9" t="n"/>
      <c r="AR428" s="9" t="n"/>
      <c r="AS428" s="9" t="n"/>
      <c r="AT428" s="9" t="n"/>
      <c r="AU428" s="9" t="n"/>
      <c r="AV428" s="9" t="n"/>
      <c r="AW428" s="9" t="n"/>
      <c r="AX428" s="9" t="n"/>
      <c r="AY428" s="9" t="n"/>
      <c r="AZ428" s="9" t="n"/>
      <c r="BA428" s="9" t="n"/>
    </row>
    <row r="429" ht="15.75" customHeight="1" s="18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  <c r="AH429" s="9" t="n"/>
      <c r="AI429" s="9" t="n"/>
      <c r="AJ429" s="9" t="n"/>
      <c r="AK429" s="9" t="n"/>
      <c r="AL429" s="9" t="n"/>
      <c r="AM429" s="9" t="n"/>
      <c r="AN429" s="9" t="n"/>
      <c r="AO429" s="9" t="n"/>
      <c r="AP429" s="9" t="n"/>
      <c r="AQ429" s="9" t="n"/>
      <c r="AR429" s="9" t="n"/>
      <c r="AS429" s="9" t="n"/>
      <c r="AT429" s="9" t="n"/>
      <c r="AU429" s="9" t="n"/>
      <c r="AV429" s="9" t="n"/>
      <c r="AW429" s="9" t="n"/>
      <c r="AX429" s="9" t="n"/>
      <c r="AY429" s="9" t="n"/>
      <c r="AZ429" s="9" t="n"/>
      <c r="BA429" s="9" t="n"/>
    </row>
    <row r="430" ht="15.75" customHeight="1" s="18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  <c r="AH430" s="9" t="n"/>
      <c r="AI430" s="9" t="n"/>
      <c r="AJ430" s="9" t="n"/>
      <c r="AK430" s="9" t="n"/>
      <c r="AL430" s="9" t="n"/>
      <c r="AM430" s="9" t="n"/>
      <c r="AN430" s="9" t="n"/>
      <c r="AO430" s="9" t="n"/>
      <c r="AP430" s="9" t="n"/>
      <c r="AQ430" s="9" t="n"/>
      <c r="AR430" s="9" t="n"/>
      <c r="AS430" s="9" t="n"/>
      <c r="AT430" s="9" t="n"/>
      <c r="AU430" s="9" t="n"/>
      <c r="AV430" s="9" t="n"/>
      <c r="AW430" s="9" t="n"/>
      <c r="AX430" s="9" t="n"/>
      <c r="AY430" s="9" t="n"/>
      <c r="AZ430" s="9" t="n"/>
      <c r="BA430" s="9" t="n"/>
    </row>
    <row r="431" ht="15.75" customHeight="1" s="18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  <c r="AH431" s="9" t="n"/>
      <c r="AI431" s="9" t="n"/>
      <c r="AJ431" s="9" t="n"/>
      <c r="AK431" s="9" t="n"/>
      <c r="AL431" s="9" t="n"/>
      <c r="AM431" s="9" t="n"/>
      <c r="AN431" s="9" t="n"/>
      <c r="AO431" s="9" t="n"/>
      <c r="AP431" s="9" t="n"/>
      <c r="AQ431" s="9" t="n"/>
      <c r="AR431" s="9" t="n"/>
      <c r="AS431" s="9" t="n"/>
      <c r="AT431" s="9" t="n"/>
      <c r="AU431" s="9" t="n"/>
      <c r="AV431" s="9" t="n"/>
      <c r="AW431" s="9" t="n"/>
      <c r="AX431" s="9" t="n"/>
      <c r="AY431" s="9" t="n"/>
      <c r="AZ431" s="9" t="n"/>
      <c r="BA431" s="9" t="n"/>
    </row>
    <row r="432" ht="15.75" customHeight="1" s="18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  <c r="AH432" s="9" t="n"/>
      <c r="AI432" s="9" t="n"/>
      <c r="AJ432" s="9" t="n"/>
      <c r="AK432" s="9" t="n"/>
      <c r="AL432" s="9" t="n"/>
      <c r="AM432" s="9" t="n"/>
      <c r="AN432" s="9" t="n"/>
      <c r="AO432" s="9" t="n"/>
      <c r="AP432" s="9" t="n"/>
      <c r="AQ432" s="9" t="n"/>
      <c r="AR432" s="9" t="n"/>
      <c r="AS432" s="9" t="n"/>
      <c r="AT432" s="9" t="n"/>
      <c r="AU432" s="9" t="n"/>
      <c r="AV432" s="9" t="n"/>
      <c r="AW432" s="9" t="n"/>
      <c r="AX432" s="9" t="n"/>
      <c r="AY432" s="9" t="n"/>
      <c r="AZ432" s="9" t="n"/>
      <c r="BA432" s="9" t="n"/>
    </row>
    <row r="433" ht="15.75" customHeight="1" s="18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  <c r="AH433" s="9" t="n"/>
      <c r="AI433" s="9" t="n"/>
      <c r="AJ433" s="9" t="n"/>
      <c r="AK433" s="9" t="n"/>
      <c r="AL433" s="9" t="n"/>
      <c r="AM433" s="9" t="n"/>
      <c r="AN433" s="9" t="n"/>
      <c r="AO433" s="9" t="n"/>
      <c r="AP433" s="9" t="n"/>
      <c r="AQ433" s="9" t="n"/>
      <c r="AR433" s="9" t="n"/>
      <c r="AS433" s="9" t="n"/>
      <c r="AT433" s="9" t="n"/>
      <c r="AU433" s="9" t="n"/>
      <c r="AV433" s="9" t="n"/>
      <c r="AW433" s="9" t="n"/>
      <c r="AX433" s="9" t="n"/>
      <c r="AY433" s="9" t="n"/>
      <c r="AZ433" s="9" t="n"/>
      <c r="BA433" s="9" t="n"/>
    </row>
    <row r="434" ht="15.75" customHeight="1" s="18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  <c r="AH434" s="9" t="n"/>
      <c r="AI434" s="9" t="n"/>
      <c r="AJ434" s="9" t="n"/>
      <c r="AK434" s="9" t="n"/>
      <c r="AL434" s="9" t="n"/>
      <c r="AM434" s="9" t="n"/>
      <c r="AN434" s="9" t="n"/>
      <c r="AO434" s="9" t="n"/>
      <c r="AP434" s="9" t="n"/>
      <c r="AQ434" s="9" t="n"/>
      <c r="AR434" s="9" t="n"/>
      <c r="AS434" s="9" t="n"/>
      <c r="AT434" s="9" t="n"/>
      <c r="AU434" s="9" t="n"/>
      <c r="AV434" s="9" t="n"/>
      <c r="AW434" s="9" t="n"/>
      <c r="AX434" s="9" t="n"/>
      <c r="AY434" s="9" t="n"/>
      <c r="AZ434" s="9" t="n"/>
      <c r="BA434" s="9" t="n"/>
    </row>
    <row r="435" ht="15.75" customHeight="1" s="18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  <c r="AH435" s="9" t="n"/>
      <c r="AI435" s="9" t="n"/>
      <c r="AJ435" s="9" t="n"/>
      <c r="AK435" s="9" t="n"/>
      <c r="AL435" s="9" t="n"/>
      <c r="AM435" s="9" t="n"/>
      <c r="AN435" s="9" t="n"/>
      <c r="AO435" s="9" t="n"/>
      <c r="AP435" s="9" t="n"/>
      <c r="AQ435" s="9" t="n"/>
      <c r="AR435" s="9" t="n"/>
      <c r="AS435" s="9" t="n"/>
      <c r="AT435" s="9" t="n"/>
      <c r="AU435" s="9" t="n"/>
      <c r="AV435" s="9" t="n"/>
      <c r="AW435" s="9" t="n"/>
      <c r="AX435" s="9" t="n"/>
      <c r="AY435" s="9" t="n"/>
      <c r="AZ435" s="9" t="n"/>
      <c r="BA435" s="9" t="n"/>
    </row>
    <row r="436" ht="15.75" customHeight="1" s="18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  <c r="AH436" s="9" t="n"/>
      <c r="AI436" s="9" t="n"/>
      <c r="AJ436" s="9" t="n"/>
      <c r="AK436" s="9" t="n"/>
      <c r="AL436" s="9" t="n"/>
      <c r="AM436" s="9" t="n"/>
      <c r="AN436" s="9" t="n"/>
      <c r="AO436" s="9" t="n"/>
      <c r="AP436" s="9" t="n"/>
      <c r="AQ436" s="9" t="n"/>
      <c r="AR436" s="9" t="n"/>
      <c r="AS436" s="9" t="n"/>
      <c r="AT436" s="9" t="n"/>
      <c r="AU436" s="9" t="n"/>
      <c r="AV436" s="9" t="n"/>
      <c r="AW436" s="9" t="n"/>
      <c r="AX436" s="9" t="n"/>
      <c r="AY436" s="9" t="n"/>
      <c r="AZ436" s="9" t="n"/>
      <c r="BA436" s="9" t="n"/>
    </row>
    <row r="437" ht="15.75" customHeight="1" s="18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  <c r="AH437" s="9" t="n"/>
      <c r="AI437" s="9" t="n"/>
      <c r="AJ437" s="9" t="n"/>
      <c r="AK437" s="9" t="n"/>
      <c r="AL437" s="9" t="n"/>
      <c r="AM437" s="9" t="n"/>
      <c r="AN437" s="9" t="n"/>
      <c r="AO437" s="9" t="n"/>
      <c r="AP437" s="9" t="n"/>
      <c r="AQ437" s="9" t="n"/>
      <c r="AR437" s="9" t="n"/>
      <c r="AS437" s="9" t="n"/>
      <c r="AT437" s="9" t="n"/>
      <c r="AU437" s="9" t="n"/>
      <c r="AV437" s="9" t="n"/>
      <c r="AW437" s="9" t="n"/>
      <c r="AX437" s="9" t="n"/>
      <c r="AY437" s="9" t="n"/>
      <c r="AZ437" s="9" t="n"/>
      <c r="BA437" s="9" t="n"/>
    </row>
    <row r="438" ht="15.75" customHeight="1" s="1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  <c r="AH438" s="9" t="n"/>
      <c r="AI438" s="9" t="n"/>
      <c r="AJ438" s="9" t="n"/>
      <c r="AK438" s="9" t="n"/>
      <c r="AL438" s="9" t="n"/>
      <c r="AM438" s="9" t="n"/>
      <c r="AN438" s="9" t="n"/>
      <c r="AO438" s="9" t="n"/>
      <c r="AP438" s="9" t="n"/>
      <c r="AQ438" s="9" t="n"/>
      <c r="AR438" s="9" t="n"/>
      <c r="AS438" s="9" t="n"/>
      <c r="AT438" s="9" t="n"/>
      <c r="AU438" s="9" t="n"/>
      <c r="AV438" s="9" t="n"/>
      <c r="AW438" s="9" t="n"/>
      <c r="AX438" s="9" t="n"/>
      <c r="AY438" s="9" t="n"/>
      <c r="AZ438" s="9" t="n"/>
      <c r="BA438" s="9" t="n"/>
    </row>
    <row r="439" ht="15.75" customHeight="1" s="18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  <c r="AH439" s="9" t="n"/>
      <c r="AI439" s="9" t="n"/>
      <c r="AJ439" s="9" t="n"/>
      <c r="AK439" s="9" t="n"/>
      <c r="AL439" s="9" t="n"/>
      <c r="AM439" s="9" t="n"/>
      <c r="AN439" s="9" t="n"/>
      <c r="AO439" s="9" t="n"/>
      <c r="AP439" s="9" t="n"/>
      <c r="AQ439" s="9" t="n"/>
      <c r="AR439" s="9" t="n"/>
      <c r="AS439" s="9" t="n"/>
      <c r="AT439" s="9" t="n"/>
      <c r="AU439" s="9" t="n"/>
      <c r="AV439" s="9" t="n"/>
      <c r="AW439" s="9" t="n"/>
      <c r="AX439" s="9" t="n"/>
      <c r="AY439" s="9" t="n"/>
      <c r="AZ439" s="9" t="n"/>
      <c r="BA439" s="9" t="n"/>
    </row>
    <row r="440" ht="15.75" customHeight="1" s="18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  <c r="AH440" s="9" t="n"/>
      <c r="AI440" s="9" t="n"/>
      <c r="AJ440" s="9" t="n"/>
      <c r="AK440" s="9" t="n"/>
      <c r="AL440" s="9" t="n"/>
      <c r="AM440" s="9" t="n"/>
      <c r="AN440" s="9" t="n"/>
      <c r="AO440" s="9" t="n"/>
      <c r="AP440" s="9" t="n"/>
      <c r="AQ440" s="9" t="n"/>
      <c r="AR440" s="9" t="n"/>
      <c r="AS440" s="9" t="n"/>
      <c r="AT440" s="9" t="n"/>
      <c r="AU440" s="9" t="n"/>
      <c r="AV440" s="9" t="n"/>
      <c r="AW440" s="9" t="n"/>
      <c r="AX440" s="9" t="n"/>
      <c r="AY440" s="9" t="n"/>
      <c r="AZ440" s="9" t="n"/>
      <c r="BA440" s="9" t="n"/>
    </row>
    <row r="441" ht="15.75" customHeight="1" s="18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  <c r="AH441" s="9" t="n"/>
      <c r="AI441" s="9" t="n"/>
      <c r="AJ441" s="9" t="n"/>
      <c r="AK441" s="9" t="n"/>
      <c r="AL441" s="9" t="n"/>
      <c r="AM441" s="9" t="n"/>
      <c r="AN441" s="9" t="n"/>
      <c r="AO441" s="9" t="n"/>
      <c r="AP441" s="9" t="n"/>
      <c r="AQ441" s="9" t="n"/>
      <c r="AR441" s="9" t="n"/>
      <c r="AS441" s="9" t="n"/>
      <c r="AT441" s="9" t="n"/>
      <c r="AU441" s="9" t="n"/>
      <c r="AV441" s="9" t="n"/>
      <c r="AW441" s="9" t="n"/>
      <c r="AX441" s="9" t="n"/>
      <c r="AY441" s="9" t="n"/>
      <c r="AZ441" s="9" t="n"/>
      <c r="BA441" s="9" t="n"/>
    </row>
    <row r="442" ht="15.75" customHeight="1" s="18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  <c r="AH442" s="9" t="n"/>
      <c r="AI442" s="9" t="n"/>
      <c r="AJ442" s="9" t="n"/>
      <c r="AK442" s="9" t="n"/>
      <c r="AL442" s="9" t="n"/>
      <c r="AM442" s="9" t="n"/>
      <c r="AN442" s="9" t="n"/>
      <c r="AO442" s="9" t="n"/>
      <c r="AP442" s="9" t="n"/>
      <c r="AQ442" s="9" t="n"/>
      <c r="AR442" s="9" t="n"/>
      <c r="AS442" s="9" t="n"/>
      <c r="AT442" s="9" t="n"/>
      <c r="AU442" s="9" t="n"/>
      <c r="AV442" s="9" t="n"/>
      <c r="AW442" s="9" t="n"/>
      <c r="AX442" s="9" t="n"/>
      <c r="AY442" s="9" t="n"/>
      <c r="AZ442" s="9" t="n"/>
      <c r="BA442" s="9" t="n"/>
    </row>
    <row r="443" ht="15.75" customHeight="1" s="18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  <c r="AH443" s="9" t="n"/>
      <c r="AI443" s="9" t="n"/>
      <c r="AJ443" s="9" t="n"/>
      <c r="AK443" s="9" t="n"/>
      <c r="AL443" s="9" t="n"/>
      <c r="AM443" s="9" t="n"/>
      <c r="AN443" s="9" t="n"/>
      <c r="AO443" s="9" t="n"/>
      <c r="AP443" s="9" t="n"/>
      <c r="AQ443" s="9" t="n"/>
      <c r="AR443" s="9" t="n"/>
      <c r="AS443" s="9" t="n"/>
      <c r="AT443" s="9" t="n"/>
      <c r="AU443" s="9" t="n"/>
      <c r="AV443" s="9" t="n"/>
      <c r="AW443" s="9" t="n"/>
      <c r="AX443" s="9" t="n"/>
      <c r="AY443" s="9" t="n"/>
      <c r="AZ443" s="9" t="n"/>
      <c r="BA443" s="9" t="n"/>
    </row>
    <row r="444" ht="15.75" customHeight="1" s="18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  <c r="AH444" s="9" t="n"/>
      <c r="AI444" s="9" t="n"/>
      <c r="AJ444" s="9" t="n"/>
      <c r="AK444" s="9" t="n"/>
      <c r="AL444" s="9" t="n"/>
      <c r="AM444" s="9" t="n"/>
      <c r="AN444" s="9" t="n"/>
      <c r="AO444" s="9" t="n"/>
      <c r="AP444" s="9" t="n"/>
      <c r="AQ444" s="9" t="n"/>
      <c r="AR444" s="9" t="n"/>
      <c r="AS444" s="9" t="n"/>
      <c r="AT444" s="9" t="n"/>
      <c r="AU444" s="9" t="n"/>
      <c r="AV444" s="9" t="n"/>
      <c r="AW444" s="9" t="n"/>
      <c r="AX444" s="9" t="n"/>
      <c r="AY444" s="9" t="n"/>
      <c r="AZ444" s="9" t="n"/>
      <c r="BA444" s="9" t="n"/>
    </row>
    <row r="445" ht="15.75" customHeight="1" s="18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  <c r="AH445" s="9" t="n"/>
      <c r="AI445" s="9" t="n"/>
      <c r="AJ445" s="9" t="n"/>
      <c r="AK445" s="9" t="n"/>
      <c r="AL445" s="9" t="n"/>
      <c r="AM445" s="9" t="n"/>
      <c r="AN445" s="9" t="n"/>
      <c r="AO445" s="9" t="n"/>
      <c r="AP445" s="9" t="n"/>
      <c r="AQ445" s="9" t="n"/>
      <c r="AR445" s="9" t="n"/>
      <c r="AS445" s="9" t="n"/>
      <c r="AT445" s="9" t="n"/>
      <c r="AU445" s="9" t="n"/>
      <c r="AV445" s="9" t="n"/>
      <c r="AW445" s="9" t="n"/>
      <c r="AX445" s="9" t="n"/>
      <c r="AY445" s="9" t="n"/>
      <c r="AZ445" s="9" t="n"/>
      <c r="BA445" s="9" t="n"/>
    </row>
    <row r="446" ht="15.75" customHeight="1" s="18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  <c r="AH446" s="9" t="n"/>
      <c r="AI446" s="9" t="n"/>
      <c r="AJ446" s="9" t="n"/>
      <c r="AK446" s="9" t="n"/>
      <c r="AL446" s="9" t="n"/>
      <c r="AM446" s="9" t="n"/>
      <c r="AN446" s="9" t="n"/>
      <c r="AO446" s="9" t="n"/>
      <c r="AP446" s="9" t="n"/>
      <c r="AQ446" s="9" t="n"/>
      <c r="AR446" s="9" t="n"/>
      <c r="AS446" s="9" t="n"/>
      <c r="AT446" s="9" t="n"/>
      <c r="AU446" s="9" t="n"/>
      <c r="AV446" s="9" t="n"/>
      <c r="AW446" s="9" t="n"/>
      <c r="AX446" s="9" t="n"/>
      <c r="AY446" s="9" t="n"/>
      <c r="AZ446" s="9" t="n"/>
      <c r="BA446" s="9" t="n"/>
    </row>
    <row r="447" ht="15.75" customHeight="1" s="18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  <c r="AH447" s="9" t="n"/>
      <c r="AI447" s="9" t="n"/>
      <c r="AJ447" s="9" t="n"/>
      <c r="AK447" s="9" t="n"/>
      <c r="AL447" s="9" t="n"/>
      <c r="AM447" s="9" t="n"/>
      <c r="AN447" s="9" t="n"/>
      <c r="AO447" s="9" t="n"/>
      <c r="AP447" s="9" t="n"/>
      <c r="AQ447" s="9" t="n"/>
      <c r="AR447" s="9" t="n"/>
      <c r="AS447" s="9" t="n"/>
      <c r="AT447" s="9" t="n"/>
      <c r="AU447" s="9" t="n"/>
      <c r="AV447" s="9" t="n"/>
      <c r="AW447" s="9" t="n"/>
      <c r="AX447" s="9" t="n"/>
      <c r="AY447" s="9" t="n"/>
      <c r="AZ447" s="9" t="n"/>
      <c r="BA447" s="9" t="n"/>
    </row>
    <row r="448" ht="15.75" customHeight="1" s="1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  <c r="AH448" s="9" t="n"/>
      <c r="AI448" s="9" t="n"/>
      <c r="AJ448" s="9" t="n"/>
      <c r="AK448" s="9" t="n"/>
      <c r="AL448" s="9" t="n"/>
      <c r="AM448" s="9" t="n"/>
      <c r="AN448" s="9" t="n"/>
      <c r="AO448" s="9" t="n"/>
      <c r="AP448" s="9" t="n"/>
      <c r="AQ448" s="9" t="n"/>
      <c r="AR448" s="9" t="n"/>
      <c r="AS448" s="9" t="n"/>
      <c r="AT448" s="9" t="n"/>
      <c r="AU448" s="9" t="n"/>
      <c r="AV448" s="9" t="n"/>
      <c r="AW448" s="9" t="n"/>
      <c r="AX448" s="9" t="n"/>
      <c r="AY448" s="9" t="n"/>
      <c r="AZ448" s="9" t="n"/>
      <c r="BA448" s="9" t="n"/>
    </row>
    <row r="449" ht="15.75" customHeight="1" s="18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  <c r="AH449" s="9" t="n"/>
      <c r="AI449" s="9" t="n"/>
      <c r="AJ449" s="9" t="n"/>
      <c r="AK449" s="9" t="n"/>
      <c r="AL449" s="9" t="n"/>
      <c r="AM449" s="9" t="n"/>
      <c r="AN449" s="9" t="n"/>
      <c r="AO449" s="9" t="n"/>
      <c r="AP449" s="9" t="n"/>
      <c r="AQ449" s="9" t="n"/>
      <c r="AR449" s="9" t="n"/>
      <c r="AS449" s="9" t="n"/>
      <c r="AT449" s="9" t="n"/>
      <c r="AU449" s="9" t="n"/>
      <c r="AV449" s="9" t="n"/>
      <c r="AW449" s="9" t="n"/>
      <c r="AX449" s="9" t="n"/>
      <c r="AY449" s="9" t="n"/>
      <c r="AZ449" s="9" t="n"/>
      <c r="BA449" s="9" t="n"/>
    </row>
    <row r="450" ht="15.75" customHeight="1" s="18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  <c r="AH450" s="9" t="n"/>
      <c r="AI450" s="9" t="n"/>
      <c r="AJ450" s="9" t="n"/>
      <c r="AK450" s="9" t="n"/>
      <c r="AL450" s="9" t="n"/>
      <c r="AM450" s="9" t="n"/>
      <c r="AN450" s="9" t="n"/>
      <c r="AO450" s="9" t="n"/>
      <c r="AP450" s="9" t="n"/>
      <c r="AQ450" s="9" t="n"/>
      <c r="AR450" s="9" t="n"/>
      <c r="AS450" s="9" t="n"/>
      <c r="AT450" s="9" t="n"/>
      <c r="AU450" s="9" t="n"/>
      <c r="AV450" s="9" t="n"/>
      <c r="AW450" s="9" t="n"/>
      <c r="AX450" s="9" t="n"/>
      <c r="AY450" s="9" t="n"/>
      <c r="AZ450" s="9" t="n"/>
      <c r="BA450" s="9" t="n"/>
    </row>
    <row r="451" ht="15.75" customHeight="1" s="18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  <c r="AH451" s="9" t="n"/>
      <c r="AI451" s="9" t="n"/>
      <c r="AJ451" s="9" t="n"/>
      <c r="AK451" s="9" t="n"/>
      <c r="AL451" s="9" t="n"/>
      <c r="AM451" s="9" t="n"/>
      <c r="AN451" s="9" t="n"/>
      <c r="AO451" s="9" t="n"/>
      <c r="AP451" s="9" t="n"/>
      <c r="AQ451" s="9" t="n"/>
      <c r="AR451" s="9" t="n"/>
      <c r="AS451" s="9" t="n"/>
      <c r="AT451" s="9" t="n"/>
      <c r="AU451" s="9" t="n"/>
      <c r="AV451" s="9" t="n"/>
      <c r="AW451" s="9" t="n"/>
      <c r="AX451" s="9" t="n"/>
      <c r="AY451" s="9" t="n"/>
      <c r="AZ451" s="9" t="n"/>
      <c r="BA451" s="9" t="n"/>
    </row>
    <row r="452" ht="15.75" customHeight="1" s="18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  <c r="AH452" s="9" t="n"/>
      <c r="AI452" s="9" t="n"/>
      <c r="AJ452" s="9" t="n"/>
      <c r="AK452" s="9" t="n"/>
      <c r="AL452" s="9" t="n"/>
      <c r="AM452" s="9" t="n"/>
      <c r="AN452" s="9" t="n"/>
      <c r="AO452" s="9" t="n"/>
      <c r="AP452" s="9" t="n"/>
      <c r="AQ452" s="9" t="n"/>
      <c r="AR452" s="9" t="n"/>
      <c r="AS452" s="9" t="n"/>
      <c r="AT452" s="9" t="n"/>
      <c r="AU452" s="9" t="n"/>
      <c r="AV452" s="9" t="n"/>
      <c r="AW452" s="9" t="n"/>
      <c r="AX452" s="9" t="n"/>
      <c r="AY452" s="9" t="n"/>
      <c r="AZ452" s="9" t="n"/>
      <c r="BA452" s="9" t="n"/>
    </row>
    <row r="453" ht="15.75" customHeight="1" s="18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  <c r="AH453" s="9" t="n"/>
      <c r="AI453" s="9" t="n"/>
      <c r="AJ453" s="9" t="n"/>
      <c r="AK453" s="9" t="n"/>
      <c r="AL453" s="9" t="n"/>
      <c r="AM453" s="9" t="n"/>
      <c r="AN453" s="9" t="n"/>
      <c r="AO453" s="9" t="n"/>
      <c r="AP453" s="9" t="n"/>
      <c r="AQ453" s="9" t="n"/>
      <c r="AR453" s="9" t="n"/>
      <c r="AS453" s="9" t="n"/>
      <c r="AT453" s="9" t="n"/>
      <c r="AU453" s="9" t="n"/>
      <c r="AV453" s="9" t="n"/>
      <c r="AW453" s="9" t="n"/>
      <c r="AX453" s="9" t="n"/>
      <c r="AY453" s="9" t="n"/>
      <c r="AZ453" s="9" t="n"/>
      <c r="BA453" s="9" t="n"/>
    </row>
    <row r="454" ht="15.75" customHeight="1" s="18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  <c r="AH454" s="9" t="n"/>
      <c r="AI454" s="9" t="n"/>
      <c r="AJ454" s="9" t="n"/>
      <c r="AK454" s="9" t="n"/>
      <c r="AL454" s="9" t="n"/>
      <c r="AM454" s="9" t="n"/>
      <c r="AN454" s="9" t="n"/>
      <c r="AO454" s="9" t="n"/>
      <c r="AP454" s="9" t="n"/>
      <c r="AQ454" s="9" t="n"/>
      <c r="AR454" s="9" t="n"/>
      <c r="AS454" s="9" t="n"/>
      <c r="AT454" s="9" t="n"/>
      <c r="AU454" s="9" t="n"/>
      <c r="AV454" s="9" t="n"/>
      <c r="AW454" s="9" t="n"/>
      <c r="AX454" s="9" t="n"/>
      <c r="AY454" s="9" t="n"/>
      <c r="AZ454" s="9" t="n"/>
      <c r="BA454" s="9" t="n"/>
    </row>
    <row r="455" ht="15.75" customHeight="1" s="18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  <c r="AH455" s="9" t="n"/>
      <c r="AI455" s="9" t="n"/>
      <c r="AJ455" s="9" t="n"/>
      <c r="AK455" s="9" t="n"/>
      <c r="AL455" s="9" t="n"/>
      <c r="AM455" s="9" t="n"/>
      <c r="AN455" s="9" t="n"/>
      <c r="AO455" s="9" t="n"/>
      <c r="AP455" s="9" t="n"/>
      <c r="AQ455" s="9" t="n"/>
      <c r="AR455" s="9" t="n"/>
      <c r="AS455" s="9" t="n"/>
      <c r="AT455" s="9" t="n"/>
      <c r="AU455" s="9" t="n"/>
      <c r="AV455" s="9" t="n"/>
      <c r="AW455" s="9" t="n"/>
      <c r="AX455" s="9" t="n"/>
      <c r="AY455" s="9" t="n"/>
      <c r="AZ455" s="9" t="n"/>
      <c r="BA455" s="9" t="n"/>
    </row>
    <row r="456" ht="15.75" customHeight="1" s="18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  <c r="AH456" s="9" t="n"/>
      <c r="AI456" s="9" t="n"/>
      <c r="AJ456" s="9" t="n"/>
      <c r="AK456" s="9" t="n"/>
      <c r="AL456" s="9" t="n"/>
      <c r="AM456" s="9" t="n"/>
      <c r="AN456" s="9" t="n"/>
      <c r="AO456" s="9" t="n"/>
      <c r="AP456" s="9" t="n"/>
      <c r="AQ456" s="9" t="n"/>
      <c r="AR456" s="9" t="n"/>
      <c r="AS456" s="9" t="n"/>
      <c r="AT456" s="9" t="n"/>
      <c r="AU456" s="9" t="n"/>
      <c r="AV456" s="9" t="n"/>
      <c r="AW456" s="9" t="n"/>
      <c r="AX456" s="9" t="n"/>
      <c r="AY456" s="9" t="n"/>
      <c r="AZ456" s="9" t="n"/>
      <c r="BA456" s="9" t="n"/>
    </row>
    <row r="457" ht="15.75" customHeight="1" s="18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  <c r="AH457" s="9" t="n"/>
      <c r="AI457" s="9" t="n"/>
      <c r="AJ457" s="9" t="n"/>
      <c r="AK457" s="9" t="n"/>
      <c r="AL457" s="9" t="n"/>
      <c r="AM457" s="9" t="n"/>
      <c r="AN457" s="9" t="n"/>
      <c r="AO457" s="9" t="n"/>
      <c r="AP457" s="9" t="n"/>
      <c r="AQ457" s="9" t="n"/>
      <c r="AR457" s="9" t="n"/>
      <c r="AS457" s="9" t="n"/>
      <c r="AT457" s="9" t="n"/>
      <c r="AU457" s="9" t="n"/>
      <c r="AV457" s="9" t="n"/>
      <c r="AW457" s="9" t="n"/>
      <c r="AX457" s="9" t="n"/>
      <c r="AY457" s="9" t="n"/>
      <c r="AZ457" s="9" t="n"/>
      <c r="BA457" s="9" t="n"/>
    </row>
    <row r="458" ht="15.75" customHeight="1" s="1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  <c r="AH458" s="9" t="n"/>
      <c r="AI458" s="9" t="n"/>
      <c r="AJ458" s="9" t="n"/>
      <c r="AK458" s="9" t="n"/>
      <c r="AL458" s="9" t="n"/>
      <c r="AM458" s="9" t="n"/>
      <c r="AN458" s="9" t="n"/>
      <c r="AO458" s="9" t="n"/>
      <c r="AP458" s="9" t="n"/>
      <c r="AQ458" s="9" t="n"/>
      <c r="AR458" s="9" t="n"/>
      <c r="AS458" s="9" t="n"/>
      <c r="AT458" s="9" t="n"/>
      <c r="AU458" s="9" t="n"/>
      <c r="AV458" s="9" t="n"/>
      <c r="AW458" s="9" t="n"/>
      <c r="AX458" s="9" t="n"/>
      <c r="AY458" s="9" t="n"/>
      <c r="AZ458" s="9" t="n"/>
      <c r="BA458" s="9" t="n"/>
    </row>
    <row r="459" ht="15.75" customHeight="1" s="18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  <c r="AH459" s="9" t="n"/>
      <c r="AI459" s="9" t="n"/>
      <c r="AJ459" s="9" t="n"/>
      <c r="AK459" s="9" t="n"/>
      <c r="AL459" s="9" t="n"/>
      <c r="AM459" s="9" t="n"/>
      <c r="AN459" s="9" t="n"/>
      <c r="AO459" s="9" t="n"/>
      <c r="AP459" s="9" t="n"/>
      <c r="AQ459" s="9" t="n"/>
      <c r="AR459" s="9" t="n"/>
      <c r="AS459" s="9" t="n"/>
      <c r="AT459" s="9" t="n"/>
      <c r="AU459" s="9" t="n"/>
      <c r="AV459" s="9" t="n"/>
      <c r="AW459" s="9" t="n"/>
      <c r="AX459" s="9" t="n"/>
      <c r="AY459" s="9" t="n"/>
      <c r="AZ459" s="9" t="n"/>
      <c r="BA459" s="9" t="n"/>
    </row>
    <row r="460" ht="15.75" customHeight="1" s="18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  <c r="AH460" s="9" t="n"/>
      <c r="AI460" s="9" t="n"/>
      <c r="AJ460" s="9" t="n"/>
      <c r="AK460" s="9" t="n"/>
      <c r="AL460" s="9" t="n"/>
      <c r="AM460" s="9" t="n"/>
      <c r="AN460" s="9" t="n"/>
      <c r="AO460" s="9" t="n"/>
      <c r="AP460" s="9" t="n"/>
      <c r="AQ460" s="9" t="n"/>
      <c r="AR460" s="9" t="n"/>
      <c r="AS460" s="9" t="n"/>
      <c r="AT460" s="9" t="n"/>
      <c r="AU460" s="9" t="n"/>
      <c r="AV460" s="9" t="n"/>
      <c r="AW460" s="9" t="n"/>
      <c r="AX460" s="9" t="n"/>
      <c r="AY460" s="9" t="n"/>
      <c r="AZ460" s="9" t="n"/>
      <c r="BA460" s="9" t="n"/>
    </row>
    <row r="461" ht="15.75" customHeight="1" s="18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  <c r="AH461" s="9" t="n"/>
      <c r="AI461" s="9" t="n"/>
      <c r="AJ461" s="9" t="n"/>
      <c r="AK461" s="9" t="n"/>
      <c r="AL461" s="9" t="n"/>
      <c r="AM461" s="9" t="n"/>
      <c r="AN461" s="9" t="n"/>
      <c r="AO461" s="9" t="n"/>
      <c r="AP461" s="9" t="n"/>
      <c r="AQ461" s="9" t="n"/>
      <c r="AR461" s="9" t="n"/>
      <c r="AS461" s="9" t="n"/>
      <c r="AT461" s="9" t="n"/>
      <c r="AU461" s="9" t="n"/>
      <c r="AV461" s="9" t="n"/>
      <c r="AW461" s="9" t="n"/>
      <c r="AX461" s="9" t="n"/>
      <c r="AY461" s="9" t="n"/>
      <c r="AZ461" s="9" t="n"/>
      <c r="BA461" s="9" t="n"/>
    </row>
    <row r="462" ht="15.75" customHeight="1" s="18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  <c r="AH462" s="9" t="n"/>
      <c r="AI462" s="9" t="n"/>
      <c r="AJ462" s="9" t="n"/>
      <c r="AK462" s="9" t="n"/>
      <c r="AL462" s="9" t="n"/>
      <c r="AM462" s="9" t="n"/>
      <c r="AN462" s="9" t="n"/>
      <c r="AO462" s="9" t="n"/>
      <c r="AP462" s="9" t="n"/>
      <c r="AQ462" s="9" t="n"/>
      <c r="AR462" s="9" t="n"/>
      <c r="AS462" s="9" t="n"/>
      <c r="AT462" s="9" t="n"/>
      <c r="AU462" s="9" t="n"/>
      <c r="AV462" s="9" t="n"/>
      <c r="AW462" s="9" t="n"/>
      <c r="AX462" s="9" t="n"/>
      <c r="AY462" s="9" t="n"/>
      <c r="AZ462" s="9" t="n"/>
      <c r="BA462" s="9" t="n"/>
    </row>
    <row r="463" ht="15.75" customHeight="1" s="18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  <c r="AH463" s="9" t="n"/>
      <c r="AI463" s="9" t="n"/>
      <c r="AJ463" s="9" t="n"/>
      <c r="AK463" s="9" t="n"/>
      <c r="AL463" s="9" t="n"/>
      <c r="AM463" s="9" t="n"/>
      <c r="AN463" s="9" t="n"/>
      <c r="AO463" s="9" t="n"/>
      <c r="AP463" s="9" t="n"/>
      <c r="AQ463" s="9" t="n"/>
      <c r="AR463" s="9" t="n"/>
      <c r="AS463" s="9" t="n"/>
      <c r="AT463" s="9" t="n"/>
      <c r="AU463" s="9" t="n"/>
      <c r="AV463" s="9" t="n"/>
      <c r="AW463" s="9" t="n"/>
      <c r="AX463" s="9" t="n"/>
      <c r="AY463" s="9" t="n"/>
      <c r="AZ463" s="9" t="n"/>
      <c r="BA463" s="9" t="n"/>
    </row>
    <row r="464" ht="15.75" customHeight="1" s="18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  <c r="AH464" s="9" t="n"/>
      <c r="AI464" s="9" t="n"/>
      <c r="AJ464" s="9" t="n"/>
      <c r="AK464" s="9" t="n"/>
      <c r="AL464" s="9" t="n"/>
      <c r="AM464" s="9" t="n"/>
      <c r="AN464" s="9" t="n"/>
      <c r="AO464" s="9" t="n"/>
      <c r="AP464" s="9" t="n"/>
      <c r="AQ464" s="9" t="n"/>
      <c r="AR464" s="9" t="n"/>
      <c r="AS464" s="9" t="n"/>
      <c r="AT464" s="9" t="n"/>
      <c r="AU464" s="9" t="n"/>
      <c r="AV464" s="9" t="n"/>
      <c r="AW464" s="9" t="n"/>
      <c r="AX464" s="9" t="n"/>
      <c r="AY464" s="9" t="n"/>
      <c r="AZ464" s="9" t="n"/>
      <c r="BA464" s="9" t="n"/>
    </row>
    <row r="465" ht="15.75" customHeight="1" s="18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  <c r="AH465" s="9" t="n"/>
      <c r="AI465" s="9" t="n"/>
      <c r="AJ465" s="9" t="n"/>
      <c r="AK465" s="9" t="n"/>
      <c r="AL465" s="9" t="n"/>
      <c r="AM465" s="9" t="n"/>
      <c r="AN465" s="9" t="n"/>
      <c r="AO465" s="9" t="n"/>
      <c r="AP465" s="9" t="n"/>
      <c r="AQ465" s="9" t="n"/>
      <c r="AR465" s="9" t="n"/>
      <c r="AS465" s="9" t="n"/>
      <c r="AT465" s="9" t="n"/>
      <c r="AU465" s="9" t="n"/>
      <c r="AV465" s="9" t="n"/>
      <c r="AW465" s="9" t="n"/>
      <c r="AX465" s="9" t="n"/>
      <c r="AY465" s="9" t="n"/>
      <c r="AZ465" s="9" t="n"/>
      <c r="BA465" s="9" t="n"/>
    </row>
    <row r="466" ht="15.75" customHeight="1" s="18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  <c r="AH466" s="9" t="n"/>
      <c r="AI466" s="9" t="n"/>
      <c r="AJ466" s="9" t="n"/>
      <c r="AK466" s="9" t="n"/>
      <c r="AL466" s="9" t="n"/>
      <c r="AM466" s="9" t="n"/>
      <c r="AN466" s="9" t="n"/>
      <c r="AO466" s="9" t="n"/>
      <c r="AP466" s="9" t="n"/>
      <c r="AQ466" s="9" t="n"/>
      <c r="AR466" s="9" t="n"/>
      <c r="AS466" s="9" t="n"/>
      <c r="AT466" s="9" t="n"/>
      <c r="AU466" s="9" t="n"/>
      <c r="AV466" s="9" t="n"/>
      <c r="AW466" s="9" t="n"/>
      <c r="AX466" s="9" t="n"/>
      <c r="AY466" s="9" t="n"/>
      <c r="AZ466" s="9" t="n"/>
      <c r="BA466" s="9" t="n"/>
    </row>
    <row r="467" ht="15.75" customHeight="1" s="18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  <c r="AH467" s="9" t="n"/>
      <c r="AI467" s="9" t="n"/>
      <c r="AJ467" s="9" t="n"/>
      <c r="AK467" s="9" t="n"/>
      <c r="AL467" s="9" t="n"/>
      <c r="AM467" s="9" t="n"/>
      <c r="AN467" s="9" t="n"/>
      <c r="AO467" s="9" t="n"/>
      <c r="AP467" s="9" t="n"/>
      <c r="AQ467" s="9" t="n"/>
      <c r="AR467" s="9" t="n"/>
      <c r="AS467" s="9" t="n"/>
      <c r="AT467" s="9" t="n"/>
      <c r="AU467" s="9" t="n"/>
      <c r="AV467" s="9" t="n"/>
      <c r="AW467" s="9" t="n"/>
      <c r="AX467" s="9" t="n"/>
      <c r="AY467" s="9" t="n"/>
      <c r="AZ467" s="9" t="n"/>
      <c r="BA467" s="9" t="n"/>
    </row>
    <row r="468" ht="15.75" customHeight="1" s="1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  <c r="AH468" s="9" t="n"/>
      <c r="AI468" s="9" t="n"/>
      <c r="AJ468" s="9" t="n"/>
      <c r="AK468" s="9" t="n"/>
      <c r="AL468" s="9" t="n"/>
      <c r="AM468" s="9" t="n"/>
      <c r="AN468" s="9" t="n"/>
      <c r="AO468" s="9" t="n"/>
      <c r="AP468" s="9" t="n"/>
      <c r="AQ468" s="9" t="n"/>
      <c r="AR468" s="9" t="n"/>
      <c r="AS468" s="9" t="n"/>
      <c r="AT468" s="9" t="n"/>
      <c r="AU468" s="9" t="n"/>
      <c r="AV468" s="9" t="n"/>
      <c r="AW468" s="9" t="n"/>
      <c r="AX468" s="9" t="n"/>
      <c r="AY468" s="9" t="n"/>
      <c r="AZ468" s="9" t="n"/>
      <c r="BA468" s="9" t="n"/>
    </row>
    <row r="469" ht="15.75" customHeight="1" s="18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  <c r="AH469" s="9" t="n"/>
      <c r="AI469" s="9" t="n"/>
      <c r="AJ469" s="9" t="n"/>
      <c r="AK469" s="9" t="n"/>
      <c r="AL469" s="9" t="n"/>
      <c r="AM469" s="9" t="n"/>
      <c r="AN469" s="9" t="n"/>
      <c r="AO469" s="9" t="n"/>
      <c r="AP469" s="9" t="n"/>
      <c r="AQ469" s="9" t="n"/>
      <c r="AR469" s="9" t="n"/>
      <c r="AS469" s="9" t="n"/>
      <c r="AT469" s="9" t="n"/>
      <c r="AU469" s="9" t="n"/>
      <c r="AV469" s="9" t="n"/>
      <c r="AW469" s="9" t="n"/>
      <c r="AX469" s="9" t="n"/>
      <c r="AY469" s="9" t="n"/>
      <c r="AZ469" s="9" t="n"/>
      <c r="BA469" s="9" t="n"/>
    </row>
    <row r="470" ht="15.75" customHeight="1" s="18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  <c r="AH470" s="9" t="n"/>
      <c r="AI470" s="9" t="n"/>
      <c r="AJ470" s="9" t="n"/>
      <c r="AK470" s="9" t="n"/>
      <c r="AL470" s="9" t="n"/>
      <c r="AM470" s="9" t="n"/>
      <c r="AN470" s="9" t="n"/>
      <c r="AO470" s="9" t="n"/>
      <c r="AP470" s="9" t="n"/>
      <c r="AQ470" s="9" t="n"/>
      <c r="AR470" s="9" t="n"/>
      <c r="AS470" s="9" t="n"/>
      <c r="AT470" s="9" t="n"/>
      <c r="AU470" s="9" t="n"/>
      <c r="AV470" s="9" t="n"/>
      <c r="AW470" s="9" t="n"/>
      <c r="AX470" s="9" t="n"/>
      <c r="AY470" s="9" t="n"/>
      <c r="AZ470" s="9" t="n"/>
      <c r="BA470" s="9" t="n"/>
    </row>
    <row r="471" ht="15.75" customHeight="1" s="18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  <c r="AH471" s="9" t="n"/>
      <c r="AI471" s="9" t="n"/>
      <c r="AJ471" s="9" t="n"/>
      <c r="AK471" s="9" t="n"/>
      <c r="AL471" s="9" t="n"/>
      <c r="AM471" s="9" t="n"/>
      <c r="AN471" s="9" t="n"/>
      <c r="AO471" s="9" t="n"/>
      <c r="AP471" s="9" t="n"/>
      <c r="AQ471" s="9" t="n"/>
      <c r="AR471" s="9" t="n"/>
      <c r="AS471" s="9" t="n"/>
      <c r="AT471" s="9" t="n"/>
      <c r="AU471" s="9" t="n"/>
      <c r="AV471" s="9" t="n"/>
      <c r="AW471" s="9" t="n"/>
      <c r="AX471" s="9" t="n"/>
      <c r="AY471" s="9" t="n"/>
      <c r="AZ471" s="9" t="n"/>
      <c r="BA471" s="9" t="n"/>
    </row>
    <row r="472" ht="15.75" customHeight="1" s="18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  <c r="AH472" s="9" t="n"/>
      <c r="AI472" s="9" t="n"/>
      <c r="AJ472" s="9" t="n"/>
      <c r="AK472" s="9" t="n"/>
      <c r="AL472" s="9" t="n"/>
      <c r="AM472" s="9" t="n"/>
      <c r="AN472" s="9" t="n"/>
      <c r="AO472" s="9" t="n"/>
      <c r="AP472" s="9" t="n"/>
      <c r="AQ472" s="9" t="n"/>
      <c r="AR472" s="9" t="n"/>
      <c r="AS472" s="9" t="n"/>
      <c r="AT472" s="9" t="n"/>
      <c r="AU472" s="9" t="n"/>
      <c r="AV472" s="9" t="n"/>
      <c r="AW472" s="9" t="n"/>
      <c r="AX472" s="9" t="n"/>
      <c r="AY472" s="9" t="n"/>
      <c r="AZ472" s="9" t="n"/>
      <c r="BA472" s="9" t="n"/>
    </row>
    <row r="473" ht="15.75" customHeight="1" s="18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  <c r="AH473" s="9" t="n"/>
      <c r="AI473" s="9" t="n"/>
      <c r="AJ473" s="9" t="n"/>
      <c r="AK473" s="9" t="n"/>
      <c r="AL473" s="9" t="n"/>
      <c r="AM473" s="9" t="n"/>
      <c r="AN473" s="9" t="n"/>
      <c r="AO473" s="9" t="n"/>
      <c r="AP473" s="9" t="n"/>
      <c r="AQ473" s="9" t="n"/>
      <c r="AR473" s="9" t="n"/>
      <c r="AS473" s="9" t="n"/>
      <c r="AT473" s="9" t="n"/>
      <c r="AU473" s="9" t="n"/>
      <c r="AV473" s="9" t="n"/>
      <c r="AW473" s="9" t="n"/>
      <c r="AX473" s="9" t="n"/>
      <c r="AY473" s="9" t="n"/>
      <c r="AZ473" s="9" t="n"/>
      <c r="BA473" s="9" t="n"/>
    </row>
    <row r="474" ht="15.75" customHeight="1" s="18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  <c r="AH474" s="9" t="n"/>
      <c r="AI474" s="9" t="n"/>
      <c r="AJ474" s="9" t="n"/>
      <c r="AK474" s="9" t="n"/>
      <c r="AL474" s="9" t="n"/>
      <c r="AM474" s="9" t="n"/>
      <c r="AN474" s="9" t="n"/>
      <c r="AO474" s="9" t="n"/>
      <c r="AP474" s="9" t="n"/>
      <c r="AQ474" s="9" t="n"/>
      <c r="AR474" s="9" t="n"/>
      <c r="AS474" s="9" t="n"/>
      <c r="AT474" s="9" t="n"/>
      <c r="AU474" s="9" t="n"/>
      <c r="AV474" s="9" t="n"/>
      <c r="AW474" s="9" t="n"/>
      <c r="AX474" s="9" t="n"/>
      <c r="AY474" s="9" t="n"/>
      <c r="AZ474" s="9" t="n"/>
      <c r="BA474" s="9" t="n"/>
    </row>
    <row r="475" ht="15.75" customHeight="1" s="18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  <c r="AH475" s="9" t="n"/>
      <c r="AI475" s="9" t="n"/>
      <c r="AJ475" s="9" t="n"/>
      <c r="AK475" s="9" t="n"/>
      <c r="AL475" s="9" t="n"/>
      <c r="AM475" s="9" t="n"/>
      <c r="AN475" s="9" t="n"/>
      <c r="AO475" s="9" t="n"/>
      <c r="AP475" s="9" t="n"/>
      <c r="AQ475" s="9" t="n"/>
      <c r="AR475" s="9" t="n"/>
      <c r="AS475" s="9" t="n"/>
      <c r="AT475" s="9" t="n"/>
      <c r="AU475" s="9" t="n"/>
      <c r="AV475" s="9" t="n"/>
      <c r="AW475" s="9" t="n"/>
      <c r="AX475" s="9" t="n"/>
      <c r="AY475" s="9" t="n"/>
      <c r="AZ475" s="9" t="n"/>
      <c r="BA475" s="9" t="n"/>
    </row>
    <row r="476" ht="15.75" customHeight="1" s="18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  <c r="AH476" s="9" t="n"/>
      <c r="AI476" s="9" t="n"/>
      <c r="AJ476" s="9" t="n"/>
      <c r="AK476" s="9" t="n"/>
      <c r="AL476" s="9" t="n"/>
      <c r="AM476" s="9" t="n"/>
      <c r="AN476" s="9" t="n"/>
      <c r="AO476" s="9" t="n"/>
      <c r="AP476" s="9" t="n"/>
      <c r="AQ476" s="9" t="n"/>
      <c r="AR476" s="9" t="n"/>
      <c r="AS476" s="9" t="n"/>
      <c r="AT476" s="9" t="n"/>
      <c r="AU476" s="9" t="n"/>
      <c r="AV476" s="9" t="n"/>
      <c r="AW476" s="9" t="n"/>
      <c r="AX476" s="9" t="n"/>
      <c r="AY476" s="9" t="n"/>
      <c r="AZ476" s="9" t="n"/>
      <c r="BA476" s="9" t="n"/>
    </row>
    <row r="477" ht="15.75" customHeight="1" s="18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  <c r="AH477" s="9" t="n"/>
      <c r="AI477" s="9" t="n"/>
      <c r="AJ477" s="9" t="n"/>
      <c r="AK477" s="9" t="n"/>
      <c r="AL477" s="9" t="n"/>
      <c r="AM477" s="9" t="n"/>
      <c r="AN477" s="9" t="n"/>
      <c r="AO477" s="9" t="n"/>
      <c r="AP477" s="9" t="n"/>
      <c r="AQ477" s="9" t="n"/>
      <c r="AR477" s="9" t="n"/>
      <c r="AS477" s="9" t="n"/>
      <c r="AT477" s="9" t="n"/>
      <c r="AU477" s="9" t="n"/>
      <c r="AV477" s="9" t="n"/>
      <c r="AW477" s="9" t="n"/>
      <c r="AX477" s="9" t="n"/>
      <c r="AY477" s="9" t="n"/>
      <c r="AZ477" s="9" t="n"/>
      <c r="BA477" s="9" t="n"/>
    </row>
    <row r="478" ht="15.75" customHeight="1" s="1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  <c r="AH478" s="9" t="n"/>
      <c r="AI478" s="9" t="n"/>
      <c r="AJ478" s="9" t="n"/>
      <c r="AK478" s="9" t="n"/>
      <c r="AL478" s="9" t="n"/>
      <c r="AM478" s="9" t="n"/>
      <c r="AN478" s="9" t="n"/>
      <c r="AO478" s="9" t="n"/>
      <c r="AP478" s="9" t="n"/>
      <c r="AQ478" s="9" t="n"/>
      <c r="AR478" s="9" t="n"/>
      <c r="AS478" s="9" t="n"/>
      <c r="AT478" s="9" t="n"/>
      <c r="AU478" s="9" t="n"/>
      <c r="AV478" s="9" t="n"/>
      <c r="AW478" s="9" t="n"/>
      <c r="AX478" s="9" t="n"/>
      <c r="AY478" s="9" t="n"/>
      <c r="AZ478" s="9" t="n"/>
      <c r="BA478" s="9" t="n"/>
    </row>
    <row r="479" ht="15.75" customHeight="1" s="18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  <c r="AH479" s="9" t="n"/>
      <c r="AI479" s="9" t="n"/>
      <c r="AJ479" s="9" t="n"/>
      <c r="AK479" s="9" t="n"/>
      <c r="AL479" s="9" t="n"/>
      <c r="AM479" s="9" t="n"/>
      <c r="AN479" s="9" t="n"/>
      <c r="AO479" s="9" t="n"/>
      <c r="AP479" s="9" t="n"/>
      <c r="AQ479" s="9" t="n"/>
      <c r="AR479" s="9" t="n"/>
      <c r="AS479" s="9" t="n"/>
      <c r="AT479" s="9" t="n"/>
      <c r="AU479" s="9" t="n"/>
      <c r="AV479" s="9" t="n"/>
      <c r="AW479" s="9" t="n"/>
      <c r="AX479" s="9" t="n"/>
      <c r="AY479" s="9" t="n"/>
      <c r="AZ479" s="9" t="n"/>
      <c r="BA479" s="9" t="n"/>
    </row>
    <row r="480" ht="15.75" customHeight="1" s="18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  <c r="AH480" s="9" t="n"/>
      <c r="AI480" s="9" t="n"/>
      <c r="AJ480" s="9" t="n"/>
      <c r="AK480" s="9" t="n"/>
      <c r="AL480" s="9" t="n"/>
      <c r="AM480" s="9" t="n"/>
      <c r="AN480" s="9" t="n"/>
      <c r="AO480" s="9" t="n"/>
      <c r="AP480" s="9" t="n"/>
      <c r="AQ480" s="9" t="n"/>
      <c r="AR480" s="9" t="n"/>
      <c r="AS480" s="9" t="n"/>
      <c r="AT480" s="9" t="n"/>
      <c r="AU480" s="9" t="n"/>
      <c r="AV480" s="9" t="n"/>
      <c r="AW480" s="9" t="n"/>
      <c r="AX480" s="9" t="n"/>
      <c r="AY480" s="9" t="n"/>
      <c r="AZ480" s="9" t="n"/>
      <c r="BA480" s="9" t="n"/>
    </row>
    <row r="481" ht="15.75" customHeight="1" s="18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  <c r="AH481" s="9" t="n"/>
      <c r="AI481" s="9" t="n"/>
      <c r="AJ481" s="9" t="n"/>
      <c r="AK481" s="9" t="n"/>
      <c r="AL481" s="9" t="n"/>
      <c r="AM481" s="9" t="n"/>
      <c r="AN481" s="9" t="n"/>
      <c r="AO481" s="9" t="n"/>
      <c r="AP481" s="9" t="n"/>
      <c r="AQ481" s="9" t="n"/>
      <c r="AR481" s="9" t="n"/>
      <c r="AS481" s="9" t="n"/>
      <c r="AT481" s="9" t="n"/>
      <c r="AU481" s="9" t="n"/>
      <c r="AV481" s="9" t="n"/>
      <c r="AW481" s="9" t="n"/>
      <c r="AX481" s="9" t="n"/>
      <c r="AY481" s="9" t="n"/>
      <c r="AZ481" s="9" t="n"/>
      <c r="BA481" s="9" t="n"/>
    </row>
    <row r="482" ht="15.75" customHeight="1" s="18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  <c r="AH482" s="9" t="n"/>
      <c r="AI482" s="9" t="n"/>
      <c r="AJ482" s="9" t="n"/>
      <c r="AK482" s="9" t="n"/>
      <c r="AL482" s="9" t="n"/>
      <c r="AM482" s="9" t="n"/>
      <c r="AN482" s="9" t="n"/>
      <c r="AO482" s="9" t="n"/>
      <c r="AP482" s="9" t="n"/>
      <c r="AQ482" s="9" t="n"/>
      <c r="AR482" s="9" t="n"/>
      <c r="AS482" s="9" t="n"/>
      <c r="AT482" s="9" t="n"/>
      <c r="AU482" s="9" t="n"/>
      <c r="AV482" s="9" t="n"/>
      <c r="AW482" s="9" t="n"/>
      <c r="AX482" s="9" t="n"/>
      <c r="AY482" s="9" t="n"/>
      <c r="AZ482" s="9" t="n"/>
      <c r="BA482" s="9" t="n"/>
    </row>
    <row r="483" ht="15.75" customHeight="1" s="18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  <c r="AH483" s="9" t="n"/>
      <c r="AI483" s="9" t="n"/>
      <c r="AJ483" s="9" t="n"/>
      <c r="AK483" s="9" t="n"/>
      <c r="AL483" s="9" t="n"/>
      <c r="AM483" s="9" t="n"/>
      <c r="AN483" s="9" t="n"/>
      <c r="AO483" s="9" t="n"/>
      <c r="AP483" s="9" t="n"/>
      <c r="AQ483" s="9" t="n"/>
      <c r="AR483" s="9" t="n"/>
      <c r="AS483" s="9" t="n"/>
      <c r="AT483" s="9" t="n"/>
      <c r="AU483" s="9" t="n"/>
      <c r="AV483" s="9" t="n"/>
      <c r="AW483" s="9" t="n"/>
      <c r="AX483" s="9" t="n"/>
      <c r="AY483" s="9" t="n"/>
      <c r="AZ483" s="9" t="n"/>
      <c r="BA483" s="9" t="n"/>
    </row>
    <row r="484" ht="15.75" customHeight="1" s="18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  <c r="AH484" s="9" t="n"/>
      <c r="AI484" s="9" t="n"/>
      <c r="AJ484" s="9" t="n"/>
      <c r="AK484" s="9" t="n"/>
      <c r="AL484" s="9" t="n"/>
      <c r="AM484" s="9" t="n"/>
      <c r="AN484" s="9" t="n"/>
      <c r="AO484" s="9" t="n"/>
      <c r="AP484" s="9" t="n"/>
      <c r="AQ484" s="9" t="n"/>
      <c r="AR484" s="9" t="n"/>
      <c r="AS484" s="9" t="n"/>
      <c r="AT484" s="9" t="n"/>
      <c r="AU484" s="9" t="n"/>
      <c r="AV484" s="9" t="n"/>
      <c r="AW484" s="9" t="n"/>
      <c r="AX484" s="9" t="n"/>
      <c r="AY484" s="9" t="n"/>
      <c r="AZ484" s="9" t="n"/>
      <c r="BA484" s="9" t="n"/>
    </row>
    <row r="485" ht="15.75" customHeight="1" s="18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  <c r="AH485" s="9" t="n"/>
      <c r="AI485" s="9" t="n"/>
      <c r="AJ485" s="9" t="n"/>
      <c r="AK485" s="9" t="n"/>
      <c r="AL485" s="9" t="n"/>
      <c r="AM485" s="9" t="n"/>
      <c r="AN485" s="9" t="n"/>
      <c r="AO485" s="9" t="n"/>
      <c r="AP485" s="9" t="n"/>
      <c r="AQ485" s="9" t="n"/>
      <c r="AR485" s="9" t="n"/>
      <c r="AS485" s="9" t="n"/>
      <c r="AT485" s="9" t="n"/>
      <c r="AU485" s="9" t="n"/>
      <c r="AV485" s="9" t="n"/>
      <c r="AW485" s="9" t="n"/>
      <c r="AX485" s="9" t="n"/>
      <c r="AY485" s="9" t="n"/>
      <c r="AZ485" s="9" t="n"/>
      <c r="BA485" s="9" t="n"/>
    </row>
    <row r="486" ht="15.75" customHeight="1" s="18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  <c r="AH486" s="9" t="n"/>
      <c r="AI486" s="9" t="n"/>
      <c r="AJ486" s="9" t="n"/>
      <c r="AK486" s="9" t="n"/>
      <c r="AL486" s="9" t="n"/>
      <c r="AM486" s="9" t="n"/>
      <c r="AN486" s="9" t="n"/>
      <c r="AO486" s="9" t="n"/>
      <c r="AP486" s="9" t="n"/>
      <c r="AQ486" s="9" t="n"/>
      <c r="AR486" s="9" t="n"/>
      <c r="AS486" s="9" t="n"/>
      <c r="AT486" s="9" t="n"/>
      <c r="AU486" s="9" t="n"/>
      <c r="AV486" s="9" t="n"/>
      <c r="AW486" s="9" t="n"/>
      <c r="AX486" s="9" t="n"/>
      <c r="AY486" s="9" t="n"/>
      <c r="AZ486" s="9" t="n"/>
      <c r="BA486" s="9" t="n"/>
    </row>
    <row r="487" ht="15.75" customHeight="1" s="18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  <c r="AH487" s="9" t="n"/>
      <c r="AI487" s="9" t="n"/>
      <c r="AJ487" s="9" t="n"/>
      <c r="AK487" s="9" t="n"/>
      <c r="AL487" s="9" t="n"/>
      <c r="AM487" s="9" t="n"/>
      <c r="AN487" s="9" t="n"/>
      <c r="AO487" s="9" t="n"/>
      <c r="AP487" s="9" t="n"/>
      <c r="AQ487" s="9" t="n"/>
      <c r="AR487" s="9" t="n"/>
      <c r="AS487" s="9" t="n"/>
      <c r="AT487" s="9" t="n"/>
      <c r="AU487" s="9" t="n"/>
      <c r="AV487" s="9" t="n"/>
      <c r="AW487" s="9" t="n"/>
      <c r="AX487" s="9" t="n"/>
      <c r="AY487" s="9" t="n"/>
      <c r="AZ487" s="9" t="n"/>
      <c r="BA487" s="9" t="n"/>
    </row>
    <row r="488" ht="15.75" customHeight="1" s="1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  <c r="AH488" s="9" t="n"/>
      <c r="AI488" s="9" t="n"/>
      <c r="AJ488" s="9" t="n"/>
      <c r="AK488" s="9" t="n"/>
      <c r="AL488" s="9" t="n"/>
      <c r="AM488" s="9" t="n"/>
      <c r="AN488" s="9" t="n"/>
      <c r="AO488" s="9" t="n"/>
      <c r="AP488" s="9" t="n"/>
      <c r="AQ488" s="9" t="n"/>
      <c r="AR488" s="9" t="n"/>
      <c r="AS488" s="9" t="n"/>
      <c r="AT488" s="9" t="n"/>
      <c r="AU488" s="9" t="n"/>
      <c r="AV488" s="9" t="n"/>
      <c r="AW488" s="9" t="n"/>
      <c r="AX488" s="9" t="n"/>
      <c r="AY488" s="9" t="n"/>
      <c r="AZ488" s="9" t="n"/>
      <c r="BA488" s="9" t="n"/>
    </row>
    <row r="489" ht="15.75" customHeight="1" s="18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  <c r="AH489" s="9" t="n"/>
      <c r="AI489" s="9" t="n"/>
      <c r="AJ489" s="9" t="n"/>
      <c r="AK489" s="9" t="n"/>
      <c r="AL489" s="9" t="n"/>
      <c r="AM489" s="9" t="n"/>
      <c r="AN489" s="9" t="n"/>
      <c r="AO489" s="9" t="n"/>
      <c r="AP489" s="9" t="n"/>
      <c r="AQ489" s="9" t="n"/>
      <c r="AR489" s="9" t="n"/>
      <c r="AS489" s="9" t="n"/>
      <c r="AT489" s="9" t="n"/>
      <c r="AU489" s="9" t="n"/>
      <c r="AV489" s="9" t="n"/>
      <c r="AW489" s="9" t="n"/>
      <c r="AX489" s="9" t="n"/>
      <c r="AY489" s="9" t="n"/>
      <c r="AZ489" s="9" t="n"/>
      <c r="BA489" s="9" t="n"/>
    </row>
    <row r="490" ht="15.75" customHeight="1" s="18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  <c r="AH490" s="9" t="n"/>
      <c r="AI490" s="9" t="n"/>
      <c r="AJ490" s="9" t="n"/>
      <c r="AK490" s="9" t="n"/>
      <c r="AL490" s="9" t="n"/>
      <c r="AM490" s="9" t="n"/>
      <c r="AN490" s="9" t="n"/>
      <c r="AO490" s="9" t="n"/>
      <c r="AP490" s="9" t="n"/>
      <c r="AQ490" s="9" t="n"/>
      <c r="AR490" s="9" t="n"/>
      <c r="AS490" s="9" t="n"/>
      <c r="AT490" s="9" t="n"/>
      <c r="AU490" s="9" t="n"/>
      <c r="AV490" s="9" t="n"/>
      <c r="AW490" s="9" t="n"/>
      <c r="AX490" s="9" t="n"/>
      <c r="AY490" s="9" t="n"/>
      <c r="AZ490" s="9" t="n"/>
      <c r="BA490" s="9" t="n"/>
    </row>
    <row r="491" ht="15.75" customHeight="1" s="18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  <c r="AH491" s="9" t="n"/>
      <c r="AI491" s="9" t="n"/>
      <c r="AJ491" s="9" t="n"/>
      <c r="AK491" s="9" t="n"/>
      <c r="AL491" s="9" t="n"/>
      <c r="AM491" s="9" t="n"/>
      <c r="AN491" s="9" t="n"/>
      <c r="AO491" s="9" t="n"/>
      <c r="AP491" s="9" t="n"/>
      <c r="AQ491" s="9" t="n"/>
      <c r="AR491" s="9" t="n"/>
      <c r="AS491" s="9" t="n"/>
      <c r="AT491" s="9" t="n"/>
      <c r="AU491" s="9" t="n"/>
      <c r="AV491" s="9" t="n"/>
      <c r="AW491" s="9" t="n"/>
      <c r="AX491" s="9" t="n"/>
      <c r="AY491" s="9" t="n"/>
      <c r="AZ491" s="9" t="n"/>
      <c r="BA491" s="9" t="n"/>
    </row>
    <row r="492" ht="15.75" customHeight="1" s="18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  <c r="AH492" s="9" t="n"/>
      <c r="AI492" s="9" t="n"/>
      <c r="AJ492" s="9" t="n"/>
      <c r="AK492" s="9" t="n"/>
      <c r="AL492" s="9" t="n"/>
      <c r="AM492" s="9" t="n"/>
      <c r="AN492" s="9" t="n"/>
      <c r="AO492" s="9" t="n"/>
      <c r="AP492" s="9" t="n"/>
      <c r="AQ492" s="9" t="n"/>
      <c r="AR492" s="9" t="n"/>
      <c r="AS492" s="9" t="n"/>
      <c r="AT492" s="9" t="n"/>
      <c r="AU492" s="9" t="n"/>
      <c r="AV492" s="9" t="n"/>
      <c r="AW492" s="9" t="n"/>
      <c r="AX492" s="9" t="n"/>
      <c r="AY492" s="9" t="n"/>
      <c r="AZ492" s="9" t="n"/>
      <c r="BA492" s="9" t="n"/>
    </row>
    <row r="493" ht="15.75" customHeight="1" s="18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  <c r="AH493" s="9" t="n"/>
      <c r="AI493" s="9" t="n"/>
      <c r="AJ493" s="9" t="n"/>
      <c r="AK493" s="9" t="n"/>
      <c r="AL493" s="9" t="n"/>
      <c r="AM493" s="9" t="n"/>
      <c r="AN493" s="9" t="n"/>
      <c r="AO493" s="9" t="n"/>
      <c r="AP493" s="9" t="n"/>
      <c r="AQ493" s="9" t="n"/>
      <c r="AR493" s="9" t="n"/>
      <c r="AS493" s="9" t="n"/>
      <c r="AT493" s="9" t="n"/>
      <c r="AU493" s="9" t="n"/>
      <c r="AV493" s="9" t="n"/>
      <c r="AW493" s="9" t="n"/>
      <c r="AX493" s="9" t="n"/>
      <c r="AY493" s="9" t="n"/>
      <c r="AZ493" s="9" t="n"/>
      <c r="BA493" s="9" t="n"/>
    </row>
    <row r="494" ht="15.75" customHeight="1" s="18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  <c r="AH494" s="9" t="n"/>
      <c r="AI494" s="9" t="n"/>
      <c r="AJ494" s="9" t="n"/>
      <c r="AK494" s="9" t="n"/>
      <c r="AL494" s="9" t="n"/>
      <c r="AM494" s="9" t="n"/>
      <c r="AN494" s="9" t="n"/>
      <c r="AO494" s="9" t="n"/>
      <c r="AP494" s="9" t="n"/>
      <c r="AQ494" s="9" t="n"/>
      <c r="AR494" s="9" t="n"/>
      <c r="AS494" s="9" t="n"/>
      <c r="AT494" s="9" t="n"/>
      <c r="AU494" s="9" t="n"/>
      <c r="AV494" s="9" t="n"/>
      <c r="AW494" s="9" t="n"/>
      <c r="AX494" s="9" t="n"/>
      <c r="AY494" s="9" t="n"/>
      <c r="AZ494" s="9" t="n"/>
      <c r="BA494" s="9" t="n"/>
    </row>
    <row r="495" ht="15.75" customHeight="1" s="18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  <c r="AH495" s="9" t="n"/>
      <c r="AI495" s="9" t="n"/>
      <c r="AJ495" s="9" t="n"/>
      <c r="AK495" s="9" t="n"/>
      <c r="AL495" s="9" t="n"/>
      <c r="AM495" s="9" t="n"/>
      <c r="AN495" s="9" t="n"/>
      <c r="AO495" s="9" t="n"/>
      <c r="AP495" s="9" t="n"/>
      <c r="AQ495" s="9" t="n"/>
      <c r="AR495" s="9" t="n"/>
      <c r="AS495" s="9" t="n"/>
      <c r="AT495" s="9" t="n"/>
      <c r="AU495" s="9" t="n"/>
      <c r="AV495" s="9" t="n"/>
      <c r="AW495" s="9" t="n"/>
      <c r="AX495" s="9" t="n"/>
      <c r="AY495" s="9" t="n"/>
      <c r="AZ495" s="9" t="n"/>
      <c r="BA495" s="9" t="n"/>
    </row>
    <row r="496" ht="15.75" customHeight="1" s="18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  <c r="AH496" s="9" t="n"/>
      <c r="AI496" s="9" t="n"/>
      <c r="AJ496" s="9" t="n"/>
      <c r="AK496" s="9" t="n"/>
      <c r="AL496" s="9" t="n"/>
      <c r="AM496" s="9" t="n"/>
      <c r="AN496" s="9" t="n"/>
      <c r="AO496" s="9" t="n"/>
      <c r="AP496" s="9" t="n"/>
      <c r="AQ496" s="9" t="n"/>
      <c r="AR496" s="9" t="n"/>
      <c r="AS496" s="9" t="n"/>
      <c r="AT496" s="9" t="n"/>
      <c r="AU496" s="9" t="n"/>
      <c r="AV496" s="9" t="n"/>
      <c r="AW496" s="9" t="n"/>
      <c r="AX496" s="9" t="n"/>
      <c r="AY496" s="9" t="n"/>
      <c r="AZ496" s="9" t="n"/>
      <c r="BA496" s="9" t="n"/>
    </row>
    <row r="497" ht="15.75" customHeight="1" s="18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  <c r="AH497" s="9" t="n"/>
      <c r="AI497" s="9" t="n"/>
      <c r="AJ497" s="9" t="n"/>
      <c r="AK497" s="9" t="n"/>
      <c r="AL497" s="9" t="n"/>
      <c r="AM497" s="9" t="n"/>
      <c r="AN497" s="9" t="n"/>
      <c r="AO497" s="9" t="n"/>
      <c r="AP497" s="9" t="n"/>
      <c r="AQ497" s="9" t="n"/>
      <c r="AR497" s="9" t="n"/>
      <c r="AS497" s="9" t="n"/>
      <c r="AT497" s="9" t="n"/>
      <c r="AU497" s="9" t="n"/>
      <c r="AV497" s="9" t="n"/>
      <c r="AW497" s="9" t="n"/>
      <c r="AX497" s="9" t="n"/>
      <c r="AY497" s="9" t="n"/>
      <c r="AZ497" s="9" t="n"/>
      <c r="BA497" s="9" t="n"/>
    </row>
    <row r="498" ht="15.75" customHeight="1" s="1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  <c r="AH498" s="9" t="n"/>
      <c r="AI498" s="9" t="n"/>
      <c r="AJ498" s="9" t="n"/>
      <c r="AK498" s="9" t="n"/>
      <c r="AL498" s="9" t="n"/>
      <c r="AM498" s="9" t="n"/>
      <c r="AN498" s="9" t="n"/>
      <c r="AO498" s="9" t="n"/>
      <c r="AP498" s="9" t="n"/>
      <c r="AQ498" s="9" t="n"/>
      <c r="AR498" s="9" t="n"/>
      <c r="AS498" s="9" t="n"/>
      <c r="AT498" s="9" t="n"/>
      <c r="AU498" s="9" t="n"/>
      <c r="AV498" s="9" t="n"/>
      <c r="AW498" s="9" t="n"/>
      <c r="AX498" s="9" t="n"/>
      <c r="AY498" s="9" t="n"/>
      <c r="AZ498" s="9" t="n"/>
      <c r="BA498" s="9" t="n"/>
    </row>
    <row r="499" ht="15.75" customHeight="1" s="18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  <c r="AH499" s="9" t="n"/>
      <c r="AI499" s="9" t="n"/>
      <c r="AJ499" s="9" t="n"/>
      <c r="AK499" s="9" t="n"/>
      <c r="AL499" s="9" t="n"/>
      <c r="AM499" s="9" t="n"/>
      <c r="AN499" s="9" t="n"/>
      <c r="AO499" s="9" t="n"/>
      <c r="AP499" s="9" t="n"/>
      <c r="AQ499" s="9" t="n"/>
      <c r="AR499" s="9" t="n"/>
      <c r="AS499" s="9" t="n"/>
      <c r="AT499" s="9" t="n"/>
      <c r="AU499" s="9" t="n"/>
      <c r="AV499" s="9" t="n"/>
      <c r="AW499" s="9" t="n"/>
      <c r="AX499" s="9" t="n"/>
      <c r="AY499" s="9" t="n"/>
      <c r="AZ499" s="9" t="n"/>
      <c r="BA499" s="9" t="n"/>
    </row>
    <row r="500" ht="15.75" customHeight="1" s="18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  <c r="AH500" s="9" t="n"/>
      <c r="AI500" s="9" t="n"/>
      <c r="AJ500" s="9" t="n"/>
      <c r="AK500" s="9" t="n"/>
      <c r="AL500" s="9" t="n"/>
      <c r="AM500" s="9" t="n"/>
      <c r="AN500" s="9" t="n"/>
      <c r="AO500" s="9" t="n"/>
      <c r="AP500" s="9" t="n"/>
      <c r="AQ500" s="9" t="n"/>
      <c r="AR500" s="9" t="n"/>
      <c r="AS500" s="9" t="n"/>
      <c r="AT500" s="9" t="n"/>
      <c r="AU500" s="9" t="n"/>
      <c r="AV500" s="9" t="n"/>
      <c r="AW500" s="9" t="n"/>
      <c r="AX500" s="9" t="n"/>
      <c r="AY500" s="9" t="n"/>
      <c r="AZ500" s="9" t="n"/>
      <c r="BA500" s="9" t="n"/>
    </row>
    <row r="501" ht="15.75" customHeight="1" s="18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  <c r="AH501" s="9" t="n"/>
      <c r="AI501" s="9" t="n"/>
      <c r="AJ501" s="9" t="n"/>
      <c r="AK501" s="9" t="n"/>
      <c r="AL501" s="9" t="n"/>
      <c r="AM501" s="9" t="n"/>
      <c r="AN501" s="9" t="n"/>
      <c r="AO501" s="9" t="n"/>
      <c r="AP501" s="9" t="n"/>
      <c r="AQ501" s="9" t="n"/>
      <c r="AR501" s="9" t="n"/>
      <c r="AS501" s="9" t="n"/>
      <c r="AT501" s="9" t="n"/>
      <c r="AU501" s="9" t="n"/>
      <c r="AV501" s="9" t="n"/>
      <c r="AW501" s="9" t="n"/>
      <c r="AX501" s="9" t="n"/>
      <c r="AY501" s="9" t="n"/>
      <c r="AZ501" s="9" t="n"/>
      <c r="BA501" s="9" t="n"/>
    </row>
    <row r="502" ht="15.75" customHeight="1" s="18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  <c r="AH502" s="9" t="n"/>
      <c r="AI502" s="9" t="n"/>
      <c r="AJ502" s="9" t="n"/>
      <c r="AK502" s="9" t="n"/>
      <c r="AL502" s="9" t="n"/>
      <c r="AM502" s="9" t="n"/>
      <c r="AN502" s="9" t="n"/>
      <c r="AO502" s="9" t="n"/>
      <c r="AP502" s="9" t="n"/>
      <c r="AQ502" s="9" t="n"/>
      <c r="AR502" s="9" t="n"/>
      <c r="AS502" s="9" t="n"/>
      <c r="AT502" s="9" t="n"/>
      <c r="AU502" s="9" t="n"/>
      <c r="AV502" s="9" t="n"/>
      <c r="AW502" s="9" t="n"/>
      <c r="AX502" s="9" t="n"/>
      <c r="AY502" s="9" t="n"/>
      <c r="AZ502" s="9" t="n"/>
      <c r="BA502" s="9" t="n"/>
    </row>
    <row r="503" ht="15.75" customHeight="1" s="18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  <c r="AH503" s="9" t="n"/>
      <c r="AI503" s="9" t="n"/>
      <c r="AJ503" s="9" t="n"/>
      <c r="AK503" s="9" t="n"/>
      <c r="AL503" s="9" t="n"/>
      <c r="AM503" s="9" t="n"/>
      <c r="AN503" s="9" t="n"/>
      <c r="AO503" s="9" t="n"/>
      <c r="AP503" s="9" t="n"/>
      <c r="AQ503" s="9" t="n"/>
      <c r="AR503" s="9" t="n"/>
      <c r="AS503" s="9" t="n"/>
      <c r="AT503" s="9" t="n"/>
      <c r="AU503" s="9" t="n"/>
      <c r="AV503" s="9" t="n"/>
      <c r="AW503" s="9" t="n"/>
      <c r="AX503" s="9" t="n"/>
      <c r="AY503" s="9" t="n"/>
      <c r="AZ503" s="9" t="n"/>
      <c r="BA503" s="9" t="n"/>
    </row>
    <row r="504" ht="15.75" customHeight="1" s="18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  <c r="AH504" s="9" t="n"/>
      <c r="AI504" s="9" t="n"/>
      <c r="AJ504" s="9" t="n"/>
      <c r="AK504" s="9" t="n"/>
      <c r="AL504" s="9" t="n"/>
      <c r="AM504" s="9" t="n"/>
      <c r="AN504" s="9" t="n"/>
      <c r="AO504" s="9" t="n"/>
      <c r="AP504" s="9" t="n"/>
      <c r="AQ504" s="9" t="n"/>
      <c r="AR504" s="9" t="n"/>
      <c r="AS504" s="9" t="n"/>
      <c r="AT504" s="9" t="n"/>
      <c r="AU504" s="9" t="n"/>
      <c r="AV504" s="9" t="n"/>
      <c r="AW504" s="9" t="n"/>
      <c r="AX504" s="9" t="n"/>
      <c r="AY504" s="9" t="n"/>
      <c r="AZ504" s="9" t="n"/>
      <c r="BA504" s="9" t="n"/>
    </row>
    <row r="505" ht="15.75" customHeight="1" s="18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  <c r="AH505" s="9" t="n"/>
      <c r="AI505" s="9" t="n"/>
      <c r="AJ505" s="9" t="n"/>
      <c r="AK505" s="9" t="n"/>
      <c r="AL505" s="9" t="n"/>
      <c r="AM505" s="9" t="n"/>
      <c r="AN505" s="9" t="n"/>
      <c r="AO505" s="9" t="n"/>
      <c r="AP505" s="9" t="n"/>
      <c r="AQ505" s="9" t="n"/>
      <c r="AR505" s="9" t="n"/>
      <c r="AS505" s="9" t="n"/>
      <c r="AT505" s="9" t="n"/>
      <c r="AU505" s="9" t="n"/>
      <c r="AV505" s="9" t="n"/>
      <c r="AW505" s="9" t="n"/>
      <c r="AX505" s="9" t="n"/>
      <c r="AY505" s="9" t="n"/>
      <c r="AZ505" s="9" t="n"/>
      <c r="BA505" s="9" t="n"/>
    </row>
    <row r="506" ht="15.75" customHeight="1" s="18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  <c r="AH506" s="9" t="n"/>
      <c r="AI506" s="9" t="n"/>
      <c r="AJ506" s="9" t="n"/>
      <c r="AK506" s="9" t="n"/>
      <c r="AL506" s="9" t="n"/>
      <c r="AM506" s="9" t="n"/>
      <c r="AN506" s="9" t="n"/>
      <c r="AO506" s="9" t="n"/>
      <c r="AP506" s="9" t="n"/>
      <c r="AQ506" s="9" t="n"/>
      <c r="AR506" s="9" t="n"/>
      <c r="AS506" s="9" t="n"/>
      <c r="AT506" s="9" t="n"/>
      <c r="AU506" s="9" t="n"/>
      <c r="AV506" s="9" t="n"/>
      <c r="AW506" s="9" t="n"/>
      <c r="AX506" s="9" t="n"/>
      <c r="AY506" s="9" t="n"/>
      <c r="AZ506" s="9" t="n"/>
      <c r="BA506" s="9" t="n"/>
    </row>
    <row r="507" ht="15.75" customHeight="1" s="18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  <c r="AH507" s="9" t="n"/>
      <c r="AI507" s="9" t="n"/>
      <c r="AJ507" s="9" t="n"/>
      <c r="AK507" s="9" t="n"/>
      <c r="AL507" s="9" t="n"/>
      <c r="AM507" s="9" t="n"/>
      <c r="AN507" s="9" t="n"/>
      <c r="AO507" s="9" t="n"/>
      <c r="AP507" s="9" t="n"/>
      <c r="AQ507" s="9" t="n"/>
      <c r="AR507" s="9" t="n"/>
      <c r="AS507" s="9" t="n"/>
      <c r="AT507" s="9" t="n"/>
      <c r="AU507" s="9" t="n"/>
      <c r="AV507" s="9" t="n"/>
      <c r="AW507" s="9" t="n"/>
      <c r="AX507" s="9" t="n"/>
      <c r="AY507" s="9" t="n"/>
      <c r="AZ507" s="9" t="n"/>
      <c r="BA507" s="9" t="n"/>
    </row>
    <row r="508" ht="15.75" customHeight="1" s="1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  <c r="AH508" s="9" t="n"/>
      <c r="AI508" s="9" t="n"/>
      <c r="AJ508" s="9" t="n"/>
      <c r="AK508" s="9" t="n"/>
      <c r="AL508" s="9" t="n"/>
      <c r="AM508" s="9" t="n"/>
      <c r="AN508" s="9" t="n"/>
      <c r="AO508" s="9" t="n"/>
      <c r="AP508" s="9" t="n"/>
      <c r="AQ508" s="9" t="n"/>
      <c r="AR508" s="9" t="n"/>
      <c r="AS508" s="9" t="n"/>
      <c r="AT508" s="9" t="n"/>
      <c r="AU508" s="9" t="n"/>
      <c r="AV508" s="9" t="n"/>
      <c r="AW508" s="9" t="n"/>
      <c r="AX508" s="9" t="n"/>
      <c r="AY508" s="9" t="n"/>
      <c r="AZ508" s="9" t="n"/>
      <c r="BA508" s="9" t="n"/>
    </row>
    <row r="509" ht="15.75" customHeight="1" s="18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  <c r="AH509" s="9" t="n"/>
      <c r="AI509" s="9" t="n"/>
      <c r="AJ509" s="9" t="n"/>
      <c r="AK509" s="9" t="n"/>
      <c r="AL509" s="9" t="n"/>
      <c r="AM509" s="9" t="n"/>
      <c r="AN509" s="9" t="n"/>
      <c r="AO509" s="9" t="n"/>
      <c r="AP509" s="9" t="n"/>
      <c r="AQ509" s="9" t="n"/>
      <c r="AR509" s="9" t="n"/>
      <c r="AS509" s="9" t="n"/>
      <c r="AT509" s="9" t="n"/>
      <c r="AU509" s="9" t="n"/>
      <c r="AV509" s="9" t="n"/>
      <c r="AW509" s="9" t="n"/>
      <c r="AX509" s="9" t="n"/>
      <c r="AY509" s="9" t="n"/>
      <c r="AZ509" s="9" t="n"/>
      <c r="BA509" s="9" t="n"/>
    </row>
    <row r="510" ht="15.75" customHeight="1" s="18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  <c r="AH510" s="9" t="n"/>
      <c r="AI510" s="9" t="n"/>
      <c r="AJ510" s="9" t="n"/>
      <c r="AK510" s="9" t="n"/>
      <c r="AL510" s="9" t="n"/>
      <c r="AM510" s="9" t="n"/>
      <c r="AN510" s="9" t="n"/>
      <c r="AO510" s="9" t="n"/>
      <c r="AP510" s="9" t="n"/>
      <c r="AQ510" s="9" t="n"/>
      <c r="AR510" s="9" t="n"/>
      <c r="AS510" s="9" t="n"/>
      <c r="AT510" s="9" t="n"/>
      <c r="AU510" s="9" t="n"/>
      <c r="AV510" s="9" t="n"/>
      <c r="AW510" s="9" t="n"/>
      <c r="AX510" s="9" t="n"/>
      <c r="AY510" s="9" t="n"/>
      <c r="AZ510" s="9" t="n"/>
      <c r="BA510" s="9" t="n"/>
    </row>
    <row r="511" ht="15.75" customHeight="1" s="18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  <c r="AH511" s="9" t="n"/>
      <c r="AI511" s="9" t="n"/>
      <c r="AJ511" s="9" t="n"/>
      <c r="AK511" s="9" t="n"/>
      <c r="AL511" s="9" t="n"/>
      <c r="AM511" s="9" t="n"/>
      <c r="AN511" s="9" t="n"/>
      <c r="AO511" s="9" t="n"/>
      <c r="AP511" s="9" t="n"/>
      <c r="AQ511" s="9" t="n"/>
      <c r="AR511" s="9" t="n"/>
      <c r="AS511" s="9" t="n"/>
      <c r="AT511" s="9" t="n"/>
      <c r="AU511" s="9" t="n"/>
      <c r="AV511" s="9" t="n"/>
      <c r="AW511" s="9" t="n"/>
      <c r="AX511" s="9" t="n"/>
      <c r="AY511" s="9" t="n"/>
      <c r="AZ511" s="9" t="n"/>
      <c r="BA511" s="9" t="n"/>
    </row>
    <row r="512" ht="15.75" customHeight="1" s="18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  <c r="AH512" s="9" t="n"/>
      <c r="AI512" s="9" t="n"/>
      <c r="AJ512" s="9" t="n"/>
      <c r="AK512" s="9" t="n"/>
      <c r="AL512" s="9" t="n"/>
      <c r="AM512" s="9" t="n"/>
      <c r="AN512" s="9" t="n"/>
      <c r="AO512" s="9" t="n"/>
      <c r="AP512" s="9" t="n"/>
      <c r="AQ512" s="9" t="n"/>
      <c r="AR512" s="9" t="n"/>
      <c r="AS512" s="9" t="n"/>
      <c r="AT512" s="9" t="n"/>
      <c r="AU512" s="9" t="n"/>
      <c r="AV512" s="9" t="n"/>
      <c r="AW512" s="9" t="n"/>
      <c r="AX512" s="9" t="n"/>
      <c r="AY512" s="9" t="n"/>
      <c r="AZ512" s="9" t="n"/>
      <c r="BA512" s="9" t="n"/>
    </row>
    <row r="513" ht="15.75" customHeight="1" s="18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  <c r="AH513" s="9" t="n"/>
      <c r="AI513" s="9" t="n"/>
      <c r="AJ513" s="9" t="n"/>
      <c r="AK513" s="9" t="n"/>
      <c r="AL513" s="9" t="n"/>
      <c r="AM513" s="9" t="n"/>
      <c r="AN513" s="9" t="n"/>
      <c r="AO513" s="9" t="n"/>
      <c r="AP513" s="9" t="n"/>
      <c r="AQ513" s="9" t="n"/>
      <c r="AR513" s="9" t="n"/>
      <c r="AS513" s="9" t="n"/>
      <c r="AT513" s="9" t="n"/>
      <c r="AU513" s="9" t="n"/>
      <c r="AV513" s="9" t="n"/>
      <c r="AW513" s="9" t="n"/>
      <c r="AX513" s="9" t="n"/>
      <c r="AY513" s="9" t="n"/>
      <c r="AZ513" s="9" t="n"/>
      <c r="BA513" s="9" t="n"/>
    </row>
    <row r="514" ht="15.75" customHeight="1" s="18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  <c r="AH514" s="9" t="n"/>
      <c r="AI514" s="9" t="n"/>
      <c r="AJ514" s="9" t="n"/>
      <c r="AK514" s="9" t="n"/>
      <c r="AL514" s="9" t="n"/>
      <c r="AM514" s="9" t="n"/>
      <c r="AN514" s="9" t="n"/>
      <c r="AO514" s="9" t="n"/>
      <c r="AP514" s="9" t="n"/>
      <c r="AQ514" s="9" t="n"/>
      <c r="AR514" s="9" t="n"/>
      <c r="AS514" s="9" t="n"/>
      <c r="AT514" s="9" t="n"/>
      <c r="AU514" s="9" t="n"/>
      <c r="AV514" s="9" t="n"/>
      <c r="AW514" s="9" t="n"/>
      <c r="AX514" s="9" t="n"/>
      <c r="AY514" s="9" t="n"/>
      <c r="AZ514" s="9" t="n"/>
      <c r="BA514" s="9" t="n"/>
    </row>
    <row r="515" ht="15.75" customHeight="1" s="18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  <c r="AH515" s="9" t="n"/>
      <c r="AI515" s="9" t="n"/>
      <c r="AJ515" s="9" t="n"/>
      <c r="AK515" s="9" t="n"/>
      <c r="AL515" s="9" t="n"/>
      <c r="AM515" s="9" t="n"/>
      <c r="AN515" s="9" t="n"/>
      <c r="AO515" s="9" t="n"/>
      <c r="AP515" s="9" t="n"/>
      <c r="AQ515" s="9" t="n"/>
      <c r="AR515" s="9" t="n"/>
      <c r="AS515" s="9" t="n"/>
      <c r="AT515" s="9" t="n"/>
      <c r="AU515" s="9" t="n"/>
      <c r="AV515" s="9" t="n"/>
      <c r="AW515" s="9" t="n"/>
      <c r="AX515" s="9" t="n"/>
      <c r="AY515" s="9" t="n"/>
      <c r="AZ515" s="9" t="n"/>
      <c r="BA515" s="9" t="n"/>
    </row>
    <row r="516" ht="15.75" customHeight="1" s="18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  <c r="AH516" s="9" t="n"/>
      <c r="AI516" s="9" t="n"/>
      <c r="AJ516" s="9" t="n"/>
      <c r="AK516" s="9" t="n"/>
      <c r="AL516" s="9" t="n"/>
      <c r="AM516" s="9" t="n"/>
      <c r="AN516" s="9" t="n"/>
      <c r="AO516" s="9" t="n"/>
      <c r="AP516" s="9" t="n"/>
      <c r="AQ516" s="9" t="n"/>
      <c r="AR516" s="9" t="n"/>
      <c r="AS516" s="9" t="n"/>
      <c r="AT516" s="9" t="n"/>
      <c r="AU516" s="9" t="n"/>
      <c r="AV516" s="9" t="n"/>
      <c r="AW516" s="9" t="n"/>
      <c r="AX516" s="9" t="n"/>
      <c r="AY516" s="9" t="n"/>
      <c r="AZ516" s="9" t="n"/>
      <c r="BA516" s="9" t="n"/>
    </row>
    <row r="517" ht="15.75" customHeight="1" s="18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  <c r="AH517" s="9" t="n"/>
      <c r="AI517" s="9" t="n"/>
      <c r="AJ517" s="9" t="n"/>
      <c r="AK517" s="9" t="n"/>
      <c r="AL517" s="9" t="n"/>
      <c r="AM517" s="9" t="n"/>
      <c r="AN517" s="9" t="n"/>
      <c r="AO517" s="9" t="n"/>
      <c r="AP517" s="9" t="n"/>
      <c r="AQ517" s="9" t="n"/>
      <c r="AR517" s="9" t="n"/>
      <c r="AS517" s="9" t="n"/>
      <c r="AT517" s="9" t="n"/>
      <c r="AU517" s="9" t="n"/>
      <c r="AV517" s="9" t="n"/>
      <c r="AW517" s="9" t="n"/>
      <c r="AX517" s="9" t="n"/>
      <c r="AY517" s="9" t="n"/>
      <c r="AZ517" s="9" t="n"/>
      <c r="BA517" s="9" t="n"/>
    </row>
    <row r="518" ht="15.75" customHeight="1" s="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  <c r="AH518" s="9" t="n"/>
      <c r="AI518" s="9" t="n"/>
      <c r="AJ518" s="9" t="n"/>
      <c r="AK518" s="9" t="n"/>
      <c r="AL518" s="9" t="n"/>
      <c r="AM518" s="9" t="n"/>
      <c r="AN518" s="9" t="n"/>
      <c r="AO518" s="9" t="n"/>
      <c r="AP518" s="9" t="n"/>
      <c r="AQ518" s="9" t="n"/>
      <c r="AR518" s="9" t="n"/>
      <c r="AS518" s="9" t="n"/>
      <c r="AT518" s="9" t="n"/>
      <c r="AU518" s="9" t="n"/>
      <c r="AV518" s="9" t="n"/>
      <c r="AW518" s="9" t="n"/>
      <c r="AX518" s="9" t="n"/>
      <c r="AY518" s="9" t="n"/>
      <c r="AZ518" s="9" t="n"/>
      <c r="BA518" s="9" t="n"/>
    </row>
    <row r="519" ht="15.75" customHeight="1" s="18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  <c r="AH519" s="9" t="n"/>
      <c r="AI519" s="9" t="n"/>
      <c r="AJ519" s="9" t="n"/>
      <c r="AK519" s="9" t="n"/>
      <c r="AL519" s="9" t="n"/>
      <c r="AM519" s="9" t="n"/>
      <c r="AN519" s="9" t="n"/>
      <c r="AO519" s="9" t="n"/>
      <c r="AP519" s="9" t="n"/>
      <c r="AQ519" s="9" t="n"/>
      <c r="AR519" s="9" t="n"/>
      <c r="AS519" s="9" t="n"/>
      <c r="AT519" s="9" t="n"/>
      <c r="AU519" s="9" t="n"/>
      <c r="AV519" s="9" t="n"/>
      <c r="AW519" s="9" t="n"/>
      <c r="AX519" s="9" t="n"/>
      <c r="AY519" s="9" t="n"/>
      <c r="AZ519" s="9" t="n"/>
      <c r="BA519" s="9" t="n"/>
    </row>
    <row r="520" ht="15.75" customHeight="1" s="18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  <c r="AH520" s="9" t="n"/>
      <c r="AI520" s="9" t="n"/>
      <c r="AJ520" s="9" t="n"/>
      <c r="AK520" s="9" t="n"/>
      <c r="AL520" s="9" t="n"/>
      <c r="AM520" s="9" t="n"/>
      <c r="AN520" s="9" t="n"/>
      <c r="AO520" s="9" t="n"/>
      <c r="AP520" s="9" t="n"/>
      <c r="AQ520" s="9" t="n"/>
      <c r="AR520" s="9" t="n"/>
      <c r="AS520" s="9" t="n"/>
      <c r="AT520" s="9" t="n"/>
      <c r="AU520" s="9" t="n"/>
      <c r="AV520" s="9" t="n"/>
      <c r="AW520" s="9" t="n"/>
      <c r="AX520" s="9" t="n"/>
      <c r="AY520" s="9" t="n"/>
      <c r="AZ520" s="9" t="n"/>
      <c r="BA520" s="9" t="n"/>
    </row>
    <row r="521" ht="15.75" customHeight="1" s="18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  <c r="AH521" s="9" t="n"/>
      <c r="AI521" s="9" t="n"/>
      <c r="AJ521" s="9" t="n"/>
      <c r="AK521" s="9" t="n"/>
      <c r="AL521" s="9" t="n"/>
      <c r="AM521" s="9" t="n"/>
      <c r="AN521" s="9" t="n"/>
      <c r="AO521" s="9" t="n"/>
      <c r="AP521" s="9" t="n"/>
      <c r="AQ521" s="9" t="n"/>
      <c r="AR521" s="9" t="n"/>
      <c r="AS521" s="9" t="n"/>
      <c r="AT521" s="9" t="n"/>
      <c r="AU521" s="9" t="n"/>
      <c r="AV521" s="9" t="n"/>
      <c r="AW521" s="9" t="n"/>
      <c r="AX521" s="9" t="n"/>
      <c r="AY521" s="9" t="n"/>
      <c r="AZ521" s="9" t="n"/>
      <c r="BA521" s="9" t="n"/>
    </row>
    <row r="522" ht="15.75" customHeight="1" s="18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  <c r="AH522" s="9" t="n"/>
      <c r="AI522" s="9" t="n"/>
      <c r="AJ522" s="9" t="n"/>
      <c r="AK522" s="9" t="n"/>
      <c r="AL522" s="9" t="n"/>
      <c r="AM522" s="9" t="n"/>
      <c r="AN522" s="9" t="n"/>
      <c r="AO522" s="9" t="n"/>
      <c r="AP522" s="9" t="n"/>
      <c r="AQ522" s="9" t="n"/>
      <c r="AR522" s="9" t="n"/>
      <c r="AS522" s="9" t="n"/>
      <c r="AT522" s="9" t="n"/>
      <c r="AU522" s="9" t="n"/>
      <c r="AV522" s="9" t="n"/>
      <c r="AW522" s="9" t="n"/>
      <c r="AX522" s="9" t="n"/>
      <c r="AY522" s="9" t="n"/>
      <c r="AZ522" s="9" t="n"/>
      <c r="BA522" s="9" t="n"/>
    </row>
    <row r="523" ht="15.75" customHeight="1" s="18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  <c r="AH523" s="9" t="n"/>
      <c r="AI523" s="9" t="n"/>
      <c r="AJ523" s="9" t="n"/>
      <c r="AK523" s="9" t="n"/>
      <c r="AL523" s="9" t="n"/>
      <c r="AM523" s="9" t="n"/>
      <c r="AN523" s="9" t="n"/>
      <c r="AO523" s="9" t="n"/>
      <c r="AP523" s="9" t="n"/>
      <c r="AQ523" s="9" t="n"/>
      <c r="AR523" s="9" t="n"/>
      <c r="AS523" s="9" t="n"/>
      <c r="AT523" s="9" t="n"/>
      <c r="AU523" s="9" t="n"/>
      <c r="AV523" s="9" t="n"/>
      <c r="AW523" s="9" t="n"/>
      <c r="AX523" s="9" t="n"/>
      <c r="AY523" s="9" t="n"/>
      <c r="AZ523" s="9" t="n"/>
      <c r="BA523" s="9" t="n"/>
    </row>
    <row r="524" ht="15.75" customHeight="1" s="18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  <c r="AH524" s="9" t="n"/>
      <c r="AI524" s="9" t="n"/>
      <c r="AJ524" s="9" t="n"/>
      <c r="AK524" s="9" t="n"/>
      <c r="AL524" s="9" t="n"/>
      <c r="AM524" s="9" t="n"/>
      <c r="AN524" s="9" t="n"/>
      <c r="AO524" s="9" t="n"/>
      <c r="AP524" s="9" t="n"/>
      <c r="AQ524" s="9" t="n"/>
      <c r="AR524" s="9" t="n"/>
      <c r="AS524" s="9" t="n"/>
      <c r="AT524" s="9" t="n"/>
      <c r="AU524" s="9" t="n"/>
      <c r="AV524" s="9" t="n"/>
      <c r="AW524" s="9" t="n"/>
      <c r="AX524" s="9" t="n"/>
      <c r="AY524" s="9" t="n"/>
      <c r="AZ524" s="9" t="n"/>
      <c r="BA524" s="9" t="n"/>
    </row>
    <row r="525" ht="15.75" customHeight="1" s="18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  <c r="AH525" s="9" t="n"/>
      <c r="AI525" s="9" t="n"/>
      <c r="AJ525" s="9" t="n"/>
      <c r="AK525" s="9" t="n"/>
      <c r="AL525" s="9" t="n"/>
      <c r="AM525" s="9" t="n"/>
      <c r="AN525" s="9" t="n"/>
      <c r="AO525" s="9" t="n"/>
      <c r="AP525" s="9" t="n"/>
      <c r="AQ525" s="9" t="n"/>
      <c r="AR525" s="9" t="n"/>
      <c r="AS525" s="9" t="n"/>
      <c r="AT525" s="9" t="n"/>
      <c r="AU525" s="9" t="n"/>
      <c r="AV525" s="9" t="n"/>
      <c r="AW525" s="9" t="n"/>
      <c r="AX525" s="9" t="n"/>
      <c r="AY525" s="9" t="n"/>
      <c r="AZ525" s="9" t="n"/>
      <c r="BA525" s="9" t="n"/>
    </row>
    <row r="526" ht="15.75" customHeight="1" s="18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  <c r="AH526" s="9" t="n"/>
      <c r="AI526" s="9" t="n"/>
      <c r="AJ526" s="9" t="n"/>
      <c r="AK526" s="9" t="n"/>
      <c r="AL526" s="9" t="n"/>
      <c r="AM526" s="9" t="n"/>
      <c r="AN526" s="9" t="n"/>
      <c r="AO526" s="9" t="n"/>
      <c r="AP526" s="9" t="n"/>
      <c r="AQ526" s="9" t="n"/>
      <c r="AR526" s="9" t="n"/>
      <c r="AS526" s="9" t="n"/>
      <c r="AT526" s="9" t="n"/>
      <c r="AU526" s="9" t="n"/>
      <c r="AV526" s="9" t="n"/>
      <c r="AW526" s="9" t="n"/>
      <c r="AX526" s="9" t="n"/>
      <c r="AY526" s="9" t="n"/>
      <c r="AZ526" s="9" t="n"/>
      <c r="BA526" s="9" t="n"/>
    </row>
    <row r="527" ht="15.75" customHeight="1" s="18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  <c r="AH527" s="9" t="n"/>
      <c r="AI527" s="9" t="n"/>
      <c r="AJ527" s="9" t="n"/>
      <c r="AK527" s="9" t="n"/>
      <c r="AL527" s="9" t="n"/>
      <c r="AM527" s="9" t="n"/>
      <c r="AN527" s="9" t="n"/>
      <c r="AO527" s="9" t="n"/>
      <c r="AP527" s="9" t="n"/>
      <c r="AQ527" s="9" t="n"/>
      <c r="AR527" s="9" t="n"/>
      <c r="AS527" s="9" t="n"/>
      <c r="AT527" s="9" t="n"/>
      <c r="AU527" s="9" t="n"/>
      <c r="AV527" s="9" t="n"/>
      <c r="AW527" s="9" t="n"/>
      <c r="AX527" s="9" t="n"/>
      <c r="AY527" s="9" t="n"/>
      <c r="AZ527" s="9" t="n"/>
      <c r="BA527" s="9" t="n"/>
    </row>
    <row r="528" ht="15.75" customHeight="1" s="1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  <c r="AH528" s="9" t="n"/>
      <c r="AI528" s="9" t="n"/>
      <c r="AJ528" s="9" t="n"/>
      <c r="AK528" s="9" t="n"/>
      <c r="AL528" s="9" t="n"/>
      <c r="AM528" s="9" t="n"/>
      <c r="AN528" s="9" t="n"/>
      <c r="AO528" s="9" t="n"/>
      <c r="AP528" s="9" t="n"/>
      <c r="AQ528" s="9" t="n"/>
      <c r="AR528" s="9" t="n"/>
      <c r="AS528" s="9" t="n"/>
      <c r="AT528" s="9" t="n"/>
      <c r="AU528" s="9" t="n"/>
      <c r="AV528" s="9" t="n"/>
      <c r="AW528" s="9" t="n"/>
      <c r="AX528" s="9" t="n"/>
      <c r="AY528" s="9" t="n"/>
      <c r="AZ528" s="9" t="n"/>
      <c r="BA528" s="9" t="n"/>
    </row>
    <row r="529" ht="15.75" customHeight="1" s="18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  <c r="AH529" s="9" t="n"/>
      <c r="AI529" s="9" t="n"/>
      <c r="AJ529" s="9" t="n"/>
      <c r="AK529" s="9" t="n"/>
      <c r="AL529" s="9" t="n"/>
      <c r="AM529" s="9" t="n"/>
      <c r="AN529" s="9" t="n"/>
      <c r="AO529" s="9" t="n"/>
      <c r="AP529" s="9" t="n"/>
      <c r="AQ529" s="9" t="n"/>
      <c r="AR529" s="9" t="n"/>
      <c r="AS529" s="9" t="n"/>
      <c r="AT529" s="9" t="n"/>
      <c r="AU529" s="9" t="n"/>
      <c r="AV529" s="9" t="n"/>
      <c r="AW529" s="9" t="n"/>
      <c r="AX529" s="9" t="n"/>
      <c r="AY529" s="9" t="n"/>
      <c r="AZ529" s="9" t="n"/>
      <c r="BA529" s="9" t="n"/>
    </row>
    <row r="530" ht="15.75" customHeight="1" s="18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  <c r="AH530" s="9" t="n"/>
      <c r="AI530" s="9" t="n"/>
      <c r="AJ530" s="9" t="n"/>
      <c r="AK530" s="9" t="n"/>
      <c r="AL530" s="9" t="n"/>
      <c r="AM530" s="9" t="n"/>
      <c r="AN530" s="9" t="n"/>
      <c r="AO530" s="9" t="n"/>
      <c r="AP530" s="9" t="n"/>
      <c r="AQ530" s="9" t="n"/>
      <c r="AR530" s="9" t="n"/>
      <c r="AS530" s="9" t="n"/>
      <c r="AT530" s="9" t="n"/>
      <c r="AU530" s="9" t="n"/>
      <c r="AV530" s="9" t="n"/>
      <c r="AW530" s="9" t="n"/>
      <c r="AX530" s="9" t="n"/>
      <c r="AY530" s="9" t="n"/>
      <c r="AZ530" s="9" t="n"/>
      <c r="BA530" s="9" t="n"/>
    </row>
    <row r="531" ht="15.75" customHeight="1" s="18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  <c r="AH531" s="9" t="n"/>
      <c r="AI531" s="9" t="n"/>
      <c r="AJ531" s="9" t="n"/>
      <c r="AK531" s="9" t="n"/>
      <c r="AL531" s="9" t="n"/>
      <c r="AM531" s="9" t="n"/>
      <c r="AN531" s="9" t="n"/>
      <c r="AO531" s="9" t="n"/>
      <c r="AP531" s="9" t="n"/>
      <c r="AQ531" s="9" t="n"/>
      <c r="AR531" s="9" t="n"/>
      <c r="AS531" s="9" t="n"/>
      <c r="AT531" s="9" t="n"/>
      <c r="AU531" s="9" t="n"/>
      <c r="AV531" s="9" t="n"/>
      <c r="AW531" s="9" t="n"/>
      <c r="AX531" s="9" t="n"/>
      <c r="AY531" s="9" t="n"/>
      <c r="AZ531" s="9" t="n"/>
      <c r="BA531" s="9" t="n"/>
    </row>
    <row r="532" ht="15.75" customHeight="1" s="18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  <c r="AH532" s="9" t="n"/>
      <c r="AI532" s="9" t="n"/>
      <c r="AJ532" s="9" t="n"/>
      <c r="AK532" s="9" t="n"/>
      <c r="AL532" s="9" t="n"/>
      <c r="AM532" s="9" t="n"/>
      <c r="AN532" s="9" t="n"/>
      <c r="AO532" s="9" t="n"/>
      <c r="AP532" s="9" t="n"/>
      <c r="AQ532" s="9" t="n"/>
      <c r="AR532" s="9" t="n"/>
      <c r="AS532" s="9" t="n"/>
      <c r="AT532" s="9" t="n"/>
      <c r="AU532" s="9" t="n"/>
      <c r="AV532" s="9" t="n"/>
      <c r="AW532" s="9" t="n"/>
      <c r="AX532" s="9" t="n"/>
      <c r="AY532" s="9" t="n"/>
      <c r="AZ532" s="9" t="n"/>
      <c r="BA532" s="9" t="n"/>
    </row>
    <row r="533" ht="15.75" customHeight="1" s="18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  <c r="AH533" s="9" t="n"/>
      <c r="AI533" s="9" t="n"/>
      <c r="AJ533" s="9" t="n"/>
      <c r="AK533" s="9" t="n"/>
      <c r="AL533" s="9" t="n"/>
      <c r="AM533" s="9" t="n"/>
      <c r="AN533" s="9" t="n"/>
      <c r="AO533" s="9" t="n"/>
      <c r="AP533" s="9" t="n"/>
      <c r="AQ533" s="9" t="n"/>
      <c r="AR533" s="9" t="n"/>
      <c r="AS533" s="9" t="n"/>
      <c r="AT533" s="9" t="n"/>
      <c r="AU533" s="9" t="n"/>
      <c r="AV533" s="9" t="n"/>
      <c r="AW533" s="9" t="n"/>
      <c r="AX533" s="9" t="n"/>
      <c r="AY533" s="9" t="n"/>
      <c r="AZ533" s="9" t="n"/>
      <c r="BA533" s="9" t="n"/>
    </row>
    <row r="534" ht="15.75" customHeight="1" s="18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  <c r="AH534" s="9" t="n"/>
      <c r="AI534" s="9" t="n"/>
      <c r="AJ534" s="9" t="n"/>
      <c r="AK534" s="9" t="n"/>
      <c r="AL534" s="9" t="n"/>
      <c r="AM534" s="9" t="n"/>
      <c r="AN534" s="9" t="n"/>
      <c r="AO534" s="9" t="n"/>
      <c r="AP534" s="9" t="n"/>
      <c r="AQ534" s="9" t="n"/>
      <c r="AR534" s="9" t="n"/>
      <c r="AS534" s="9" t="n"/>
      <c r="AT534" s="9" t="n"/>
      <c r="AU534" s="9" t="n"/>
      <c r="AV534" s="9" t="n"/>
      <c r="AW534" s="9" t="n"/>
      <c r="AX534" s="9" t="n"/>
      <c r="AY534" s="9" t="n"/>
      <c r="AZ534" s="9" t="n"/>
      <c r="BA534" s="9" t="n"/>
    </row>
    <row r="535" ht="15.75" customHeight="1" s="18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  <c r="AH535" s="9" t="n"/>
      <c r="AI535" s="9" t="n"/>
      <c r="AJ535" s="9" t="n"/>
      <c r="AK535" s="9" t="n"/>
      <c r="AL535" s="9" t="n"/>
      <c r="AM535" s="9" t="n"/>
      <c r="AN535" s="9" t="n"/>
      <c r="AO535" s="9" t="n"/>
      <c r="AP535" s="9" t="n"/>
      <c r="AQ535" s="9" t="n"/>
      <c r="AR535" s="9" t="n"/>
      <c r="AS535" s="9" t="n"/>
      <c r="AT535" s="9" t="n"/>
      <c r="AU535" s="9" t="n"/>
      <c r="AV535" s="9" t="n"/>
      <c r="AW535" s="9" t="n"/>
      <c r="AX535" s="9" t="n"/>
      <c r="AY535" s="9" t="n"/>
      <c r="AZ535" s="9" t="n"/>
      <c r="BA535" s="9" t="n"/>
    </row>
    <row r="536" ht="15.75" customHeight="1" s="18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  <c r="AH536" s="9" t="n"/>
      <c r="AI536" s="9" t="n"/>
      <c r="AJ536" s="9" t="n"/>
      <c r="AK536" s="9" t="n"/>
      <c r="AL536" s="9" t="n"/>
      <c r="AM536" s="9" t="n"/>
      <c r="AN536" s="9" t="n"/>
      <c r="AO536" s="9" t="n"/>
      <c r="AP536" s="9" t="n"/>
      <c r="AQ536" s="9" t="n"/>
      <c r="AR536" s="9" t="n"/>
      <c r="AS536" s="9" t="n"/>
      <c r="AT536" s="9" t="n"/>
      <c r="AU536" s="9" t="n"/>
      <c r="AV536" s="9" t="n"/>
      <c r="AW536" s="9" t="n"/>
      <c r="AX536" s="9" t="n"/>
      <c r="AY536" s="9" t="n"/>
      <c r="AZ536" s="9" t="n"/>
      <c r="BA536" s="9" t="n"/>
    </row>
    <row r="537" ht="15.75" customHeight="1" s="18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  <c r="AH537" s="9" t="n"/>
      <c r="AI537" s="9" t="n"/>
      <c r="AJ537" s="9" t="n"/>
      <c r="AK537" s="9" t="n"/>
      <c r="AL537" s="9" t="n"/>
      <c r="AM537" s="9" t="n"/>
      <c r="AN537" s="9" t="n"/>
      <c r="AO537" s="9" t="n"/>
      <c r="AP537" s="9" t="n"/>
      <c r="AQ537" s="9" t="n"/>
      <c r="AR537" s="9" t="n"/>
      <c r="AS537" s="9" t="n"/>
      <c r="AT537" s="9" t="n"/>
      <c r="AU537" s="9" t="n"/>
      <c r="AV537" s="9" t="n"/>
      <c r="AW537" s="9" t="n"/>
      <c r="AX537" s="9" t="n"/>
      <c r="AY537" s="9" t="n"/>
      <c r="AZ537" s="9" t="n"/>
      <c r="BA537" s="9" t="n"/>
    </row>
    <row r="538" ht="15.75" customHeight="1" s="1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  <c r="AH538" s="9" t="n"/>
      <c r="AI538" s="9" t="n"/>
      <c r="AJ538" s="9" t="n"/>
      <c r="AK538" s="9" t="n"/>
      <c r="AL538" s="9" t="n"/>
      <c r="AM538" s="9" t="n"/>
      <c r="AN538" s="9" t="n"/>
      <c r="AO538" s="9" t="n"/>
      <c r="AP538" s="9" t="n"/>
      <c r="AQ538" s="9" t="n"/>
      <c r="AR538" s="9" t="n"/>
      <c r="AS538" s="9" t="n"/>
      <c r="AT538" s="9" t="n"/>
      <c r="AU538" s="9" t="n"/>
      <c r="AV538" s="9" t="n"/>
      <c r="AW538" s="9" t="n"/>
      <c r="AX538" s="9" t="n"/>
      <c r="AY538" s="9" t="n"/>
      <c r="AZ538" s="9" t="n"/>
      <c r="BA538" s="9" t="n"/>
    </row>
    <row r="539" ht="15.75" customHeight="1" s="18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  <c r="AH539" s="9" t="n"/>
      <c r="AI539" s="9" t="n"/>
      <c r="AJ539" s="9" t="n"/>
      <c r="AK539" s="9" t="n"/>
      <c r="AL539" s="9" t="n"/>
      <c r="AM539" s="9" t="n"/>
      <c r="AN539" s="9" t="n"/>
      <c r="AO539" s="9" t="n"/>
      <c r="AP539" s="9" t="n"/>
      <c r="AQ539" s="9" t="n"/>
      <c r="AR539" s="9" t="n"/>
      <c r="AS539" s="9" t="n"/>
      <c r="AT539" s="9" t="n"/>
      <c r="AU539" s="9" t="n"/>
      <c r="AV539" s="9" t="n"/>
      <c r="AW539" s="9" t="n"/>
      <c r="AX539" s="9" t="n"/>
      <c r="AY539" s="9" t="n"/>
      <c r="AZ539" s="9" t="n"/>
      <c r="BA539" s="9" t="n"/>
    </row>
    <row r="540" ht="15.75" customHeight="1" s="18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  <c r="AH540" s="9" t="n"/>
      <c r="AI540" s="9" t="n"/>
      <c r="AJ540" s="9" t="n"/>
      <c r="AK540" s="9" t="n"/>
      <c r="AL540" s="9" t="n"/>
      <c r="AM540" s="9" t="n"/>
      <c r="AN540" s="9" t="n"/>
      <c r="AO540" s="9" t="n"/>
      <c r="AP540" s="9" t="n"/>
      <c r="AQ540" s="9" t="n"/>
      <c r="AR540" s="9" t="n"/>
      <c r="AS540" s="9" t="n"/>
      <c r="AT540" s="9" t="n"/>
      <c r="AU540" s="9" t="n"/>
      <c r="AV540" s="9" t="n"/>
      <c r="AW540" s="9" t="n"/>
      <c r="AX540" s="9" t="n"/>
      <c r="AY540" s="9" t="n"/>
      <c r="AZ540" s="9" t="n"/>
      <c r="BA540" s="9" t="n"/>
    </row>
    <row r="541" ht="15.75" customHeight="1" s="18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  <c r="AH541" s="9" t="n"/>
      <c r="AI541" s="9" t="n"/>
      <c r="AJ541" s="9" t="n"/>
      <c r="AK541" s="9" t="n"/>
      <c r="AL541" s="9" t="n"/>
      <c r="AM541" s="9" t="n"/>
      <c r="AN541" s="9" t="n"/>
      <c r="AO541" s="9" t="n"/>
      <c r="AP541" s="9" t="n"/>
      <c r="AQ541" s="9" t="n"/>
      <c r="AR541" s="9" t="n"/>
      <c r="AS541" s="9" t="n"/>
      <c r="AT541" s="9" t="n"/>
      <c r="AU541" s="9" t="n"/>
      <c r="AV541" s="9" t="n"/>
      <c r="AW541" s="9" t="n"/>
      <c r="AX541" s="9" t="n"/>
      <c r="AY541" s="9" t="n"/>
      <c r="AZ541" s="9" t="n"/>
      <c r="BA541" s="9" t="n"/>
    </row>
    <row r="542" ht="15.75" customHeight="1" s="18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  <c r="AH542" s="9" t="n"/>
      <c r="AI542" s="9" t="n"/>
      <c r="AJ542" s="9" t="n"/>
      <c r="AK542" s="9" t="n"/>
      <c r="AL542" s="9" t="n"/>
      <c r="AM542" s="9" t="n"/>
      <c r="AN542" s="9" t="n"/>
      <c r="AO542" s="9" t="n"/>
      <c r="AP542" s="9" t="n"/>
      <c r="AQ542" s="9" t="n"/>
      <c r="AR542" s="9" t="n"/>
      <c r="AS542" s="9" t="n"/>
      <c r="AT542" s="9" t="n"/>
      <c r="AU542" s="9" t="n"/>
      <c r="AV542" s="9" t="n"/>
      <c r="AW542" s="9" t="n"/>
      <c r="AX542" s="9" t="n"/>
      <c r="AY542" s="9" t="n"/>
      <c r="AZ542" s="9" t="n"/>
      <c r="BA542" s="9" t="n"/>
    </row>
    <row r="543" ht="15.75" customHeight="1" s="18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  <c r="AH543" s="9" t="n"/>
      <c r="AI543" s="9" t="n"/>
      <c r="AJ543" s="9" t="n"/>
      <c r="AK543" s="9" t="n"/>
      <c r="AL543" s="9" t="n"/>
      <c r="AM543" s="9" t="n"/>
      <c r="AN543" s="9" t="n"/>
      <c r="AO543" s="9" t="n"/>
      <c r="AP543" s="9" t="n"/>
      <c r="AQ543" s="9" t="n"/>
      <c r="AR543" s="9" t="n"/>
      <c r="AS543" s="9" t="n"/>
      <c r="AT543" s="9" t="n"/>
      <c r="AU543" s="9" t="n"/>
      <c r="AV543" s="9" t="n"/>
      <c r="AW543" s="9" t="n"/>
      <c r="AX543" s="9" t="n"/>
      <c r="AY543" s="9" t="n"/>
      <c r="AZ543" s="9" t="n"/>
      <c r="BA543" s="9" t="n"/>
    </row>
    <row r="544" ht="15.75" customHeight="1" s="18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  <c r="AH544" s="9" t="n"/>
      <c r="AI544" s="9" t="n"/>
      <c r="AJ544" s="9" t="n"/>
      <c r="AK544" s="9" t="n"/>
      <c r="AL544" s="9" t="n"/>
      <c r="AM544" s="9" t="n"/>
      <c r="AN544" s="9" t="n"/>
      <c r="AO544" s="9" t="n"/>
      <c r="AP544" s="9" t="n"/>
      <c r="AQ544" s="9" t="n"/>
      <c r="AR544" s="9" t="n"/>
      <c r="AS544" s="9" t="n"/>
      <c r="AT544" s="9" t="n"/>
      <c r="AU544" s="9" t="n"/>
      <c r="AV544" s="9" t="n"/>
      <c r="AW544" s="9" t="n"/>
      <c r="AX544" s="9" t="n"/>
      <c r="AY544" s="9" t="n"/>
      <c r="AZ544" s="9" t="n"/>
      <c r="BA544" s="9" t="n"/>
    </row>
    <row r="545" ht="15.75" customHeight="1" s="18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  <c r="AH545" s="9" t="n"/>
      <c r="AI545" s="9" t="n"/>
      <c r="AJ545" s="9" t="n"/>
      <c r="AK545" s="9" t="n"/>
      <c r="AL545" s="9" t="n"/>
      <c r="AM545" s="9" t="n"/>
      <c r="AN545" s="9" t="n"/>
      <c r="AO545" s="9" t="n"/>
      <c r="AP545" s="9" t="n"/>
      <c r="AQ545" s="9" t="n"/>
      <c r="AR545" s="9" t="n"/>
      <c r="AS545" s="9" t="n"/>
      <c r="AT545" s="9" t="n"/>
      <c r="AU545" s="9" t="n"/>
      <c r="AV545" s="9" t="n"/>
      <c r="AW545" s="9" t="n"/>
      <c r="AX545" s="9" t="n"/>
      <c r="AY545" s="9" t="n"/>
      <c r="AZ545" s="9" t="n"/>
      <c r="BA545" s="9" t="n"/>
    </row>
    <row r="546" ht="15.75" customHeight="1" s="18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  <c r="AH546" s="9" t="n"/>
      <c r="AI546" s="9" t="n"/>
      <c r="AJ546" s="9" t="n"/>
      <c r="AK546" s="9" t="n"/>
      <c r="AL546" s="9" t="n"/>
      <c r="AM546" s="9" t="n"/>
      <c r="AN546" s="9" t="n"/>
      <c r="AO546" s="9" t="n"/>
      <c r="AP546" s="9" t="n"/>
      <c r="AQ546" s="9" t="n"/>
      <c r="AR546" s="9" t="n"/>
      <c r="AS546" s="9" t="n"/>
      <c r="AT546" s="9" t="n"/>
      <c r="AU546" s="9" t="n"/>
      <c r="AV546" s="9" t="n"/>
      <c r="AW546" s="9" t="n"/>
      <c r="AX546" s="9" t="n"/>
      <c r="AY546" s="9" t="n"/>
      <c r="AZ546" s="9" t="n"/>
      <c r="BA546" s="9" t="n"/>
    </row>
    <row r="547" ht="15.75" customHeight="1" s="18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  <c r="AH547" s="9" t="n"/>
      <c r="AI547" s="9" t="n"/>
      <c r="AJ547" s="9" t="n"/>
      <c r="AK547" s="9" t="n"/>
      <c r="AL547" s="9" t="n"/>
      <c r="AM547" s="9" t="n"/>
      <c r="AN547" s="9" t="n"/>
      <c r="AO547" s="9" t="n"/>
      <c r="AP547" s="9" t="n"/>
      <c r="AQ547" s="9" t="n"/>
      <c r="AR547" s="9" t="n"/>
      <c r="AS547" s="9" t="n"/>
      <c r="AT547" s="9" t="n"/>
      <c r="AU547" s="9" t="n"/>
      <c r="AV547" s="9" t="n"/>
      <c r="AW547" s="9" t="n"/>
      <c r="AX547" s="9" t="n"/>
      <c r="AY547" s="9" t="n"/>
      <c r="AZ547" s="9" t="n"/>
      <c r="BA547" s="9" t="n"/>
    </row>
    <row r="548" ht="15.75" customHeight="1" s="1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  <c r="AH548" s="9" t="n"/>
      <c r="AI548" s="9" t="n"/>
      <c r="AJ548" s="9" t="n"/>
      <c r="AK548" s="9" t="n"/>
      <c r="AL548" s="9" t="n"/>
      <c r="AM548" s="9" t="n"/>
      <c r="AN548" s="9" t="n"/>
      <c r="AO548" s="9" t="n"/>
      <c r="AP548" s="9" t="n"/>
      <c r="AQ548" s="9" t="n"/>
      <c r="AR548" s="9" t="n"/>
      <c r="AS548" s="9" t="n"/>
      <c r="AT548" s="9" t="n"/>
      <c r="AU548" s="9" t="n"/>
      <c r="AV548" s="9" t="n"/>
      <c r="AW548" s="9" t="n"/>
      <c r="AX548" s="9" t="n"/>
      <c r="AY548" s="9" t="n"/>
      <c r="AZ548" s="9" t="n"/>
      <c r="BA548" s="9" t="n"/>
    </row>
    <row r="549" ht="15.75" customHeight="1" s="18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  <c r="AH549" s="9" t="n"/>
      <c r="AI549" s="9" t="n"/>
      <c r="AJ549" s="9" t="n"/>
      <c r="AK549" s="9" t="n"/>
      <c r="AL549" s="9" t="n"/>
      <c r="AM549" s="9" t="n"/>
      <c r="AN549" s="9" t="n"/>
      <c r="AO549" s="9" t="n"/>
      <c r="AP549" s="9" t="n"/>
      <c r="AQ549" s="9" t="n"/>
      <c r="AR549" s="9" t="n"/>
      <c r="AS549" s="9" t="n"/>
      <c r="AT549" s="9" t="n"/>
      <c r="AU549" s="9" t="n"/>
      <c r="AV549" s="9" t="n"/>
      <c r="AW549" s="9" t="n"/>
      <c r="AX549" s="9" t="n"/>
      <c r="AY549" s="9" t="n"/>
      <c r="AZ549" s="9" t="n"/>
      <c r="BA549" s="9" t="n"/>
    </row>
    <row r="550" ht="15.75" customHeight="1" s="18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  <c r="AH550" s="9" t="n"/>
      <c r="AI550" s="9" t="n"/>
      <c r="AJ550" s="9" t="n"/>
      <c r="AK550" s="9" t="n"/>
      <c r="AL550" s="9" t="n"/>
      <c r="AM550" s="9" t="n"/>
      <c r="AN550" s="9" t="n"/>
      <c r="AO550" s="9" t="n"/>
      <c r="AP550" s="9" t="n"/>
      <c r="AQ550" s="9" t="n"/>
      <c r="AR550" s="9" t="n"/>
      <c r="AS550" s="9" t="n"/>
      <c r="AT550" s="9" t="n"/>
      <c r="AU550" s="9" t="n"/>
      <c r="AV550" s="9" t="n"/>
      <c r="AW550" s="9" t="n"/>
      <c r="AX550" s="9" t="n"/>
      <c r="AY550" s="9" t="n"/>
      <c r="AZ550" s="9" t="n"/>
      <c r="BA550" s="9" t="n"/>
    </row>
    <row r="551" ht="15.75" customHeight="1" s="18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  <c r="AH551" s="9" t="n"/>
      <c r="AI551" s="9" t="n"/>
      <c r="AJ551" s="9" t="n"/>
      <c r="AK551" s="9" t="n"/>
      <c r="AL551" s="9" t="n"/>
      <c r="AM551" s="9" t="n"/>
      <c r="AN551" s="9" t="n"/>
      <c r="AO551" s="9" t="n"/>
      <c r="AP551" s="9" t="n"/>
      <c r="AQ551" s="9" t="n"/>
      <c r="AR551" s="9" t="n"/>
      <c r="AS551" s="9" t="n"/>
      <c r="AT551" s="9" t="n"/>
      <c r="AU551" s="9" t="n"/>
      <c r="AV551" s="9" t="n"/>
      <c r="AW551" s="9" t="n"/>
      <c r="AX551" s="9" t="n"/>
      <c r="AY551" s="9" t="n"/>
      <c r="AZ551" s="9" t="n"/>
      <c r="BA551" s="9" t="n"/>
    </row>
    <row r="552" ht="15.75" customHeight="1" s="18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  <c r="AH552" s="9" t="n"/>
      <c r="AI552" s="9" t="n"/>
      <c r="AJ552" s="9" t="n"/>
      <c r="AK552" s="9" t="n"/>
      <c r="AL552" s="9" t="n"/>
      <c r="AM552" s="9" t="n"/>
      <c r="AN552" s="9" t="n"/>
      <c r="AO552" s="9" t="n"/>
      <c r="AP552" s="9" t="n"/>
      <c r="AQ552" s="9" t="n"/>
      <c r="AR552" s="9" t="n"/>
      <c r="AS552" s="9" t="n"/>
      <c r="AT552" s="9" t="n"/>
      <c r="AU552" s="9" t="n"/>
      <c r="AV552" s="9" t="n"/>
      <c r="AW552" s="9" t="n"/>
      <c r="AX552" s="9" t="n"/>
      <c r="AY552" s="9" t="n"/>
      <c r="AZ552" s="9" t="n"/>
      <c r="BA552" s="9" t="n"/>
    </row>
    <row r="553" ht="15.75" customHeight="1" s="18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  <c r="AH553" s="9" t="n"/>
      <c r="AI553" s="9" t="n"/>
      <c r="AJ553" s="9" t="n"/>
      <c r="AK553" s="9" t="n"/>
      <c r="AL553" s="9" t="n"/>
      <c r="AM553" s="9" t="n"/>
      <c r="AN553" s="9" t="n"/>
      <c r="AO553" s="9" t="n"/>
      <c r="AP553" s="9" t="n"/>
      <c r="AQ553" s="9" t="n"/>
      <c r="AR553" s="9" t="n"/>
      <c r="AS553" s="9" t="n"/>
      <c r="AT553" s="9" t="n"/>
      <c r="AU553" s="9" t="n"/>
      <c r="AV553" s="9" t="n"/>
      <c r="AW553" s="9" t="n"/>
      <c r="AX553" s="9" t="n"/>
      <c r="AY553" s="9" t="n"/>
      <c r="AZ553" s="9" t="n"/>
      <c r="BA553" s="9" t="n"/>
    </row>
    <row r="554" ht="15.75" customHeight="1" s="18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  <c r="AH554" s="9" t="n"/>
      <c r="AI554" s="9" t="n"/>
      <c r="AJ554" s="9" t="n"/>
      <c r="AK554" s="9" t="n"/>
      <c r="AL554" s="9" t="n"/>
      <c r="AM554" s="9" t="n"/>
      <c r="AN554" s="9" t="n"/>
      <c r="AO554" s="9" t="n"/>
      <c r="AP554" s="9" t="n"/>
      <c r="AQ554" s="9" t="n"/>
      <c r="AR554" s="9" t="n"/>
      <c r="AS554" s="9" t="n"/>
      <c r="AT554" s="9" t="n"/>
      <c r="AU554" s="9" t="n"/>
      <c r="AV554" s="9" t="n"/>
      <c r="AW554" s="9" t="n"/>
      <c r="AX554" s="9" t="n"/>
      <c r="AY554" s="9" t="n"/>
      <c r="AZ554" s="9" t="n"/>
      <c r="BA554" s="9" t="n"/>
    </row>
    <row r="555" ht="15.75" customHeight="1" s="18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  <c r="AH555" s="9" t="n"/>
      <c r="AI555" s="9" t="n"/>
      <c r="AJ555" s="9" t="n"/>
      <c r="AK555" s="9" t="n"/>
      <c r="AL555" s="9" t="n"/>
      <c r="AM555" s="9" t="n"/>
      <c r="AN555" s="9" t="n"/>
      <c r="AO555" s="9" t="n"/>
      <c r="AP555" s="9" t="n"/>
      <c r="AQ555" s="9" t="n"/>
      <c r="AR555" s="9" t="n"/>
      <c r="AS555" s="9" t="n"/>
      <c r="AT555" s="9" t="n"/>
      <c r="AU555" s="9" t="n"/>
      <c r="AV555" s="9" t="n"/>
      <c r="AW555" s="9" t="n"/>
      <c r="AX555" s="9" t="n"/>
      <c r="AY555" s="9" t="n"/>
      <c r="AZ555" s="9" t="n"/>
      <c r="BA555" s="9" t="n"/>
    </row>
    <row r="556" ht="15.75" customHeight="1" s="18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  <c r="AH556" s="9" t="n"/>
      <c r="AI556" s="9" t="n"/>
      <c r="AJ556" s="9" t="n"/>
      <c r="AK556" s="9" t="n"/>
      <c r="AL556" s="9" t="n"/>
      <c r="AM556" s="9" t="n"/>
      <c r="AN556" s="9" t="n"/>
      <c r="AO556" s="9" t="n"/>
      <c r="AP556" s="9" t="n"/>
      <c r="AQ556" s="9" t="n"/>
      <c r="AR556" s="9" t="n"/>
      <c r="AS556" s="9" t="n"/>
      <c r="AT556" s="9" t="n"/>
      <c r="AU556" s="9" t="n"/>
      <c r="AV556" s="9" t="n"/>
      <c r="AW556" s="9" t="n"/>
      <c r="AX556" s="9" t="n"/>
      <c r="AY556" s="9" t="n"/>
      <c r="AZ556" s="9" t="n"/>
      <c r="BA556" s="9" t="n"/>
    </row>
    <row r="557" ht="15.75" customHeight="1" s="18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  <c r="AH557" s="9" t="n"/>
      <c r="AI557" s="9" t="n"/>
      <c r="AJ557" s="9" t="n"/>
      <c r="AK557" s="9" t="n"/>
      <c r="AL557" s="9" t="n"/>
      <c r="AM557" s="9" t="n"/>
      <c r="AN557" s="9" t="n"/>
      <c r="AO557" s="9" t="n"/>
      <c r="AP557" s="9" t="n"/>
      <c r="AQ557" s="9" t="n"/>
      <c r="AR557" s="9" t="n"/>
      <c r="AS557" s="9" t="n"/>
      <c r="AT557" s="9" t="n"/>
      <c r="AU557" s="9" t="n"/>
      <c r="AV557" s="9" t="n"/>
      <c r="AW557" s="9" t="n"/>
      <c r="AX557" s="9" t="n"/>
      <c r="AY557" s="9" t="n"/>
      <c r="AZ557" s="9" t="n"/>
      <c r="BA557" s="9" t="n"/>
    </row>
    <row r="558" ht="15.75" customHeight="1" s="1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  <c r="AH558" s="9" t="n"/>
      <c r="AI558" s="9" t="n"/>
      <c r="AJ558" s="9" t="n"/>
      <c r="AK558" s="9" t="n"/>
      <c r="AL558" s="9" t="n"/>
      <c r="AM558" s="9" t="n"/>
      <c r="AN558" s="9" t="n"/>
      <c r="AO558" s="9" t="n"/>
      <c r="AP558" s="9" t="n"/>
      <c r="AQ558" s="9" t="n"/>
      <c r="AR558" s="9" t="n"/>
      <c r="AS558" s="9" t="n"/>
      <c r="AT558" s="9" t="n"/>
      <c r="AU558" s="9" t="n"/>
      <c r="AV558" s="9" t="n"/>
      <c r="AW558" s="9" t="n"/>
      <c r="AX558" s="9" t="n"/>
      <c r="AY558" s="9" t="n"/>
      <c r="AZ558" s="9" t="n"/>
      <c r="BA558" s="9" t="n"/>
    </row>
    <row r="559" ht="15.75" customHeight="1" s="18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  <c r="AH559" s="9" t="n"/>
      <c r="AI559" s="9" t="n"/>
      <c r="AJ559" s="9" t="n"/>
      <c r="AK559" s="9" t="n"/>
      <c r="AL559" s="9" t="n"/>
      <c r="AM559" s="9" t="n"/>
      <c r="AN559" s="9" t="n"/>
      <c r="AO559" s="9" t="n"/>
      <c r="AP559" s="9" t="n"/>
      <c r="AQ559" s="9" t="n"/>
      <c r="AR559" s="9" t="n"/>
      <c r="AS559" s="9" t="n"/>
      <c r="AT559" s="9" t="n"/>
      <c r="AU559" s="9" t="n"/>
      <c r="AV559" s="9" t="n"/>
      <c r="AW559" s="9" t="n"/>
      <c r="AX559" s="9" t="n"/>
      <c r="AY559" s="9" t="n"/>
      <c r="AZ559" s="9" t="n"/>
      <c r="BA559" s="9" t="n"/>
    </row>
    <row r="560" ht="15.75" customHeight="1" s="18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  <c r="AH560" s="9" t="n"/>
      <c r="AI560" s="9" t="n"/>
      <c r="AJ560" s="9" t="n"/>
      <c r="AK560" s="9" t="n"/>
      <c r="AL560" s="9" t="n"/>
      <c r="AM560" s="9" t="n"/>
      <c r="AN560" s="9" t="n"/>
      <c r="AO560" s="9" t="n"/>
      <c r="AP560" s="9" t="n"/>
      <c r="AQ560" s="9" t="n"/>
      <c r="AR560" s="9" t="n"/>
      <c r="AS560" s="9" t="n"/>
      <c r="AT560" s="9" t="n"/>
      <c r="AU560" s="9" t="n"/>
      <c r="AV560" s="9" t="n"/>
      <c r="AW560" s="9" t="n"/>
      <c r="AX560" s="9" t="n"/>
      <c r="AY560" s="9" t="n"/>
      <c r="AZ560" s="9" t="n"/>
      <c r="BA560" s="9" t="n"/>
    </row>
    <row r="561" ht="15.75" customHeight="1" s="18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  <c r="AH561" s="9" t="n"/>
      <c r="AI561" s="9" t="n"/>
      <c r="AJ561" s="9" t="n"/>
      <c r="AK561" s="9" t="n"/>
      <c r="AL561" s="9" t="n"/>
      <c r="AM561" s="9" t="n"/>
      <c r="AN561" s="9" t="n"/>
      <c r="AO561" s="9" t="n"/>
      <c r="AP561" s="9" t="n"/>
      <c r="AQ561" s="9" t="n"/>
      <c r="AR561" s="9" t="n"/>
      <c r="AS561" s="9" t="n"/>
      <c r="AT561" s="9" t="n"/>
      <c r="AU561" s="9" t="n"/>
      <c r="AV561" s="9" t="n"/>
      <c r="AW561" s="9" t="n"/>
      <c r="AX561" s="9" t="n"/>
      <c r="AY561" s="9" t="n"/>
      <c r="AZ561" s="9" t="n"/>
      <c r="BA561" s="9" t="n"/>
    </row>
    <row r="562" ht="15.75" customHeight="1" s="18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  <c r="AH562" s="9" t="n"/>
      <c r="AI562" s="9" t="n"/>
      <c r="AJ562" s="9" t="n"/>
      <c r="AK562" s="9" t="n"/>
      <c r="AL562" s="9" t="n"/>
      <c r="AM562" s="9" t="n"/>
      <c r="AN562" s="9" t="n"/>
      <c r="AO562" s="9" t="n"/>
      <c r="AP562" s="9" t="n"/>
      <c r="AQ562" s="9" t="n"/>
      <c r="AR562" s="9" t="n"/>
      <c r="AS562" s="9" t="n"/>
      <c r="AT562" s="9" t="n"/>
      <c r="AU562" s="9" t="n"/>
      <c r="AV562" s="9" t="n"/>
      <c r="AW562" s="9" t="n"/>
      <c r="AX562" s="9" t="n"/>
      <c r="AY562" s="9" t="n"/>
      <c r="AZ562" s="9" t="n"/>
      <c r="BA562" s="9" t="n"/>
    </row>
    <row r="563" ht="15.75" customHeight="1" s="18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  <c r="AH563" s="9" t="n"/>
      <c r="AI563" s="9" t="n"/>
      <c r="AJ563" s="9" t="n"/>
      <c r="AK563" s="9" t="n"/>
      <c r="AL563" s="9" t="n"/>
      <c r="AM563" s="9" t="n"/>
      <c r="AN563" s="9" t="n"/>
      <c r="AO563" s="9" t="n"/>
      <c r="AP563" s="9" t="n"/>
      <c r="AQ563" s="9" t="n"/>
      <c r="AR563" s="9" t="n"/>
      <c r="AS563" s="9" t="n"/>
      <c r="AT563" s="9" t="n"/>
      <c r="AU563" s="9" t="n"/>
      <c r="AV563" s="9" t="n"/>
      <c r="AW563" s="9" t="n"/>
      <c r="AX563" s="9" t="n"/>
      <c r="AY563" s="9" t="n"/>
      <c r="AZ563" s="9" t="n"/>
      <c r="BA563" s="9" t="n"/>
    </row>
    <row r="564" ht="15.75" customHeight="1" s="18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  <c r="AH564" s="9" t="n"/>
      <c r="AI564" s="9" t="n"/>
      <c r="AJ564" s="9" t="n"/>
      <c r="AK564" s="9" t="n"/>
      <c r="AL564" s="9" t="n"/>
      <c r="AM564" s="9" t="n"/>
      <c r="AN564" s="9" t="n"/>
      <c r="AO564" s="9" t="n"/>
      <c r="AP564" s="9" t="n"/>
      <c r="AQ564" s="9" t="n"/>
      <c r="AR564" s="9" t="n"/>
      <c r="AS564" s="9" t="n"/>
      <c r="AT564" s="9" t="n"/>
      <c r="AU564" s="9" t="n"/>
      <c r="AV564" s="9" t="n"/>
      <c r="AW564" s="9" t="n"/>
      <c r="AX564" s="9" t="n"/>
      <c r="AY564" s="9" t="n"/>
      <c r="AZ564" s="9" t="n"/>
      <c r="BA564" s="9" t="n"/>
    </row>
    <row r="565" ht="15.75" customHeight="1" s="18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  <c r="AH565" s="9" t="n"/>
      <c r="AI565" s="9" t="n"/>
      <c r="AJ565" s="9" t="n"/>
      <c r="AK565" s="9" t="n"/>
      <c r="AL565" s="9" t="n"/>
      <c r="AM565" s="9" t="n"/>
      <c r="AN565" s="9" t="n"/>
      <c r="AO565" s="9" t="n"/>
      <c r="AP565" s="9" t="n"/>
      <c r="AQ565" s="9" t="n"/>
      <c r="AR565" s="9" t="n"/>
      <c r="AS565" s="9" t="n"/>
      <c r="AT565" s="9" t="n"/>
      <c r="AU565" s="9" t="n"/>
      <c r="AV565" s="9" t="n"/>
      <c r="AW565" s="9" t="n"/>
      <c r="AX565" s="9" t="n"/>
      <c r="AY565" s="9" t="n"/>
      <c r="AZ565" s="9" t="n"/>
      <c r="BA565" s="9" t="n"/>
    </row>
    <row r="566" ht="15.75" customHeight="1" s="18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  <c r="AH566" s="9" t="n"/>
      <c r="AI566" s="9" t="n"/>
      <c r="AJ566" s="9" t="n"/>
      <c r="AK566" s="9" t="n"/>
      <c r="AL566" s="9" t="n"/>
      <c r="AM566" s="9" t="n"/>
      <c r="AN566" s="9" t="n"/>
      <c r="AO566" s="9" t="n"/>
      <c r="AP566" s="9" t="n"/>
      <c r="AQ566" s="9" t="n"/>
      <c r="AR566" s="9" t="n"/>
      <c r="AS566" s="9" t="n"/>
      <c r="AT566" s="9" t="n"/>
      <c r="AU566" s="9" t="n"/>
      <c r="AV566" s="9" t="n"/>
      <c r="AW566" s="9" t="n"/>
      <c r="AX566" s="9" t="n"/>
      <c r="AY566" s="9" t="n"/>
      <c r="AZ566" s="9" t="n"/>
      <c r="BA566" s="9" t="n"/>
    </row>
    <row r="567" ht="15.75" customHeight="1" s="18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  <c r="AH567" s="9" t="n"/>
      <c r="AI567" s="9" t="n"/>
      <c r="AJ567" s="9" t="n"/>
      <c r="AK567" s="9" t="n"/>
      <c r="AL567" s="9" t="n"/>
      <c r="AM567" s="9" t="n"/>
      <c r="AN567" s="9" t="n"/>
      <c r="AO567" s="9" t="n"/>
      <c r="AP567" s="9" t="n"/>
      <c r="AQ567" s="9" t="n"/>
      <c r="AR567" s="9" t="n"/>
      <c r="AS567" s="9" t="n"/>
      <c r="AT567" s="9" t="n"/>
      <c r="AU567" s="9" t="n"/>
      <c r="AV567" s="9" t="n"/>
      <c r="AW567" s="9" t="n"/>
      <c r="AX567" s="9" t="n"/>
      <c r="AY567" s="9" t="n"/>
      <c r="AZ567" s="9" t="n"/>
      <c r="BA567" s="9" t="n"/>
    </row>
    <row r="568" ht="15.75" customHeight="1" s="1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  <c r="AH568" s="9" t="n"/>
      <c r="AI568" s="9" t="n"/>
      <c r="AJ568" s="9" t="n"/>
      <c r="AK568" s="9" t="n"/>
      <c r="AL568" s="9" t="n"/>
      <c r="AM568" s="9" t="n"/>
      <c r="AN568" s="9" t="n"/>
      <c r="AO568" s="9" t="n"/>
      <c r="AP568" s="9" t="n"/>
      <c r="AQ568" s="9" t="n"/>
      <c r="AR568" s="9" t="n"/>
      <c r="AS568" s="9" t="n"/>
      <c r="AT568" s="9" t="n"/>
      <c r="AU568" s="9" t="n"/>
      <c r="AV568" s="9" t="n"/>
      <c r="AW568" s="9" t="n"/>
      <c r="AX568" s="9" t="n"/>
      <c r="AY568" s="9" t="n"/>
      <c r="AZ568" s="9" t="n"/>
      <c r="BA568" s="9" t="n"/>
    </row>
    <row r="569" ht="15.75" customHeight="1" s="18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  <c r="AH569" s="9" t="n"/>
      <c r="AI569" s="9" t="n"/>
      <c r="AJ569" s="9" t="n"/>
      <c r="AK569" s="9" t="n"/>
      <c r="AL569" s="9" t="n"/>
      <c r="AM569" s="9" t="n"/>
      <c r="AN569" s="9" t="n"/>
      <c r="AO569" s="9" t="n"/>
      <c r="AP569" s="9" t="n"/>
      <c r="AQ569" s="9" t="n"/>
      <c r="AR569" s="9" t="n"/>
      <c r="AS569" s="9" t="n"/>
      <c r="AT569" s="9" t="n"/>
      <c r="AU569" s="9" t="n"/>
      <c r="AV569" s="9" t="n"/>
      <c r="AW569" s="9" t="n"/>
      <c r="AX569" s="9" t="n"/>
      <c r="AY569" s="9" t="n"/>
      <c r="AZ569" s="9" t="n"/>
      <c r="BA569" s="9" t="n"/>
    </row>
    <row r="570" ht="15.75" customHeight="1" s="18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  <c r="AH570" s="9" t="n"/>
      <c r="AI570" s="9" t="n"/>
      <c r="AJ570" s="9" t="n"/>
      <c r="AK570" s="9" t="n"/>
      <c r="AL570" s="9" t="n"/>
      <c r="AM570" s="9" t="n"/>
      <c r="AN570" s="9" t="n"/>
      <c r="AO570" s="9" t="n"/>
      <c r="AP570" s="9" t="n"/>
      <c r="AQ570" s="9" t="n"/>
      <c r="AR570" s="9" t="n"/>
      <c r="AS570" s="9" t="n"/>
      <c r="AT570" s="9" t="n"/>
      <c r="AU570" s="9" t="n"/>
      <c r="AV570" s="9" t="n"/>
      <c r="AW570" s="9" t="n"/>
      <c r="AX570" s="9" t="n"/>
      <c r="AY570" s="9" t="n"/>
      <c r="AZ570" s="9" t="n"/>
      <c r="BA570" s="9" t="n"/>
    </row>
    <row r="571" ht="15.75" customHeight="1" s="18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  <c r="AH571" s="9" t="n"/>
      <c r="AI571" s="9" t="n"/>
      <c r="AJ571" s="9" t="n"/>
      <c r="AK571" s="9" t="n"/>
      <c r="AL571" s="9" t="n"/>
      <c r="AM571" s="9" t="n"/>
      <c r="AN571" s="9" t="n"/>
      <c r="AO571" s="9" t="n"/>
      <c r="AP571" s="9" t="n"/>
      <c r="AQ571" s="9" t="n"/>
      <c r="AR571" s="9" t="n"/>
      <c r="AS571" s="9" t="n"/>
      <c r="AT571" s="9" t="n"/>
      <c r="AU571" s="9" t="n"/>
      <c r="AV571" s="9" t="n"/>
      <c r="AW571" s="9" t="n"/>
      <c r="AX571" s="9" t="n"/>
      <c r="AY571" s="9" t="n"/>
      <c r="AZ571" s="9" t="n"/>
      <c r="BA571" s="9" t="n"/>
    </row>
    <row r="572" ht="15.75" customHeight="1" s="18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  <c r="AH572" s="9" t="n"/>
      <c r="AI572" s="9" t="n"/>
      <c r="AJ572" s="9" t="n"/>
      <c r="AK572" s="9" t="n"/>
      <c r="AL572" s="9" t="n"/>
      <c r="AM572" s="9" t="n"/>
      <c r="AN572" s="9" t="n"/>
      <c r="AO572" s="9" t="n"/>
      <c r="AP572" s="9" t="n"/>
      <c r="AQ572" s="9" t="n"/>
      <c r="AR572" s="9" t="n"/>
      <c r="AS572" s="9" t="n"/>
      <c r="AT572" s="9" t="n"/>
      <c r="AU572" s="9" t="n"/>
      <c r="AV572" s="9" t="n"/>
      <c r="AW572" s="9" t="n"/>
      <c r="AX572" s="9" t="n"/>
      <c r="AY572" s="9" t="n"/>
      <c r="AZ572" s="9" t="n"/>
      <c r="BA572" s="9" t="n"/>
    </row>
    <row r="573" ht="15.75" customHeight="1" s="18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  <c r="AH573" s="9" t="n"/>
      <c r="AI573" s="9" t="n"/>
      <c r="AJ573" s="9" t="n"/>
      <c r="AK573" s="9" t="n"/>
      <c r="AL573" s="9" t="n"/>
      <c r="AM573" s="9" t="n"/>
      <c r="AN573" s="9" t="n"/>
      <c r="AO573" s="9" t="n"/>
      <c r="AP573" s="9" t="n"/>
      <c r="AQ573" s="9" t="n"/>
      <c r="AR573" s="9" t="n"/>
      <c r="AS573" s="9" t="n"/>
      <c r="AT573" s="9" t="n"/>
      <c r="AU573" s="9" t="n"/>
      <c r="AV573" s="9" t="n"/>
      <c r="AW573" s="9" t="n"/>
      <c r="AX573" s="9" t="n"/>
      <c r="AY573" s="9" t="n"/>
      <c r="AZ573" s="9" t="n"/>
      <c r="BA573" s="9" t="n"/>
    </row>
    <row r="574" ht="15.75" customHeight="1" s="18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  <c r="AH574" s="9" t="n"/>
      <c r="AI574" s="9" t="n"/>
      <c r="AJ574" s="9" t="n"/>
      <c r="AK574" s="9" t="n"/>
      <c r="AL574" s="9" t="n"/>
      <c r="AM574" s="9" t="n"/>
      <c r="AN574" s="9" t="n"/>
      <c r="AO574" s="9" t="n"/>
      <c r="AP574" s="9" t="n"/>
      <c r="AQ574" s="9" t="n"/>
      <c r="AR574" s="9" t="n"/>
      <c r="AS574" s="9" t="n"/>
      <c r="AT574" s="9" t="n"/>
      <c r="AU574" s="9" t="n"/>
      <c r="AV574" s="9" t="n"/>
      <c r="AW574" s="9" t="n"/>
      <c r="AX574" s="9" t="n"/>
      <c r="AY574" s="9" t="n"/>
      <c r="AZ574" s="9" t="n"/>
      <c r="BA574" s="9" t="n"/>
    </row>
    <row r="575" ht="15.75" customHeight="1" s="18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  <c r="AH575" s="9" t="n"/>
      <c r="AI575" s="9" t="n"/>
      <c r="AJ575" s="9" t="n"/>
      <c r="AK575" s="9" t="n"/>
      <c r="AL575" s="9" t="n"/>
      <c r="AM575" s="9" t="n"/>
      <c r="AN575" s="9" t="n"/>
      <c r="AO575" s="9" t="n"/>
      <c r="AP575" s="9" t="n"/>
      <c r="AQ575" s="9" t="n"/>
      <c r="AR575" s="9" t="n"/>
      <c r="AS575" s="9" t="n"/>
      <c r="AT575" s="9" t="n"/>
      <c r="AU575" s="9" t="n"/>
      <c r="AV575" s="9" t="n"/>
      <c r="AW575" s="9" t="n"/>
      <c r="AX575" s="9" t="n"/>
      <c r="AY575" s="9" t="n"/>
      <c r="AZ575" s="9" t="n"/>
      <c r="BA575" s="9" t="n"/>
    </row>
    <row r="576" ht="15.75" customHeight="1" s="18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  <c r="AH576" s="9" t="n"/>
      <c r="AI576" s="9" t="n"/>
      <c r="AJ576" s="9" t="n"/>
      <c r="AK576" s="9" t="n"/>
      <c r="AL576" s="9" t="n"/>
      <c r="AM576" s="9" t="n"/>
      <c r="AN576" s="9" t="n"/>
      <c r="AO576" s="9" t="n"/>
      <c r="AP576" s="9" t="n"/>
      <c r="AQ576" s="9" t="n"/>
      <c r="AR576" s="9" t="n"/>
      <c r="AS576" s="9" t="n"/>
      <c r="AT576" s="9" t="n"/>
      <c r="AU576" s="9" t="n"/>
      <c r="AV576" s="9" t="n"/>
      <c r="AW576" s="9" t="n"/>
      <c r="AX576" s="9" t="n"/>
      <c r="AY576" s="9" t="n"/>
      <c r="AZ576" s="9" t="n"/>
      <c r="BA576" s="9" t="n"/>
    </row>
    <row r="577" ht="15.75" customHeight="1" s="18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  <c r="AH577" s="9" t="n"/>
      <c r="AI577" s="9" t="n"/>
      <c r="AJ577" s="9" t="n"/>
      <c r="AK577" s="9" t="n"/>
      <c r="AL577" s="9" t="n"/>
      <c r="AM577" s="9" t="n"/>
      <c r="AN577" s="9" t="n"/>
      <c r="AO577" s="9" t="n"/>
      <c r="AP577" s="9" t="n"/>
      <c r="AQ577" s="9" t="n"/>
      <c r="AR577" s="9" t="n"/>
      <c r="AS577" s="9" t="n"/>
      <c r="AT577" s="9" t="n"/>
      <c r="AU577" s="9" t="n"/>
      <c r="AV577" s="9" t="n"/>
      <c r="AW577" s="9" t="n"/>
      <c r="AX577" s="9" t="n"/>
      <c r="AY577" s="9" t="n"/>
      <c r="AZ577" s="9" t="n"/>
      <c r="BA577" s="9" t="n"/>
    </row>
    <row r="578" ht="15.75" customHeight="1" s="1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  <c r="AH578" s="9" t="n"/>
      <c r="AI578" s="9" t="n"/>
      <c r="AJ578" s="9" t="n"/>
      <c r="AK578" s="9" t="n"/>
      <c r="AL578" s="9" t="n"/>
      <c r="AM578" s="9" t="n"/>
      <c r="AN578" s="9" t="n"/>
      <c r="AO578" s="9" t="n"/>
      <c r="AP578" s="9" t="n"/>
      <c r="AQ578" s="9" t="n"/>
      <c r="AR578" s="9" t="n"/>
      <c r="AS578" s="9" t="n"/>
      <c r="AT578" s="9" t="n"/>
      <c r="AU578" s="9" t="n"/>
      <c r="AV578" s="9" t="n"/>
      <c r="AW578" s="9" t="n"/>
      <c r="AX578" s="9" t="n"/>
      <c r="AY578" s="9" t="n"/>
      <c r="AZ578" s="9" t="n"/>
      <c r="BA578" s="9" t="n"/>
    </row>
    <row r="579" ht="15.75" customHeight="1" s="18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  <c r="AH579" s="9" t="n"/>
      <c r="AI579" s="9" t="n"/>
      <c r="AJ579" s="9" t="n"/>
      <c r="AK579" s="9" t="n"/>
      <c r="AL579" s="9" t="n"/>
      <c r="AM579" s="9" t="n"/>
      <c r="AN579" s="9" t="n"/>
      <c r="AO579" s="9" t="n"/>
      <c r="AP579" s="9" t="n"/>
      <c r="AQ579" s="9" t="n"/>
      <c r="AR579" s="9" t="n"/>
      <c r="AS579" s="9" t="n"/>
      <c r="AT579" s="9" t="n"/>
      <c r="AU579" s="9" t="n"/>
      <c r="AV579" s="9" t="n"/>
      <c r="AW579" s="9" t="n"/>
      <c r="AX579" s="9" t="n"/>
      <c r="AY579" s="9" t="n"/>
      <c r="AZ579" s="9" t="n"/>
      <c r="BA579" s="9" t="n"/>
    </row>
    <row r="580" ht="15.75" customHeight="1" s="18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  <c r="AH580" s="9" t="n"/>
      <c r="AI580" s="9" t="n"/>
      <c r="AJ580" s="9" t="n"/>
      <c r="AK580" s="9" t="n"/>
      <c r="AL580" s="9" t="n"/>
      <c r="AM580" s="9" t="n"/>
      <c r="AN580" s="9" t="n"/>
      <c r="AO580" s="9" t="n"/>
      <c r="AP580" s="9" t="n"/>
      <c r="AQ580" s="9" t="n"/>
      <c r="AR580" s="9" t="n"/>
      <c r="AS580" s="9" t="n"/>
      <c r="AT580" s="9" t="n"/>
      <c r="AU580" s="9" t="n"/>
      <c r="AV580" s="9" t="n"/>
      <c r="AW580" s="9" t="n"/>
      <c r="AX580" s="9" t="n"/>
      <c r="AY580" s="9" t="n"/>
      <c r="AZ580" s="9" t="n"/>
      <c r="BA580" s="9" t="n"/>
    </row>
    <row r="581" ht="15.75" customHeight="1" s="18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  <c r="AH581" s="9" t="n"/>
      <c r="AI581" s="9" t="n"/>
      <c r="AJ581" s="9" t="n"/>
      <c r="AK581" s="9" t="n"/>
      <c r="AL581" s="9" t="n"/>
      <c r="AM581" s="9" t="n"/>
      <c r="AN581" s="9" t="n"/>
      <c r="AO581" s="9" t="n"/>
      <c r="AP581" s="9" t="n"/>
      <c r="AQ581" s="9" t="n"/>
      <c r="AR581" s="9" t="n"/>
      <c r="AS581" s="9" t="n"/>
      <c r="AT581" s="9" t="n"/>
      <c r="AU581" s="9" t="n"/>
      <c r="AV581" s="9" t="n"/>
      <c r="AW581" s="9" t="n"/>
      <c r="AX581" s="9" t="n"/>
      <c r="AY581" s="9" t="n"/>
      <c r="AZ581" s="9" t="n"/>
      <c r="BA581" s="9" t="n"/>
    </row>
    <row r="582" ht="15.75" customHeight="1" s="18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  <c r="AH582" s="9" t="n"/>
      <c r="AI582" s="9" t="n"/>
      <c r="AJ582" s="9" t="n"/>
      <c r="AK582" s="9" t="n"/>
      <c r="AL582" s="9" t="n"/>
      <c r="AM582" s="9" t="n"/>
      <c r="AN582" s="9" t="n"/>
      <c r="AO582" s="9" t="n"/>
      <c r="AP582" s="9" t="n"/>
      <c r="AQ582" s="9" t="n"/>
      <c r="AR582" s="9" t="n"/>
      <c r="AS582" s="9" t="n"/>
      <c r="AT582" s="9" t="n"/>
      <c r="AU582" s="9" t="n"/>
      <c r="AV582" s="9" t="n"/>
      <c r="AW582" s="9" t="n"/>
      <c r="AX582" s="9" t="n"/>
      <c r="AY582" s="9" t="n"/>
      <c r="AZ582" s="9" t="n"/>
      <c r="BA582" s="9" t="n"/>
    </row>
    <row r="583" ht="15.75" customHeight="1" s="18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  <c r="AH583" s="9" t="n"/>
      <c r="AI583" s="9" t="n"/>
      <c r="AJ583" s="9" t="n"/>
      <c r="AK583" s="9" t="n"/>
      <c r="AL583" s="9" t="n"/>
      <c r="AM583" s="9" t="n"/>
      <c r="AN583" s="9" t="n"/>
      <c r="AO583" s="9" t="n"/>
      <c r="AP583" s="9" t="n"/>
      <c r="AQ583" s="9" t="n"/>
      <c r="AR583" s="9" t="n"/>
      <c r="AS583" s="9" t="n"/>
      <c r="AT583" s="9" t="n"/>
      <c r="AU583" s="9" t="n"/>
      <c r="AV583" s="9" t="n"/>
      <c r="AW583" s="9" t="n"/>
      <c r="AX583" s="9" t="n"/>
      <c r="AY583" s="9" t="n"/>
      <c r="AZ583" s="9" t="n"/>
      <c r="BA583" s="9" t="n"/>
    </row>
    <row r="584" ht="15.75" customHeight="1" s="18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  <c r="AH584" s="9" t="n"/>
      <c r="AI584" s="9" t="n"/>
      <c r="AJ584" s="9" t="n"/>
      <c r="AK584" s="9" t="n"/>
      <c r="AL584" s="9" t="n"/>
      <c r="AM584" s="9" t="n"/>
      <c r="AN584" s="9" t="n"/>
      <c r="AO584" s="9" t="n"/>
      <c r="AP584" s="9" t="n"/>
      <c r="AQ584" s="9" t="n"/>
      <c r="AR584" s="9" t="n"/>
      <c r="AS584" s="9" t="n"/>
      <c r="AT584" s="9" t="n"/>
      <c r="AU584" s="9" t="n"/>
      <c r="AV584" s="9" t="n"/>
      <c r="AW584" s="9" t="n"/>
      <c r="AX584" s="9" t="n"/>
      <c r="AY584" s="9" t="n"/>
      <c r="AZ584" s="9" t="n"/>
      <c r="BA584" s="9" t="n"/>
    </row>
    <row r="585" ht="15.75" customHeight="1" s="18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  <c r="AH585" s="9" t="n"/>
      <c r="AI585" s="9" t="n"/>
      <c r="AJ585" s="9" t="n"/>
      <c r="AK585" s="9" t="n"/>
      <c r="AL585" s="9" t="n"/>
      <c r="AM585" s="9" t="n"/>
      <c r="AN585" s="9" t="n"/>
      <c r="AO585" s="9" t="n"/>
      <c r="AP585" s="9" t="n"/>
      <c r="AQ585" s="9" t="n"/>
      <c r="AR585" s="9" t="n"/>
      <c r="AS585" s="9" t="n"/>
      <c r="AT585" s="9" t="n"/>
      <c r="AU585" s="9" t="n"/>
      <c r="AV585" s="9" t="n"/>
      <c r="AW585" s="9" t="n"/>
      <c r="AX585" s="9" t="n"/>
      <c r="AY585" s="9" t="n"/>
      <c r="AZ585" s="9" t="n"/>
      <c r="BA585" s="9" t="n"/>
    </row>
    <row r="586" ht="15.75" customHeight="1" s="18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  <c r="AH586" s="9" t="n"/>
      <c r="AI586" s="9" t="n"/>
      <c r="AJ586" s="9" t="n"/>
      <c r="AK586" s="9" t="n"/>
      <c r="AL586" s="9" t="n"/>
      <c r="AM586" s="9" t="n"/>
      <c r="AN586" s="9" t="n"/>
      <c r="AO586" s="9" t="n"/>
      <c r="AP586" s="9" t="n"/>
      <c r="AQ586" s="9" t="n"/>
      <c r="AR586" s="9" t="n"/>
      <c r="AS586" s="9" t="n"/>
      <c r="AT586" s="9" t="n"/>
      <c r="AU586" s="9" t="n"/>
      <c r="AV586" s="9" t="n"/>
      <c r="AW586" s="9" t="n"/>
      <c r="AX586" s="9" t="n"/>
      <c r="AY586" s="9" t="n"/>
      <c r="AZ586" s="9" t="n"/>
      <c r="BA586" s="9" t="n"/>
    </row>
    <row r="587" ht="15.75" customHeight="1" s="18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  <c r="AH587" s="9" t="n"/>
      <c r="AI587" s="9" t="n"/>
      <c r="AJ587" s="9" t="n"/>
      <c r="AK587" s="9" t="n"/>
      <c r="AL587" s="9" t="n"/>
      <c r="AM587" s="9" t="n"/>
      <c r="AN587" s="9" t="n"/>
      <c r="AO587" s="9" t="n"/>
      <c r="AP587" s="9" t="n"/>
      <c r="AQ587" s="9" t="n"/>
      <c r="AR587" s="9" t="n"/>
      <c r="AS587" s="9" t="n"/>
      <c r="AT587" s="9" t="n"/>
      <c r="AU587" s="9" t="n"/>
      <c r="AV587" s="9" t="n"/>
      <c r="AW587" s="9" t="n"/>
      <c r="AX587" s="9" t="n"/>
      <c r="AY587" s="9" t="n"/>
      <c r="AZ587" s="9" t="n"/>
      <c r="BA587" s="9" t="n"/>
    </row>
    <row r="588" ht="15.75" customHeight="1" s="1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  <c r="AH588" s="9" t="n"/>
      <c r="AI588" s="9" t="n"/>
      <c r="AJ588" s="9" t="n"/>
      <c r="AK588" s="9" t="n"/>
      <c r="AL588" s="9" t="n"/>
      <c r="AM588" s="9" t="n"/>
      <c r="AN588" s="9" t="n"/>
      <c r="AO588" s="9" t="n"/>
      <c r="AP588" s="9" t="n"/>
      <c r="AQ588" s="9" t="n"/>
      <c r="AR588" s="9" t="n"/>
      <c r="AS588" s="9" t="n"/>
      <c r="AT588" s="9" t="n"/>
      <c r="AU588" s="9" t="n"/>
      <c r="AV588" s="9" t="n"/>
      <c r="AW588" s="9" t="n"/>
      <c r="AX588" s="9" t="n"/>
      <c r="AY588" s="9" t="n"/>
      <c r="AZ588" s="9" t="n"/>
      <c r="BA588" s="9" t="n"/>
    </row>
    <row r="589" ht="15.75" customHeight="1" s="18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  <c r="AH589" s="9" t="n"/>
      <c r="AI589" s="9" t="n"/>
      <c r="AJ589" s="9" t="n"/>
      <c r="AK589" s="9" t="n"/>
      <c r="AL589" s="9" t="n"/>
      <c r="AM589" s="9" t="n"/>
      <c r="AN589" s="9" t="n"/>
      <c r="AO589" s="9" t="n"/>
      <c r="AP589" s="9" t="n"/>
      <c r="AQ589" s="9" t="n"/>
      <c r="AR589" s="9" t="n"/>
      <c r="AS589" s="9" t="n"/>
      <c r="AT589" s="9" t="n"/>
      <c r="AU589" s="9" t="n"/>
      <c r="AV589" s="9" t="n"/>
      <c r="AW589" s="9" t="n"/>
      <c r="AX589" s="9" t="n"/>
      <c r="AY589" s="9" t="n"/>
      <c r="AZ589" s="9" t="n"/>
      <c r="BA589" s="9" t="n"/>
    </row>
    <row r="590" ht="15.75" customHeight="1" s="18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  <c r="AH590" s="9" t="n"/>
      <c r="AI590" s="9" t="n"/>
      <c r="AJ590" s="9" t="n"/>
      <c r="AK590" s="9" t="n"/>
      <c r="AL590" s="9" t="n"/>
      <c r="AM590" s="9" t="n"/>
      <c r="AN590" s="9" t="n"/>
      <c r="AO590" s="9" t="n"/>
      <c r="AP590" s="9" t="n"/>
      <c r="AQ590" s="9" t="n"/>
      <c r="AR590" s="9" t="n"/>
      <c r="AS590" s="9" t="n"/>
      <c r="AT590" s="9" t="n"/>
      <c r="AU590" s="9" t="n"/>
      <c r="AV590" s="9" t="n"/>
      <c r="AW590" s="9" t="n"/>
      <c r="AX590" s="9" t="n"/>
      <c r="AY590" s="9" t="n"/>
      <c r="AZ590" s="9" t="n"/>
      <c r="BA590" s="9" t="n"/>
    </row>
    <row r="591" ht="15.75" customHeight="1" s="18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  <c r="AH591" s="9" t="n"/>
      <c r="AI591" s="9" t="n"/>
      <c r="AJ591" s="9" t="n"/>
      <c r="AK591" s="9" t="n"/>
      <c r="AL591" s="9" t="n"/>
      <c r="AM591" s="9" t="n"/>
      <c r="AN591" s="9" t="n"/>
      <c r="AO591" s="9" t="n"/>
      <c r="AP591" s="9" t="n"/>
      <c r="AQ591" s="9" t="n"/>
      <c r="AR591" s="9" t="n"/>
      <c r="AS591" s="9" t="n"/>
      <c r="AT591" s="9" t="n"/>
      <c r="AU591" s="9" t="n"/>
      <c r="AV591" s="9" t="n"/>
      <c r="AW591" s="9" t="n"/>
      <c r="AX591" s="9" t="n"/>
      <c r="AY591" s="9" t="n"/>
      <c r="AZ591" s="9" t="n"/>
      <c r="BA591" s="9" t="n"/>
    </row>
    <row r="592" ht="15.75" customHeight="1" s="18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  <c r="AH592" s="9" t="n"/>
      <c r="AI592" s="9" t="n"/>
      <c r="AJ592" s="9" t="n"/>
      <c r="AK592" s="9" t="n"/>
      <c r="AL592" s="9" t="n"/>
      <c r="AM592" s="9" t="n"/>
      <c r="AN592" s="9" t="n"/>
      <c r="AO592" s="9" t="n"/>
      <c r="AP592" s="9" t="n"/>
      <c r="AQ592" s="9" t="n"/>
      <c r="AR592" s="9" t="n"/>
      <c r="AS592" s="9" t="n"/>
      <c r="AT592" s="9" t="n"/>
      <c r="AU592" s="9" t="n"/>
      <c r="AV592" s="9" t="n"/>
      <c r="AW592" s="9" t="n"/>
      <c r="AX592" s="9" t="n"/>
      <c r="AY592" s="9" t="n"/>
      <c r="AZ592" s="9" t="n"/>
      <c r="BA592" s="9" t="n"/>
    </row>
    <row r="593" ht="15.75" customHeight="1" s="18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  <c r="AH593" s="9" t="n"/>
      <c r="AI593" s="9" t="n"/>
      <c r="AJ593" s="9" t="n"/>
      <c r="AK593" s="9" t="n"/>
      <c r="AL593" s="9" t="n"/>
      <c r="AM593" s="9" t="n"/>
      <c r="AN593" s="9" t="n"/>
      <c r="AO593" s="9" t="n"/>
      <c r="AP593" s="9" t="n"/>
      <c r="AQ593" s="9" t="n"/>
      <c r="AR593" s="9" t="n"/>
      <c r="AS593" s="9" t="n"/>
      <c r="AT593" s="9" t="n"/>
      <c r="AU593" s="9" t="n"/>
      <c r="AV593" s="9" t="n"/>
      <c r="AW593" s="9" t="n"/>
      <c r="AX593" s="9" t="n"/>
      <c r="AY593" s="9" t="n"/>
      <c r="AZ593" s="9" t="n"/>
      <c r="BA593" s="9" t="n"/>
    </row>
    <row r="594" ht="15.75" customHeight="1" s="18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  <c r="AH594" s="9" t="n"/>
      <c r="AI594" s="9" t="n"/>
      <c r="AJ594" s="9" t="n"/>
      <c r="AK594" s="9" t="n"/>
      <c r="AL594" s="9" t="n"/>
      <c r="AM594" s="9" t="n"/>
      <c r="AN594" s="9" t="n"/>
      <c r="AO594" s="9" t="n"/>
      <c r="AP594" s="9" t="n"/>
      <c r="AQ594" s="9" t="n"/>
      <c r="AR594" s="9" t="n"/>
      <c r="AS594" s="9" t="n"/>
      <c r="AT594" s="9" t="n"/>
      <c r="AU594" s="9" t="n"/>
      <c r="AV594" s="9" t="n"/>
      <c r="AW594" s="9" t="n"/>
      <c r="AX594" s="9" t="n"/>
      <c r="AY594" s="9" t="n"/>
      <c r="AZ594" s="9" t="n"/>
      <c r="BA594" s="9" t="n"/>
    </row>
    <row r="595" ht="15.75" customHeight="1" s="18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  <c r="AH595" s="9" t="n"/>
      <c r="AI595" s="9" t="n"/>
      <c r="AJ595" s="9" t="n"/>
      <c r="AK595" s="9" t="n"/>
      <c r="AL595" s="9" t="n"/>
      <c r="AM595" s="9" t="n"/>
      <c r="AN595" s="9" t="n"/>
      <c r="AO595" s="9" t="n"/>
      <c r="AP595" s="9" t="n"/>
      <c r="AQ595" s="9" t="n"/>
      <c r="AR595" s="9" t="n"/>
      <c r="AS595" s="9" t="n"/>
      <c r="AT595" s="9" t="n"/>
      <c r="AU595" s="9" t="n"/>
      <c r="AV595" s="9" t="n"/>
      <c r="AW595" s="9" t="n"/>
      <c r="AX595" s="9" t="n"/>
      <c r="AY595" s="9" t="n"/>
      <c r="AZ595" s="9" t="n"/>
      <c r="BA595" s="9" t="n"/>
    </row>
    <row r="596" ht="15.75" customHeight="1" s="18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  <c r="AH596" s="9" t="n"/>
      <c r="AI596" s="9" t="n"/>
      <c r="AJ596" s="9" t="n"/>
      <c r="AK596" s="9" t="n"/>
      <c r="AL596" s="9" t="n"/>
      <c r="AM596" s="9" t="n"/>
      <c r="AN596" s="9" t="n"/>
      <c r="AO596" s="9" t="n"/>
      <c r="AP596" s="9" t="n"/>
      <c r="AQ596" s="9" t="n"/>
      <c r="AR596" s="9" t="n"/>
      <c r="AS596" s="9" t="n"/>
      <c r="AT596" s="9" t="n"/>
      <c r="AU596" s="9" t="n"/>
      <c r="AV596" s="9" t="n"/>
      <c r="AW596" s="9" t="n"/>
      <c r="AX596" s="9" t="n"/>
      <c r="AY596" s="9" t="n"/>
      <c r="AZ596" s="9" t="n"/>
      <c r="BA596" s="9" t="n"/>
    </row>
    <row r="597" ht="15.75" customHeight="1" s="18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  <c r="AH597" s="9" t="n"/>
      <c r="AI597" s="9" t="n"/>
      <c r="AJ597" s="9" t="n"/>
      <c r="AK597" s="9" t="n"/>
      <c r="AL597" s="9" t="n"/>
      <c r="AM597" s="9" t="n"/>
      <c r="AN597" s="9" t="n"/>
      <c r="AO597" s="9" t="n"/>
      <c r="AP597" s="9" t="n"/>
      <c r="AQ597" s="9" t="n"/>
      <c r="AR597" s="9" t="n"/>
      <c r="AS597" s="9" t="n"/>
      <c r="AT597" s="9" t="n"/>
      <c r="AU597" s="9" t="n"/>
      <c r="AV597" s="9" t="n"/>
      <c r="AW597" s="9" t="n"/>
      <c r="AX597" s="9" t="n"/>
      <c r="AY597" s="9" t="n"/>
      <c r="AZ597" s="9" t="n"/>
      <c r="BA597" s="9" t="n"/>
    </row>
    <row r="598" ht="15.75" customHeight="1" s="1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  <c r="AH598" s="9" t="n"/>
      <c r="AI598" s="9" t="n"/>
      <c r="AJ598" s="9" t="n"/>
      <c r="AK598" s="9" t="n"/>
      <c r="AL598" s="9" t="n"/>
      <c r="AM598" s="9" t="n"/>
      <c r="AN598" s="9" t="n"/>
      <c r="AO598" s="9" t="n"/>
      <c r="AP598" s="9" t="n"/>
      <c r="AQ598" s="9" t="n"/>
      <c r="AR598" s="9" t="n"/>
      <c r="AS598" s="9" t="n"/>
      <c r="AT598" s="9" t="n"/>
      <c r="AU598" s="9" t="n"/>
      <c r="AV598" s="9" t="n"/>
      <c r="AW598" s="9" t="n"/>
      <c r="AX598" s="9" t="n"/>
      <c r="AY598" s="9" t="n"/>
      <c r="AZ598" s="9" t="n"/>
      <c r="BA598" s="9" t="n"/>
    </row>
    <row r="599" ht="15.75" customHeight="1" s="18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  <c r="AH599" s="9" t="n"/>
      <c r="AI599" s="9" t="n"/>
      <c r="AJ599" s="9" t="n"/>
      <c r="AK599" s="9" t="n"/>
      <c r="AL599" s="9" t="n"/>
      <c r="AM599" s="9" t="n"/>
      <c r="AN599" s="9" t="n"/>
      <c r="AO599" s="9" t="n"/>
      <c r="AP599" s="9" t="n"/>
      <c r="AQ599" s="9" t="n"/>
      <c r="AR599" s="9" t="n"/>
      <c r="AS599" s="9" t="n"/>
      <c r="AT599" s="9" t="n"/>
      <c r="AU599" s="9" t="n"/>
      <c r="AV599" s="9" t="n"/>
      <c r="AW599" s="9" t="n"/>
      <c r="AX599" s="9" t="n"/>
      <c r="AY599" s="9" t="n"/>
      <c r="AZ599" s="9" t="n"/>
      <c r="BA599" s="9" t="n"/>
    </row>
    <row r="600" ht="15.75" customHeight="1" s="18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  <c r="AH600" s="9" t="n"/>
      <c r="AI600" s="9" t="n"/>
      <c r="AJ600" s="9" t="n"/>
      <c r="AK600" s="9" t="n"/>
      <c r="AL600" s="9" t="n"/>
      <c r="AM600" s="9" t="n"/>
      <c r="AN600" s="9" t="n"/>
      <c r="AO600" s="9" t="n"/>
      <c r="AP600" s="9" t="n"/>
      <c r="AQ600" s="9" t="n"/>
      <c r="AR600" s="9" t="n"/>
      <c r="AS600" s="9" t="n"/>
      <c r="AT600" s="9" t="n"/>
      <c r="AU600" s="9" t="n"/>
      <c r="AV600" s="9" t="n"/>
      <c r="AW600" s="9" t="n"/>
      <c r="AX600" s="9" t="n"/>
      <c r="AY600" s="9" t="n"/>
      <c r="AZ600" s="9" t="n"/>
      <c r="BA600" s="9" t="n"/>
    </row>
    <row r="601" ht="15.75" customHeight="1" s="18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  <c r="AH601" s="9" t="n"/>
      <c r="AI601" s="9" t="n"/>
      <c r="AJ601" s="9" t="n"/>
      <c r="AK601" s="9" t="n"/>
      <c r="AL601" s="9" t="n"/>
      <c r="AM601" s="9" t="n"/>
      <c r="AN601" s="9" t="n"/>
      <c r="AO601" s="9" t="n"/>
      <c r="AP601" s="9" t="n"/>
      <c r="AQ601" s="9" t="n"/>
      <c r="AR601" s="9" t="n"/>
      <c r="AS601" s="9" t="n"/>
      <c r="AT601" s="9" t="n"/>
      <c r="AU601" s="9" t="n"/>
      <c r="AV601" s="9" t="n"/>
      <c r="AW601" s="9" t="n"/>
      <c r="AX601" s="9" t="n"/>
      <c r="AY601" s="9" t="n"/>
      <c r="AZ601" s="9" t="n"/>
      <c r="BA601" s="9" t="n"/>
    </row>
    <row r="602" ht="15.75" customHeight="1" s="18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  <c r="AH602" s="9" t="n"/>
      <c r="AI602" s="9" t="n"/>
      <c r="AJ602" s="9" t="n"/>
      <c r="AK602" s="9" t="n"/>
      <c r="AL602" s="9" t="n"/>
      <c r="AM602" s="9" t="n"/>
      <c r="AN602" s="9" t="n"/>
      <c r="AO602" s="9" t="n"/>
      <c r="AP602" s="9" t="n"/>
      <c r="AQ602" s="9" t="n"/>
      <c r="AR602" s="9" t="n"/>
      <c r="AS602" s="9" t="n"/>
      <c r="AT602" s="9" t="n"/>
      <c r="AU602" s="9" t="n"/>
      <c r="AV602" s="9" t="n"/>
      <c r="AW602" s="9" t="n"/>
      <c r="AX602" s="9" t="n"/>
      <c r="AY602" s="9" t="n"/>
      <c r="AZ602" s="9" t="n"/>
      <c r="BA602" s="9" t="n"/>
    </row>
    <row r="603" ht="15.75" customHeight="1" s="18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  <c r="AH603" s="9" t="n"/>
      <c r="AI603" s="9" t="n"/>
      <c r="AJ603" s="9" t="n"/>
      <c r="AK603" s="9" t="n"/>
      <c r="AL603" s="9" t="n"/>
      <c r="AM603" s="9" t="n"/>
      <c r="AN603" s="9" t="n"/>
      <c r="AO603" s="9" t="n"/>
      <c r="AP603" s="9" t="n"/>
      <c r="AQ603" s="9" t="n"/>
      <c r="AR603" s="9" t="n"/>
      <c r="AS603" s="9" t="n"/>
      <c r="AT603" s="9" t="n"/>
      <c r="AU603" s="9" t="n"/>
      <c r="AV603" s="9" t="n"/>
      <c r="AW603" s="9" t="n"/>
      <c r="AX603" s="9" t="n"/>
      <c r="AY603" s="9" t="n"/>
      <c r="AZ603" s="9" t="n"/>
      <c r="BA603" s="9" t="n"/>
    </row>
    <row r="604" ht="15.75" customHeight="1" s="18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  <c r="AH604" s="9" t="n"/>
      <c r="AI604" s="9" t="n"/>
      <c r="AJ604" s="9" t="n"/>
      <c r="AK604" s="9" t="n"/>
      <c r="AL604" s="9" t="n"/>
      <c r="AM604" s="9" t="n"/>
      <c r="AN604" s="9" t="n"/>
      <c r="AO604" s="9" t="n"/>
      <c r="AP604" s="9" t="n"/>
      <c r="AQ604" s="9" t="n"/>
      <c r="AR604" s="9" t="n"/>
      <c r="AS604" s="9" t="n"/>
      <c r="AT604" s="9" t="n"/>
      <c r="AU604" s="9" t="n"/>
      <c r="AV604" s="9" t="n"/>
      <c r="AW604" s="9" t="n"/>
      <c r="AX604" s="9" t="n"/>
      <c r="AY604" s="9" t="n"/>
      <c r="AZ604" s="9" t="n"/>
      <c r="BA604" s="9" t="n"/>
    </row>
    <row r="605" ht="15.75" customHeight="1" s="18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  <c r="AH605" s="9" t="n"/>
      <c r="AI605" s="9" t="n"/>
      <c r="AJ605" s="9" t="n"/>
      <c r="AK605" s="9" t="n"/>
      <c r="AL605" s="9" t="n"/>
      <c r="AM605" s="9" t="n"/>
      <c r="AN605" s="9" t="n"/>
      <c r="AO605" s="9" t="n"/>
      <c r="AP605" s="9" t="n"/>
      <c r="AQ605" s="9" t="n"/>
      <c r="AR605" s="9" t="n"/>
      <c r="AS605" s="9" t="n"/>
      <c r="AT605" s="9" t="n"/>
      <c r="AU605" s="9" t="n"/>
      <c r="AV605" s="9" t="n"/>
      <c r="AW605" s="9" t="n"/>
      <c r="AX605" s="9" t="n"/>
      <c r="AY605" s="9" t="n"/>
      <c r="AZ605" s="9" t="n"/>
      <c r="BA605" s="9" t="n"/>
    </row>
    <row r="606" ht="15.75" customHeight="1" s="18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  <c r="AH606" s="9" t="n"/>
      <c r="AI606" s="9" t="n"/>
      <c r="AJ606" s="9" t="n"/>
      <c r="AK606" s="9" t="n"/>
      <c r="AL606" s="9" t="n"/>
      <c r="AM606" s="9" t="n"/>
      <c r="AN606" s="9" t="n"/>
      <c r="AO606" s="9" t="n"/>
      <c r="AP606" s="9" t="n"/>
      <c r="AQ606" s="9" t="n"/>
      <c r="AR606" s="9" t="n"/>
      <c r="AS606" s="9" t="n"/>
      <c r="AT606" s="9" t="n"/>
      <c r="AU606" s="9" t="n"/>
      <c r="AV606" s="9" t="n"/>
      <c r="AW606" s="9" t="n"/>
      <c r="AX606" s="9" t="n"/>
      <c r="AY606" s="9" t="n"/>
      <c r="AZ606" s="9" t="n"/>
      <c r="BA606" s="9" t="n"/>
    </row>
    <row r="607" ht="15.75" customHeight="1" s="18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  <c r="AH607" s="9" t="n"/>
      <c r="AI607" s="9" t="n"/>
      <c r="AJ607" s="9" t="n"/>
      <c r="AK607" s="9" t="n"/>
      <c r="AL607" s="9" t="n"/>
      <c r="AM607" s="9" t="n"/>
      <c r="AN607" s="9" t="n"/>
      <c r="AO607" s="9" t="n"/>
      <c r="AP607" s="9" t="n"/>
      <c r="AQ607" s="9" t="n"/>
      <c r="AR607" s="9" t="n"/>
      <c r="AS607" s="9" t="n"/>
      <c r="AT607" s="9" t="n"/>
      <c r="AU607" s="9" t="n"/>
      <c r="AV607" s="9" t="n"/>
      <c r="AW607" s="9" t="n"/>
      <c r="AX607" s="9" t="n"/>
      <c r="AY607" s="9" t="n"/>
      <c r="AZ607" s="9" t="n"/>
      <c r="BA607" s="9" t="n"/>
    </row>
    <row r="608" ht="15.75" customHeight="1" s="1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  <c r="AH608" s="9" t="n"/>
      <c r="AI608" s="9" t="n"/>
      <c r="AJ608" s="9" t="n"/>
      <c r="AK608" s="9" t="n"/>
      <c r="AL608" s="9" t="n"/>
      <c r="AM608" s="9" t="n"/>
      <c r="AN608" s="9" t="n"/>
      <c r="AO608" s="9" t="n"/>
      <c r="AP608" s="9" t="n"/>
      <c r="AQ608" s="9" t="n"/>
      <c r="AR608" s="9" t="n"/>
      <c r="AS608" s="9" t="n"/>
      <c r="AT608" s="9" t="n"/>
      <c r="AU608" s="9" t="n"/>
      <c r="AV608" s="9" t="n"/>
      <c r="AW608" s="9" t="n"/>
      <c r="AX608" s="9" t="n"/>
      <c r="AY608" s="9" t="n"/>
      <c r="AZ608" s="9" t="n"/>
      <c r="BA608" s="9" t="n"/>
    </row>
    <row r="609" ht="15.75" customHeight="1" s="18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  <c r="AH609" s="9" t="n"/>
      <c r="AI609" s="9" t="n"/>
      <c r="AJ609" s="9" t="n"/>
      <c r="AK609" s="9" t="n"/>
      <c r="AL609" s="9" t="n"/>
      <c r="AM609" s="9" t="n"/>
      <c r="AN609" s="9" t="n"/>
      <c r="AO609" s="9" t="n"/>
      <c r="AP609" s="9" t="n"/>
      <c r="AQ609" s="9" t="n"/>
      <c r="AR609" s="9" t="n"/>
      <c r="AS609" s="9" t="n"/>
      <c r="AT609" s="9" t="n"/>
      <c r="AU609" s="9" t="n"/>
      <c r="AV609" s="9" t="n"/>
      <c r="AW609" s="9" t="n"/>
      <c r="AX609" s="9" t="n"/>
      <c r="AY609" s="9" t="n"/>
      <c r="AZ609" s="9" t="n"/>
      <c r="BA609" s="9" t="n"/>
    </row>
    <row r="610" ht="15.75" customHeight="1" s="18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  <c r="AH610" s="9" t="n"/>
      <c r="AI610" s="9" t="n"/>
      <c r="AJ610" s="9" t="n"/>
      <c r="AK610" s="9" t="n"/>
      <c r="AL610" s="9" t="n"/>
      <c r="AM610" s="9" t="n"/>
      <c r="AN610" s="9" t="n"/>
      <c r="AO610" s="9" t="n"/>
      <c r="AP610" s="9" t="n"/>
      <c r="AQ610" s="9" t="n"/>
      <c r="AR610" s="9" t="n"/>
      <c r="AS610" s="9" t="n"/>
      <c r="AT610" s="9" t="n"/>
      <c r="AU610" s="9" t="n"/>
      <c r="AV610" s="9" t="n"/>
      <c r="AW610" s="9" t="n"/>
      <c r="AX610" s="9" t="n"/>
      <c r="AY610" s="9" t="n"/>
      <c r="AZ610" s="9" t="n"/>
      <c r="BA610" s="9" t="n"/>
    </row>
    <row r="611" ht="15.75" customHeight="1" s="18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  <c r="AH611" s="9" t="n"/>
      <c r="AI611" s="9" t="n"/>
      <c r="AJ611" s="9" t="n"/>
      <c r="AK611" s="9" t="n"/>
      <c r="AL611" s="9" t="n"/>
      <c r="AM611" s="9" t="n"/>
      <c r="AN611" s="9" t="n"/>
      <c r="AO611" s="9" t="n"/>
      <c r="AP611" s="9" t="n"/>
      <c r="AQ611" s="9" t="n"/>
      <c r="AR611" s="9" t="n"/>
      <c r="AS611" s="9" t="n"/>
      <c r="AT611" s="9" t="n"/>
      <c r="AU611" s="9" t="n"/>
      <c r="AV611" s="9" t="n"/>
      <c r="AW611" s="9" t="n"/>
      <c r="AX611" s="9" t="n"/>
      <c r="AY611" s="9" t="n"/>
      <c r="AZ611" s="9" t="n"/>
      <c r="BA611" s="9" t="n"/>
    </row>
    <row r="612" ht="15.75" customHeight="1" s="18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  <c r="AH612" s="9" t="n"/>
      <c r="AI612" s="9" t="n"/>
      <c r="AJ612" s="9" t="n"/>
      <c r="AK612" s="9" t="n"/>
      <c r="AL612" s="9" t="n"/>
      <c r="AM612" s="9" t="n"/>
      <c r="AN612" s="9" t="n"/>
      <c r="AO612" s="9" t="n"/>
      <c r="AP612" s="9" t="n"/>
      <c r="AQ612" s="9" t="n"/>
      <c r="AR612" s="9" t="n"/>
      <c r="AS612" s="9" t="n"/>
      <c r="AT612" s="9" t="n"/>
      <c r="AU612" s="9" t="n"/>
      <c r="AV612" s="9" t="n"/>
      <c r="AW612" s="9" t="n"/>
      <c r="AX612" s="9" t="n"/>
      <c r="AY612" s="9" t="n"/>
      <c r="AZ612" s="9" t="n"/>
      <c r="BA612" s="9" t="n"/>
    </row>
    <row r="613" ht="15.75" customHeight="1" s="18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  <c r="AH613" s="9" t="n"/>
      <c r="AI613" s="9" t="n"/>
      <c r="AJ613" s="9" t="n"/>
      <c r="AK613" s="9" t="n"/>
      <c r="AL613" s="9" t="n"/>
      <c r="AM613" s="9" t="n"/>
      <c r="AN613" s="9" t="n"/>
      <c r="AO613" s="9" t="n"/>
      <c r="AP613" s="9" t="n"/>
      <c r="AQ613" s="9" t="n"/>
      <c r="AR613" s="9" t="n"/>
      <c r="AS613" s="9" t="n"/>
      <c r="AT613" s="9" t="n"/>
      <c r="AU613" s="9" t="n"/>
      <c r="AV613" s="9" t="n"/>
      <c r="AW613" s="9" t="n"/>
      <c r="AX613" s="9" t="n"/>
      <c r="AY613" s="9" t="n"/>
      <c r="AZ613" s="9" t="n"/>
      <c r="BA613" s="9" t="n"/>
    </row>
    <row r="614" ht="15.75" customHeight="1" s="18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  <c r="AH614" s="9" t="n"/>
      <c r="AI614" s="9" t="n"/>
      <c r="AJ614" s="9" t="n"/>
      <c r="AK614" s="9" t="n"/>
      <c r="AL614" s="9" t="n"/>
      <c r="AM614" s="9" t="n"/>
      <c r="AN614" s="9" t="n"/>
      <c r="AO614" s="9" t="n"/>
      <c r="AP614" s="9" t="n"/>
      <c r="AQ614" s="9" t="n"/>
      <c r="AR614" s="9" t="n"/>
      <c r="AS614" s="9" t="n"/>
      <c r="AT614" s="9" t="n"/>
      <c r="AU614" s="9" t="n"/>
      <c r="AV614" s="9" t="n"/>
      <c r="AW614" s="9" t="n"/>
      <c r="AX614" s="9" t="n"/>
      <c r="AY614" s="9" t="n"/>
      <c r="AZ614" s="9" t="n"/>
      <c r="BA614" s="9" t="n"/>
    </row>
    <row r="615" ht="15.75" customHeight="1" s="18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  <c r="AH615" s="9" t="n"/>
      <c r="AI615" s="9" t="n"/>
      <c r="AJ615" s="9" t="n"/>
      <c r="AK615" s="9" t="n"/>
      <c r="AL615" s="9" t="n"/>
      <c r="AM615" s="9" t="n"/>
      <c r="AN615" s="9" t="n"/>
      <c r="AO615" s="9" t="n"/>
      <c r="AP615" s="9" t="n"/>
      <c r="AQ615" s="9" t="n"/>
      <c r="AR615" s="9" t="n"/>
      <c r="AS615" s="9" t="n"/>
      <c r="AT615" s="9" t="n"/>
      <c r="AU615" s="9" t="n"/>
      <c r="AV615" s="9" t="n"/>
      <c r="AW615" s="9" t="n"/>
      <c r="AX615" s="9" t="n"/>
      <c r="AY615" s="9" t="n"/>
      <c r="AZ615" s="9" t="n"/>
      <c r="BA615" s="9" t="n"/>
    </row>
    <row r="616" ht="15.75" customHeight="1" s="18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  <c r="AH616" s="9" t="n"/>
      <c r="AI616" s="9" t="n"/>
      <c r="AJ616" s="9" t="n"/>
      <c r="AK616" s="9" t="n"/>
      <c r="AL616" s="9" t="n"/>
      <c r="AM616" s="9" t="n"/>
      <c r="AN616" s="9" t="n"/>
      <c r="AO616" s="9" t="n"/>
      <c r="AP616" s="9" t="n"/>
      <c r="AQ616" s="9" t="n"/>
      <c r="AR616" s="9" t="n"/>
      <c r="AS616" s="9" t="n"/>
      <c r="AT616" s="9" t="n"/>
      <c r="AU616" s="9" t="n"/>
      <c r="AV616" s="9" t="n"/>
      <c r="AW616" s="9" t="n"/>
      <c r="AX616" s="9" t="n"/>
      <c r="AY616" s="9" t="n"/>
      <c r="AZ616" s="9" t="n"/>
      <c r="BA616" s="9" t="n"/>
    </row>
    <row r="617" ht="15.75" customHeight="1" s="18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  <c r="AH617" s="9" t="n"/>
      <c r="AI617" s="9" t="n"/>
      <c r="AJ617" s="9" t="n"/>
      <c r="AK617" s="9" t="n"/>
      <c r="AL617" s="9" t="n"/>
      <c r="AM617" s="9" t="n"/>
      <c r="AN617" s="9" t="n"/>
      <c r="AO617" s="9" t="n"/>
      <c r="AP617" s="9" t="n"/>
      <c r="AQ617" s="9" t="n"/>
      <c r="AR617" s="9" t="n"/>
      <c r="AS617" s="9" t="n"/>
      <c r="AT617" s="9" t="n"/>
      <c r="AU617" s="9" t="n"/>
      <c r="AV617" s="9" t="n"/>
      <c r="AW617" s="9" t="n"/>
      <c r="AX617" s="9" t="n"/>
      <c r="AY617" s="9" t="n"/>
      <c r="AZ617" s="9" t="n"/>
      <c r="BA617" s="9" t="n"/>
    </row>
    <row r="618" ht="15.75" customHeight="1" s="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  <c r="AH618" s="9" t="n"/>
      <c r="AI618" s="9" t="n"/>
      <c r="AJ618" s="9" t="n"/>
      <c r="AK618" s="9" t="n"/>
      <c r="AL618" s="9" t="n"/>
      <c r="AM618" s="9" t="n"/>
      <c r="AN618" s="9" t="n"/>
      <c r="AO618" s="9" t="n"/>
      <c r="AP618" s="9" t="n"/>
      <c r="AQ618" s="9" t="n"/>
      <c r="AR618" s="9" t="n"/>
      <c r="AS618" s="9" t="n"/>
      <c r="AT618" s="9" t="n"/>
      <c r="AU618" s="9" t="n"/>
      <c r="AV618" s="9" t="n"/>
      <c r="AW618" s="9" t="n"/>
      <c r="AX618" s="9" t="n"/>
      <c r="AY618" s="9" t="n"/>
      <c r="AZ618" s="9" t="n"/>
      <c r="BA618" s="9" t="n"/>
    </row>
    <row r="619" ht="15.75" customHeight="1" s="18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  <c r="AH619" s="9" t="n"/>
      <c r="AI619" s="9" t="n"/>
      <c r="AJ619" s="9" t="n"/>
      <c r="AK619" s="9" t="n"/>
      <c r="AL619" s="9" t="n"/>
      <c r="AM619" s="9" t="n"/>
      <c r="AN619" s="9" t="n"/>
      <c r="AO619" s="9" t="n"/>
      <c r="AP619" s="9" t="n"/>
      <c r="AQ619" s="9" t="n"/>
      <c r="AR619" s="9" t="n"/>
      <c r="AS619" s="9" t="n"/>
      <c r="AT619" s="9" t="n"/>
      <c r="AU619" s="9" t="n"/>
      <c r="AV619" s="9" t="n"/>
      <c r="AW619" s="9" t="n"/>
      <c r="AX619" s="9" t="n"/>
      <c r="AY619" s="9" t="n"/>
      <c r="AZ619" s="9" t="n"/>
      <c r="BA619" s="9" t="n"/>
    </row>
    <row r="620" ht="15.75" customHeight="1" s="18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  <c r="AH620" s="9" t="n"/>
      <c r="AI620" s="9" t="n"/>
      <c r="AJ620" s="9" t="n"/>
      <c r="AK620" s="9" t="n"/>
      <c r="AL620" s="9" t="n"/>
      <c r="AM620" s="9" t="n"/>
      <c r="AN620" s="9" t="n"/>
      <c r="AO620" s="9" t="n"/>
      <c r="AP620" s="9" t="n"/>
      <c r="AQ620" s="9" t="n"/>
      <c r="AR620" s="9" t="n"/>
      <c r="AS620" s="9" t="n"/>
      <c r="AT620" s="9" t="n"/>
      <c r="AU620" s="9" t="n"/>
      <c r="AV620" s="9" t="n"/>
      <c r="AW620" s="9" t="n"/>
      <c r="AX620" s="9" t="n"/>
      <c r="AY620" s="9" t="n"/>
      <c r="AZ620" s="9" t="n"/>
      <c r="BA620" s="9" t="n"/>
    </row>
    <row r="621" ht="15.75" customHeight="1" s="18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  <c r="AH621" s="9" t="n"/>
      <c r="AI621" s="9" t="n"/>
      <c r="AJ621" s="9" t="n"/>
      <c r="AK621" s="9" t="n"/>
      <c r="AL621" s="9" t="n"/>
      <c r="AM621" s="9" t="n"/>
      <c r="AN621" s="9" t="n"/>
      <c r="AO621" s="9" t="n"/>
      <c r="AP621" s="9" t="n"/>
      <c r="AQ621" s="9" t="n"/>
      <c r="AR621" s="9" t="n"/>
      <c r="AS621" s="9" t="n"/>
      <c r="AT621" s="9" t="n"/>
      <c r="AU621" s="9" t="n"/>
      <c r="AV621" s="9" t="n"/>
      <c r="AW621" s="9" t="n"/>
      <c r="AX621" s="9" t="n"/>
      <c r="AY621" s="9" t="n"/>
      <c r="AZ621" s="9" t="n"/>
      <c r="BA621" s="9" t="n"/>
    </row>
    <row r="622" ht="15.75" customHeight="1" s="18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  <c r="AH622" s="9" t="n"/>
      <c r="AI622" s="9" t="n"/>
      <c r="AJ622" s="9" t="n"/>
      <c r="AK622" s="9" t="n"/>
      <c r="AL622" s="9" t="n"/>
      <c r="AM622" s="9" t="n"/>
      <c r="AN622" s="9" t="n"/>
      <c r="AO622" s="9" t="n"/>
      <c r="AP622" s="9" t="n"/>
      <c r="AQ622" s="9" t="n"/>
      <c r="AR622" s="9" t="n"/>
      <c r="AS622" s="9" t="n"/>
      <c r="AT622" s="9" t="n"/>
      <c r="AU622" s="9" t="n"/>
      <c r="AV622" s="9" t="n"/>
      <c r="AW622" s="9" t="n"/>
      <c r="AX622" s="9" t="n"/>
      <c r="AY622" s="9" t="n"/>
      <c r="AZ622" s="9" t="n"/>
      <c r="BA622" s="9" t="n"/>
    </row>
    <row r="623" ht="15.75" customHeight="1" s="18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  <c r="AH623" s="9" t="n"/>
      <c r="AI623" s="9" t="n"/>
      <c r="AJ623" s="9" t="n"/>
      <c r="AK623" s="9" t="n"/>
      <c r="AL623" s="9" t="n"/>
      <c r="AM623" s="9" t="n"/>
      <c r="AN623" s="9" t="n"/>
      <c r="AO623" s="9" t="n"/>
      <c r="AP623" s="9" t="n"/>
      <c r="AQ623" s="9" t="n"/>
      <c r="AR623" s="9" t="n"/>
      <c r="AS623" s="9" t="n"/>
      <c r="AT623" s="9" t="n"/>
      <c r="AU623" s="9" t="n"/>
      <c r="AV623" s="9" t="n"/>
      <c r="AW623" s="9" t="n"/>
      <c r="AX623" s="9" t="n"/>
      <c r="AY623" s="9" t="n"/>
      <c r="AZ623" s="9" t="n"/>
      <c r="BA623" s="9" t="n"/>
    </row>
    <row r="624" ht="15.75" customHeight="1" s="18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  <c r="AH624" s="9" t="n"/>
      <c r="AI624" s="9" t="n"/>
      <c r="AJ624" s="9" t="n"/>
      <c r="AK624" s="9" t="n"/>
      <c r="AL624" s="9" t="n"/>
      <c r="AM624" s="9" t="n"/>
      <c r="AN624" s="9" t="n"/>
      <c r="AO624" s="9" t="n"/>
      <c r="AP624" s="9" t="n"/>
      <c r="AQ624" s="9" t="n"/>
      <c r="AR624" s="9" t="n"/>
      <c r="AS624" s="9" t="n"/>
      <c r="AT624" s="9" t="n"/>
      <c r="AU624" s="9" t="n"/>
      <c r="AV624" s="9" t="n"/>
      <c r="AW624" s="9" t="n"/>
      <c r="AX624" s="9" t="n"/>
      <c r="AY624" s="9" t="n"/>
      <c r="AZ624" s="9" t="n"/>
      <c r="BA624" s="9" t="n"/>
    </row>
    <row r="625" ht="15.75" customHeight="1" s="18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  <c r="AH625" s="9" t="n"/>
      <c r="AI625" s="9" t="n"/>
      <c r="AJ625" s="9" t="n"/>
      <c r="AK625" s="9" t="n"/>
      <c r="AL625" s="9" t="n"/>
      <c r="AM625" s="9" t="n"/>
      <c r="AN625" s="9" t="n"/>
      <c r="AO625" s="9" t="n"/>
      <c r="AP625" s="9" t="n"/>
      <c r="AQ625" s="9" t="n"/>
      <c r="AR625" s="9" t="n"/>
      <c r="AS625" s="9" t="n"/>
      <c r="AT625" s="9" t="n"/>
      <c r="AU625" s="9" t="n"/>
      <c r="AV625" s="9" t="n"/>
      <c r="AW625" s="9" t="n"/>
      <c r="AX625" s="9" t="n"/>
      <c r="AY625" s="9" t="n"/>
      <c r="AZ625" s="9" t="n"/>
      <c r="BA625" s="9" t="n"/>
    </row>
    <row r="626" ht="15.75" customHeight="1" s="18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  <c r="AH626" s="9" t="n"/>
      <c r="AI626" s="9" t="n"/>
      <c r="AJ626" s="9" t="n"/>
      <c r="AK626" s="9" t="n"/>
      <c r="AL626" s="9" t="n"/>
      <c r="AM626" s="9" t="n"/>
      <c r="AN626" s="9" t="n"/>
      <c r="AO626" s="9" t="n"/>
      <c r="AP626" s="9" t="n"/>
      <c r="AQ626" s="9" t="n"/>
      <c r="AR626" s="9" t="n"/>
      <c r="AS626" s="9" t="n"/>
      <c r="AT626" s="9" t="n"/>
      <c r="AU626" s="9" t="n"/>
      <c r="AV626" s="9" t="n"/>
      <c r="AW626" s="9" t="n"/>
      <c r="AX626" s="9" t="n"/>
      <c r="AY626" s="9" t="n"/>
      <c r="AZ626" s="9" t="n"/>
      <c r="BA626" s="9" t="n"/>
    </row>
    <row r="627" ht="15.75" customHeight="1" s="18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  <c r="AH627" s="9" t="n"/>
      <c r="AI627" s="9" t="n"/>
      <c r="AJ627" s="9" t="n"/>
      <c r="AK627" s="9" t="n"/>
      <c r="AL627" s="9" t="n"/>
      <c r="AM627" s="9" t="n"/>
      <c r="AN627" s="9" t="n"/>
      <c r="AO627" s="9" t="n"/>
      <c r="AP627" s="9" t="n"/>
      <c r="AQ627" s="9" t="n"/>
      <c r="AR627" s="9" t="n"/>
      <c r="AS627" s="9" t="n"/>
      <c r="AT627" s="9" t="n"/>
      <c r="AU627" s="9" t="n"/>
      <c r="AV627" s="9" t="n"/>
      <c r="AW627" s="9" t="n"/>
      <c r="AX627" s="9" t="n"/>
      <c r="AY627" s="9" t="n"/>
      <c r="AZ627" s="9" t="n"/>
      <c r="BA627" s="9" t="n"/>
    </row>
    <row r="628" ht="15.75" customHeight="1" s="1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  <c r="AH628" s="9" t="n"/>
      <c r="AI628" s="9" t="n"/>
      <c r="AJ628" s="9" t="n"/>
      <c r="AK628" s="9" t="n"/>
      <c r="AL628" s="9" t="n"/>
      <c r="AM628" s="9" t="n"/>
      <c r="AN628" s="9" t="n"/>
      <c r="AO628" s="9" t="n"/>
      <c r="AP628" s="9" t="n"/>
      <c r="AQ628" s="9" t="n"/>
      <c r="AR628" s="9" t="n"/>
      <c r="AS628" s="9" t="n"/>
      <c r="AT628" s="9" t="n"/>
      <c r="AU628" s="9" t="n"/>
      <c r="AV628" s="9" t="n"/>
      <c r="AW628" s="9" t="n"/>
      <c r="AX628" s="9" t="n"/>
      <c r="AY628" s="9" t="n"/>
      <c r="AZ628" s="9" t="n"/>
      <c r="BA628" s="9" t="n"/>
    </row>
    <row r="629" ht="15.75" customHeight="1" s="18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  <c r="AH629" s="9" t="n"/>
      <c r="AI629" s="9" t="n"/>
      <c r="AJ629" s="9" t="n"/>
      <c r="AK629" s="9" t="n"/>
      <c r="AL629" s="9" t="n"/>
      <c r="AM629" s="9" t="n"/>
      <c r="AN629" s="9" t="n"/>
      <c r="AO629" s="9" t="n"/>
      <c r="AP629" s="9" t="n"/>
      <c r="AQ629" s="9" t="n"/>
      <c r="AR629" s="9" t="n"/>
      <c r="AS629" s="9" t="n"/>
      <c r="AT629" s="9" t="n"/>
      <c r="AU629" s="9" t="n"/>
      <c r="AV629" s="9" t="n"/>
      <c r="AW629" s="9" t="n"/>
      <c r="AX629" s="9" t="n"/>
      <c r="AY629" s="9" t="n"/>
      <c r="AZ629" s="9" t="n"/>
      <c r="BA629" s="9" t="n"/>
    </row>
    <row r="630" ht="15.75" customHeight="1" s="18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  <c r="AH630" s="9" t="n"/>
      <c r="AI630" s="9" t="n"/>
      <c r="AJ630" s="9" t="n"/>
      <c r="AK630" s="9" t="n"/>
      <c r="AL630" s="9" t="n"/>
      <c r="AM630" s="9" t="n"/>
      <c r="AN630" s="9" t="n"/>
      <c r="AO630" s="9" t="n"/>
      <c r="AP630" s="9" t="n"/>
      <c r="AQ630" s="9" t="n"/>
      <c r="AR630" s="9" t="n"/>
      <c r="AS630" s="9" t="n"/>
      <c r="AT630" s="9" t="n"/>
      <c r="AU630" s="9" t="n"/>
      <c r="AV630" s="9" t="n"/>
      <c r="AW630" s="9" t="n"/>
      <c r="AX630" s="9" t="n"/>
      <c r="AY630" s="9" t="n"/>
      <c r="AZ630" s="9" t="n"/>
      <c r="BA630" s="9" t="n"/>
    </row>
    <row r="631" ht="15.75" customHeight="1" s="18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  <c r="AH631" s="9" t="n"/>
      <c r="AI631" s="9" t="n"/>
      <c r="AJ631" s="9" t="n"/>
      <c r="AK631" s="9" t="n"/>
      <c r="AL631" s="9" t="n"/>
      <c r="AM631" s="9" t="n"/>
      <c r="AN631" s="9" t="n"/>
      <c r="AO631" s="9" t="n"/>
      <c r="AP631" s="9" t="n"/>
      <c r="AQ631" s="9" t="n"/>
      <c r="AR631" s="9" t="n"/>
      <c r="AS631" s="9" t="n"/>
      <c r="AT631" s="9" t="n"/>
      <c r="AU631" s="9" t="n"/>
      <c r="AV631" s="9" t="n"/>
      <c r="AW631" s="9" t="n"/>
      <c r="AX631" s="9" t="n"/>
      <c r="AY631" s="9" t="n"/>
      <c r="AZ631" s="9" t="n"/>
      <c r="BA631" s="9" t="n"/>
    </row>
    <row r="632" ht="15.75" customHeight="1" s="18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  <c r="AH632" s="9" t="n"/>
      <c r="AI632" s="9" t="n"/>
      <c r="AJ632" s="9" t="n"/>
      <c r="AK632" s="9" t="n"/>
      <c r="AL632" s="9" t="n"/>
      <c r="AM632" s="9" t="n"/>
      <c r="AN632" s="9" t="n"/>
      <c r="AO632" s="9" t="n"/>
      <c r="AP632" s="9" t="n"/>
      <c r="AQ632" s="9" t="n"/>
      <c r="AR632" s="9" t="n"/>
      <c r="AS632" s="9" t="n"/>
      <c r="AT632" s="9" t="n"/>
      <c r="AU632" s="9" t="n"/>
      <c r="AV632" s="9" t="n"/>
      <c r="AW632" s="9" t="n"/>
      <c r="AX632" s="9" t="n"/>
      <c r="AY632" s="9" t="n"/>
      <c r="AZ632" s="9" t="n"/>
      <c r="BA632" s="9" t="n"/>
    </row>
    <row r="633" ht="15.75" customHeight="1" s="18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  <c r="AH633" s="9" t="n"/>
      <c r="AI633" s="9" t="n"/>
      <c r="AJ633" s="9" t="n"/>
      <c r="AK633" s="9" t="n"/>
      <c r="AL633" s="9" t="n"/>
      <c r="AM633" s="9" t="n"/>
      <c r="AN633" s="9" t="n"/>
      <c r="AO633" s="9" t="n"/>
      <c r="AP633" s="9" t="n"/>
      <c r="AQ633" s="9" t="n"/>
      <c r="AR633" s="9" t="n"/>
      <c r="AS633" s="9" t="n"/>
      <c r="AT633" s="9" t="n"/>
      <c r="AU633" s="9" t="n"/>
      <c r="AV633" s="9" t="n"/>
      <c r="AW633" s="9" t="n"/>
      <c r="AX633" s="9" t="n"/>
      <c r="AY633" s="9" t="n"/>
      <c r="AZ633" s="9" t="n"/>
      <c r="BA633" s="9" t="n"/>
    </row>
    <row r="634" ht="15.75" customHeight="1" s="18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  <c r="AH634" s="9" t="n"/>
      <c r="AI634" s="9" t="n"/>
      <c r="AJ634" s="9" t="n"/>
      <c r="AK634" s="9" t="n"/>
      <c r="AL634" s="9" t="n"/>
      <c r="AM634" s="9" t="n"/>
      <c r="AN634" s="9" t="n"/>
      <c r="AO634" s="9" t="n"/>
      <c r="AP634" s="9" t="n"/>
      <c r="AQ634" s="9" t="n"/>
      <c r="AR634" s="9" t="n"/>
      <c r="AS634" s="9" t="n"/>
      <c r="AT634" s="9" t="n"/>
      <c r="AU634" s="9" t="n"/>
      <c r="AV634" s="9" t="n"/>
      <c r="AW634" s="9" t="n"/>
      <c r="AX634" s="9" t="n"/>
      <c r="AY634" s="9" t="n"/>
      <c r="AZ634" s="9" t="n"/>
      <c r="BA634" s="9" t="n"/>
    </row>
    <row r="635" ht="15.75" customHeight="1" s="18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  <c r="AH635" s="9" t="n"/>
      <c r="AI635" s="9" t="n"/>
      <c r="AJ635" s="9" t="n"/>
      <c r="AK635" s="9" t="n"/>
      <c r="AL635" s="9" t="n"/>
      <c r="AM635" s="9" t="n"/>
      <c r="AN635" s="9" t="n"/>
      <c r="AO635" s="9" t="n"/>
      <c r="AP635" s="9" t="n"/>
      <c r="AQ635" s="9" t="n"/>
      <c r="AR635" s="9" t="n"/>
      <c r="AS635" s="9" t="n"/>
      <c r="AT635" s="9" t="n"/>
      <c r="AU635" s="9" t="n"/>
      <c r="AV635" s="9" t="n"/>
      <c r="AW635" s="9" t="n"/>
      <c r="AX635" s="9" t="n"/>
      <c r="AY635" s="9" t="n"/>
      <c r="AZ635" s="9" t="n"/>
      <c r="BA635" s="9" t="n"/>
    </row>
    <row r="636" ht="15.75" customHeight="1" s="18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  <c r="AH636" s="9" t="n"/>
      <c r="AI636" s="9" t="n"/>
      <c r="AJ636" s="9" t="n"/>
      <c r="AK636" s="9" t="n"/>
      <c r="AL636" s="9" t="n"/>
      <c r="AM636" s="9" t="n"/>
      <c r="AN636" s="9" t="n"/>
      <c r="AO636" s="9" t="n"/>
      <c r="AP636" s="9" t="n"/>
      <c r="AQ636" s="9" t="n"/>
      <c r="AR636" s="9" t="n"/>
      <c r="AS636" s="9" t="n"/>
      <c r="AT636" s="9" t="n"/>
      <c r="AU636" s="9" t="n"/>
      <c r="AV636" s="9" t="n"/>
      <c r="AW636" s="9" t="n"/>
      <c r="AX636" s="9" t="n"/>
      <c r="AY636" s="9" t="n"/>
      <c r="AZ636" s="9" t="n"/>
      <c r="BA636" s="9" t="n"/>
    </row>
    <row r="637" ht="15.75" customHeight="1" s="18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  <c r="AH637" s="9" t="n"/>
      <c r="AI637" s="9" t="n"/>
      <c r="AJ637" s="9" t="n"/>
      <c r="AK637" s="9" t="n"/>
      <c r="AL637" s="9" t="n"/>
      <c r="AM637" s="9" t="n"/>
      <c r="AN637" s="9" t="n"/>
      <c r="AO637" s="9" t="n"/>
      <c r="AP637" s="9" t="n"/>
      <c r="AQ637" s="9" t="n"/>
      <c r="AR637" s="9" t="n"/>
      <c r="AS637" s="9" t="n"/>
      <c r="AT637" s="9" t="n"/>
      <c r="AU637" s="9" t="n"/>
      <c r="AV637" s="9" t="n"/>
      <c r="AW637" s="9" t="n"/>
      <c r="AX637" s="9" t="n"/>
      <c r="AY637" s="9" t="n"/>
      <c r="AZ637" s="9" t="n"/>
      <c r="BA637" s="9" t="n"/>
    </row>
    <row r="638" ht="15.75" customHeight="1" s="1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  <c r="AH638" s="9" t="n"/>
      <c r="AI638" s="9" t="n"/>
      <c r="AJ638" s="9" t="n"/>
      <c r="AK638" s="9" t="n"/>
      <c r="AL638" s="9" t="n"/>
      <c r="AM638" s="9" t="n"/>
      <c r="AN638" s="9" t="n"/>
      <c r="AO638" s="9" t="n"/>
      <c r="AP638" s="9" t="n"/>
      <c r="AQ638" s="9" t="n"/>
      <c r="AR638" s="9" t="n"/>
      <c r="AS638" s="9" t="n"/>
      <c r="AT638" s="9" t="n"/>
      <c r="AU638" s="9" t="n"/>
      <c r="AV638" s="9" t="n"/>
      <c r="AW638" s="9" t="n"/>
      <c r="AX638" s="9" t="n"/>
      <c r="AY638" s="9" t="n"/>
      <c r="AZ638" s="9" t="n"/>
      <c r="BA638" s="9" t="n"/>
    </row>
    <row r="639" ht="15.75" customHeight="1" s="18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  <c r="AH639" s="9" t="n"/>
      <c r="AI639" s="9" t="n"/>
      <c r="AJ639" s="9" t="n"/>
      <c r="AK639" s="9" t="n"/>
      <c r="AL639" s="9" t="n"/>
      <c r="AM639" s="9" t="n"/>
      <c r="AN639" s="9" t="n"/>
      <c r="AO639" s="9" t="n"/>
      <c r="AP639" s="9" t="n"/>
      <c r="AQ639" s="9" t="n"/>
      <c r="AR639" s="9" t="n"/>
      <c r="AS639" s="9" t="n"/>
      <c r="AT639" s="9" t="n"/>
      <c r="AU639" s="9" t="n"/>
      <c r="AV639" s="9" t="n"/>
      <c r="AW639" s="9" t="n"/>
      <c r="AX639" s="9" t="n"/>
      <c r="AY639" s="9" t="n"/>
      <c r="AZ639" s="9" t="n"/>
      <c r="BA639" s="9" t="n"/>
    </row>
    <row r="640" ht="15.75" customHeight="1" s="18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  <c r="AH640" s="9" t="n"/>
      <c r="AI640" s="9" t="n"/>
      <c r="AJ640" s="9" t="n"/>
      <c r="AK640" s="9" t="n"/>
      <c r="AL640" s="9" t="n"/>
      <c r="AM640" s="9" t="n"/>
      <c r="AN640" s="9" t="n"/>
      <c r="AO640" s="9" t="n"/>
      <c r="AP640" s="9" t="n"/>
      <c r="AQ640" s="9" t="n"/>
      <c r="AR640" s="9" t="n"/>
      <c r="AS640" s="9" t="n"/>
      <c r="AT640" s="9" t="n"/>
      <c r="AU640" s="9" t="n"/>
      <c r="AV640" s="9" t="n"/>
      <c r="AW640" s="9" t="n"/>
      <c r="AX640" s="9" t="n"/>
      <c r="AY640" s="9" t="n"/>
      <c r="AZ640" s="9" t="n"/>
      <c r="BA640" s="9" t="n"/>
    </row>
    <row r="641" ht="15.75" customHeight="1" s="18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  <c r="AH641" s="9" t="n"/>
      <c r="AI641" s="9" t="n"/>
      <c r="AJ641" s="9" t="n"/>
      <c r="AK641" s="9" t="n"/>
      <c r="AL641" s="9" t="n"/>
      <c r="AM641" s="9" t="n"/>
      <c r="AN641" s="9" t="n"/>
      <c r="AO641" s="9" t="n"/>
      <c r="AP641" s="9" t="n"/>
      <c r="AQ641" s="9" t="n"/>
      <c r="AR641" s="9" t="n"/>
      <c r="AS641" s="9" t="n"/>
      <c r="AT641" s="9" t="n"/>
      <c r="AU641" s="9" t="n"/>
      <c r="AV641" s="9" t="n"/>
      <c r="AW641" s="9" t="n"/>
      <c r="AX641" s="9" t="n"/>
      <c r="AY641" s="9" t="n"/>
      <c r="AZ641" s="9" t="n"/>
      <c r="BA641" s="9" t="n"/>
    </row>
    <row r="642" ht="15.75" customHeight="1" s="18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  <c r="AH642" s="9" t="n"/>
      <c r="AI642" s="9" t="n"/>
      <c r="AJ642" s="9" t="n"/>
      <c r="AK642" s="9" t="n"/>
      <c r="AL642" s="9" t="n"/>
      <c r="AM642" s="9" t="n"/>
      <c r="AN642" s="9" t="n"/>
      <c r="AO642" s="9" t="n"/>
      <c r="AP642" s="9" t="n"/>
      <c r="AQ642" s="9" t="n"/>
      <c r="AR642" s="9" t="n"/>
      <c r="AS642" s="9" t="n"/>
      <c r="AT642" s="9" t="n"/>
      <c r="AU642" s="9" t="n"/>
      <c r="AV642" s="9" t="n"/>
      <c r="AW642" s="9" t="n"/>
      <c r="AX642" s="9" t="n"/>
      <c r="AY642" s="9" t="n"/>
      <c r="AZ642" s="9" t="n"/>
      <c r="BA642" s="9" t="n"/>
    </row>
    <row r="643" ht="15.75" customHeight="1" s="18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  <c r="AH643" s="9" t="n"/>
      <c r="AI643" s="9" t="n"/>
      <c r="AJ643" s="9" t="n"/>
      <c r="AK643" s="9" t="n"/>
      <c r="AL643" s="9" t="n"/>
      <c r="AM643" s="9" t="n"/>
      <c r="AN643" s="9" t="n"/>
      <c r="AO643" s="9" t="n"/>
      <c r="AP643" s="9" t="n"/>
      <c r="AQ643" s="9" t="n"/>
      <c r="AR643" s="9" t="n"/>
      <c r="AS643" s="9" t="n"/>
      <c r="AT643" s="9" t="n"/>
      <c r="AU643" s="9" t="n"/>
      <c r="AV643" s="9" t="n"/>
      <c r="AW643" s="9" t="n"/>
      <c r="AX643" s="9" t="n"/>
      <c r="AY643" s="9" t="n"/>
      <c r="AZ643" s="9" t="n"/>
      <c r="BA643" s="9" t="n"/>
    </row>
    <row r="644" ht="15.75" customHeight="1" s="18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  <c r="AH644" s="9" t="n"/>
      <c r="AI644" s="9" t="n"/>
      <c r="AJ644" s="9" t="n"/>
      <c r="AK644" s="9" t="n"/>
      <c r="AL644" s="9" t="n"/>
      <c r="AM644" s="9" t="n"/>
      <c r="AN644" s="9" t="n"/>
      <c r="AO644" s="9" t="n"/>
      <c r="AP644" s="9" t="n"/>
      <c r="AQ644" s="9" t="n"/>
      <c r="AR644" s="9" t="n"/>
      <c r="AS644" s="9" t="n"/>
      <c r="AT644" s="9" t="n"/>
      <c r="AU644" s="9" t="n"/>
      <c r="AV644" s="9" t="n"/>
      <c r="AW644" s="9" t="n"/>
      <c r="AX644" s="9" t="n"/>
      <c r="AY644" s="9" t="n"/>
      <c r="AZ644" s="9" t="n"/>
      <c r="BA644" s="9" t="n"/>
    </row>
    <row r="645" ht="15.75" customHeight="1" s="18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  <c r="AH645" s="9" t="n"/>
      <c r="AI645" s="9" t="n"/>
      <c r="AJ645" s="9" t="n"/>
      <c r="AK645" s="9" t="n"/>
      <c r="AL645" s="9" t="n"/>
      <c r="AM645" s="9" t="n"/>
      <c r="AN645" s="9" t="n"/>
      <c r="AO645" s="9" t="n"/>
      <c r="AP645" s="9" t="n"/>
      <c r="AQ645" s="9" t="n"/>
      <c r="AR645" s="9" t="n"/>
      <c r="AS645" s="9" t="n"/>
      <c r="AT645" s="9" t="n"/>
      <c r="AU645" s="9" t="n"/>
      <c r="AV645" s="9" t="n"/>
      <c r="AW645" s="9" t="n"/>
      <c r="AX645" s="9" t="n"/>
      <c r="AY645" s="9" t="n"/>
      <c r="AZ645" s="9" t="n"/>
      <c r="BA645" s="9" t="n"/>
    </row>
    <row r="646" ht="15.75" customHeight="1" s="18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  <c r="AH646" s="9" t="n"/>
      <c r="AI646" s="9" t="n"/>
      <c r="AJ646" s="9" t="n"/>
      <c r="AK646" s="9" t="n"/>
      <c r="AL646" s="9" t="n"/>
      <c r="AM646" s="9" t="n"/>
      <c r="AN646" s="9" t="n"/>
      <c r="AO646" s="9" t="n"/>
      <c r="AP646" s="9" t="n"/>
      <c r="AQ646" s="9" t="n"/>
      <c r="AR646" s="9" t="n"/>
      <c r="AS646" s="9" t="n"/>
      <c r="AT646" s="9" t="n"/>
      <c r="AU646" s="9" t="n"/>
      <c r="AV646" s="9" t="n"/>
      <c r="AW646" s="9" t="n"/>
      <c r="AX646" s="9" t="n"/>
      <c r="AY646" s="9" t="n"/>
      <c r="AZ646" s="9" t="n"/>
      <c r="BA646" s="9" t="n"/>
    </row>
    <row r="647" ht="15.75" customHeight="1" s="18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  <c r="AH647" s="9" t="n"/>
      <c r="AI647" s="9" t="n"/>
      <c r="AJ647" s="9" t="n"/>
      <c r="AK647" s="9" t="n"/>
      <c r="AL647" s="9" t="n"/>
      <c r="AM647" s="9" t="n"/>
      <c r="AN647" s="9" t="n"/>
      <c r="AO647" s="9" t="n"/>
      <c r="AP647" s="9" t="n"/>
      <c r="AQ647" s="9" t="n"/>
      <c r="AR647" s="9" t="n"/>
      <c r="AS647" s="9" t="n"/>
      <c r="AT647" s="9" t="n"/>
      <c r="AU647" s="9" t="n"/>
      <c r="AV647" s="9" t="n"/>
      <c r="AW647" s="9" t="n"/>
      <c r="AX647" s="9" t="n"/>
      <c r="AY647" s="9" t="n"/>
      <c r="AZ647" s="9" t="n"/>
      <c r="BA647" s="9" t="n"/>
    </row>
    <row r="648" ht="15.75" customHeight="1" s="1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  <c r="AH648" s="9" t="n"/>
      <c r="AI648" s="9" t="n"/>
      <c r="AJ648" s="9" t="n"/>
      <c r="AK648" s="9" t="n"/>
      <c r="AL648" s="9" t="n"/>
      <c r="AM648" s="9" t="n"/>
      <c r="AN648" s="9" t="n"/>
      <c r="AO648" s="9" t="n"/>
      <c r="AP648" s="9" t="n"/>
      <c r="AQ648" s="9" t="n"/>
      <c r="AR648" s="9" t="n"/>
      <c r="AS648" s="9" t="n"/>
      <c r="AT648" s="9" t="n"/>
      <c r="AU648" s="9" t="n"/>
      <c r="AV648" s="9" t="n"/>
      <c r="AW648" s="9" t="n"/>
      <c r="AX648" s="9" t="n"/>
      <c r="AY648" s="9" t="n"/>
      <c r="AZ648" s="9" t="n"/>
      <c r="BA648" s="9" t="n"/>
    </row>
    <row r="649" ht="15.75" customHeight="1" s="18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  <c r="AH649" s="9" t="n"/>
      <c r="AI649" s="9" t="n"/>
      <c r="AJ649" s="9" t="n"/>
      <c r="AK649" s="9" t="n"/>
      <c r="AL649" s="9" t="n"/>
      <c r="AM649" s="9" t="n"/>
      <c r="AN649" s="9" t="n"/>
      <c r="AO649" s="9" t="n"/>
      <c r="AP649" s="9" t="n"/>
      <c r="AQ649" s="9" t="n"/>
      <c r="AR649" s="9" t="n"/>
      <c r="AS649" s="9" t="n"/>
      <c r="AT649" s="9" t="n"/>
      <c r="AU649" s="9" t="n"/>
      <c r="AV649" s="9" t="n"/>
      <c r="AW649" s="9" t="n"/>
      <c r="AX649" s="9" t="n"/>
      <c r="AY649" s="9" t="n"/>
      <c r="AZ649" s="9" t="n"/>
      <c r="BA649" s="9" t="n"/>
    </row>
    <row r="650" ht="15.75" customHeight="1" s="18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  <c r="AH650" s="9" t="n"/>
      <c r="AI650" s="9" t="n"/>
      <c r="AJ650" s="9" t="n"/>
      <c r="AK650" s="9" t="n"/>
      <c r="AL650" s="9" t="n"/>
      <c r="AM650" s="9" t="n"/>
      <c r="AN650" s="9" t="n"/>
      <c r="AO650" s="9" t="n"/>
      <c r="AP650" s="9" t="n"/>
      <c r="AQ650" s="9" t="n"/>
      <c r="AR650" s="9" t="n"/>
      <c r="AS650" s="9" t="n"/>
      <c r="AT650" s="9" t="n"/>
      <c r="AU650" s="9" t="n"/>
      <c r="AV650" s="9" t="n"/>
      <c r="AW650" s="9" t="n"/>
      <c r="AX650" s="9" t="n"/>
      <c r="AY650" s="9" t="n"/>
      <c r="AZ650" s="9" t="n"/>
      <c r="BA650" s="9" t="n"/>
    </row>
    <row r="651" ht="15.75" customHeight="1" s="18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  <c r="AH651" s="9" t="n"/>
      <c r="AI651" s="9" t="n"/>
      <c r="AJ651" s="9" t="n"/>
      <c r="AK651" s="9" t="n"/>
      <c r="AL651" s="9" t="n"/>
      <c r="AM651" s="9" t="n"/>
      <c r="AN651" s="9" t="n"/>
      <c r="AO651" s="9" t="n"/>
      <c r="AP651" s="9" t="n"/>
      <c r="AQ651" s="9" t="n"/>
      <c r="AR651" s="9" t="n"/>
      <c r="AS651" s="9" t="n"/>
      <c r="AT651" s="9" t="n"/>
      <c r="AU651" s="9" t="n"/>
      <c r="AV651" s="9" t="n"/>
      <c r="AW651" s="9" t="n"/>
      <c r="AX651" s="9" t="n"/>
      <c r="AY651" s="9" t="n"/>
      <c r="AZ651" s="9" t="n"/>
      <c r="BA651" s="9" t="n"/>
    </row>
    <row r="652" ht="15.75" customHeight="1" s="18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  <c r="AH652" s="9" t="n"/>
      <c r="AI652" s="9" t="n"/>
      <c r="AJ652" s="9" t="n"/>
      <c r="AK652" s="9" t="n"/>
      <c r="AL652" s="9" t="n"/>
      <c r="AM652" s="9" t="n"/>
      <c r="AN652" s="9" t="n"/>
      <c r="AO652" s="9" t="n"/>
      <c r="AP652" s="9" t="n"/>
      <c r="AQ652" s="9" t="n"/>
      <c r="AR652" s="9" t="n"/>
      <c r="AS652" s="9" t="n"/>
      <c r="AT652" s="9" t="n"/>
      <c r="AU652" s="9" t="n"/>
      <c r="AV652" s="9" t="n"/>
      <c r="AW652" s="9" t="n"/>
      <c r="AX652" s="9" t="n"/>
      <c r="AY652" s="9" t="n"/>
      <c r="AZ652" s="9" t="n"/>
      <c r="BA652" s="9" t="n"/>
    </row>
    <row r="653" ht="15.75" customHeight="1" s="18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  <c r="AH653" s="9" t="n"/>
      <c r="AI653" s="9" t="n"/>
      <c r="AJ653" s="9" t="n"/>
      <c r="AK653" s="9" t="n"/>
      <c r="AL653" s="9" t="n"/>
      <c r="AM653" s="9" t="n"/>
      <c r="AN653" s="9" t="n"/>
      <c r="AO653" s="9" t="n"/>
      <c r="AP653" s="9" t="n"/>
      <c r="AQ653" s="9" t="n"/>
      <c r="AR653" s="9" t="n"/>
      <c r="AS653" s="9" t="n"/>
      <c r="AT653" s="9" t="n"/>
      <c r="AU653" s="9" t="n"/>
      <c r="AV653" s="9" t="n"/>
      <c r="AW653" s="9" t="n"/>
      <c r="AX653" s="9" t="n"/>
      <c r="AY653" s="9" t="n"/>
      <c r="AZ653" s="9" t="n"/>
      <c r="BA653" s="9" t="n"/>
    </row>
    <row r="654" ht="15.75" customHeight="1" s="18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  <c r="AH654" s="9" t="n"/>
      <c r="AI654" s="9" t="n"/>
      <c r="AJ654" s="9" t="n"/>
      <c r="AK654" s="9" t="n"/>
      <c r="AL654" s="9" t="n"/>
      <c r="AM654" s="9" t="n"/>
      <c r="AN654" s="9" t="n"/>
      <c r="AO654" s="9" t="n"/>
      <c r="AP654" s="9" t="n"/>
      <c r="AQ654" s="9" t="n"/>
      <c r="AR654" s="9" t="n"/>
      <c r="AS654" s="9" t="n"/>
      <c r="AT654" s="9" t="n"/>
      <c r="AU654" s="9" t="n"/>
      <c r="AV654" s="9" t="n"/>
      <c r="AW654" s="9" t="n"/>
      <c r="AX654" s="9" t="n"/>
      <c r="AY654" s="9" t="n"/>
      <c r="AZ654" s="9" t="n"/>
      <c r="BA654" s="9" t="n"/>
    </row>
    <row r="655" ht="15.75" customHeight="1" s="18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  <c r="AH655" s="9" t="n"/>
      <c r="AI655" s="9" t="n"/>
      <c r="AJ655" s="9" t="n"/>
      <c r="AK655" s="9" t="n"/>
      <c r="AL655" s="9" t="n"/>
      <c r="AM655" s="9" t="n"/>
      <c r="AN655" s="9" t="n"/>
      <c r="AO655" s="9" t="n"/>
      <c r="AP655" s="9" t="n"/>
      <c r="AQ655" s="9" t="n"/>
      <c r="AR655" s="9" t="n"/>
      <c r="AS655" s="9" t="n"/>
      <c r="AT655" s="9" t="n"/>
      <c r="AU655" s="9" t="n"/>
      <c r="AV655" s="9" t="n"/>
      <c r="AW655" s="9" t="n"/>
      <c r="AX655" s="9" t="n"/>
      <c r="AY655" s="9" t="n"/>
      <c r="AZ655" s="9" t="n"/>
      <c r="BA655" s="9" t="n"/>
    </row>
    <row r="656" ht="15.75" customHeight="1" s="18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  <c r="AH656" s="9" t="n"/>
      <c r="AI656" s="9" t="n"/>
      <c r="AJ656" s="9" t="n"/>
      <c r="AK656" s="9" t="n"/>
      <c r="AL656" s="9" t="n"/>
      <c r="AM656" s="9" t="n"/>
      <c r="AN656" s="9" t="n"/>
      <c r="AO656" s="9" t="n"/>
      <c r="AP656" s="9" t="n"/>
      <c r="AQ656" s="9" t="n"/>
      <c r="AR656" s="9" t="n"/>
      <c r="AS656" s="9" t="n"/>
      <c r="AT656" s="9" t="n"/>
      <c r="AU656" s="9" t="n"/>
      <c r="AV656" s="9" t="n"/>
      <c r="AW656" s="9" t="n"/>
      <c r="AX656" s="9" t="n"/>
      <c r="AY656" s="9" t="n"/>
      <c r="AZ656" s="9" t="n"/>
      <c r="BA656" s="9" t="n"/>
    </row>
    <row r="657" ht="15.75" customHeight="1" s="18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  <c r="AH657" s="9" t="n"/>
      <c r="AI657" s="9" t="n"/>
      <c r="AJ657" s="9" t="n"/>
      <c r="AK657" s="9" t="n"/>
      <c r="AL657" s="9" t="n"/>
      <c r="AM657" s="9" t="n"/>
      <c r="AN657" s="9" t="n"/>
      <c r="AO657" s="9" t="n"/>
      <c r="AP657" s="9" t="n"/>
      <c r="AQ657" s="9" t="n"/>
      <c r="AR657" s="9" t="n"/>
      <c r="AS657" s="9" t="n"/>
      <c r="AT657" s="9" t="n"/>
      <c r="AU657" s="9" t="n"/>
      <c r="AV657" s="9" t="n"/>
      <c r="AW657" s="9" t="n"/>
      <c r="AX657" s="9" t="n"/>
      <c r="AY657" s="9" t="n"/>
      <c r="AZ657" s="9" t="n"/>
      <c r="BA657" s="9" t="n"/>
    </row>
    <row r="658" ht="15.75" customHeight="1" s="1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  <c r="AH658" s="9" t="n"/>
      <c r="AI658" s="9" t="n"/>
      <c r="AJ658" s="9" t="n"/>
      <c r="AK658" s="9" t="n"/>
      <c r="AL658" s="9" t="n"/>
      <c r="AM658" s="9" t="n"/>
      <c r="AN658" s="9" t="n"/>
      <c r="AO658" s="9" t="n"/>
      <c r="AP658" s="9" t="n"/>
      <c r="AQ658" s="9" t="n"/>
      <c r="AR658" s="9" t="n"/>
      <c r="AS658" s="9" t="n"/>
      <c r="AT658" s="9" t="n"/>
      <c r="AU658" s="9" t="n"/>
      <c r="AV658" s="9" t="n"/>
      <c r="AW658" s="9" t="n"/>
      <c r="AX658" s="9" t="n"/>
      <c r="AY658" s="9" t="n"/>
      <c r="AZ658" s="9" t="n"/>
      <c r="BA658" s="9" t="n"/>
    </row>
    <row r="659" ht="15.75" customHeight="1" s="18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  <c r="AH659" s="9" t="n"/>
      <c r="AI659" s="9" t="n"/>
      <c r="AJ659" s="9" t="n"/>
      <c r="AK659" s="9" t="n"/>
      <c r="AL659" s="9" t="n"/>
      <c r="AM659" s="9" t="n"/>
      <c r="AN659" s="9" t="n"/>
      <c r="AO659" s="9" t="n"/>
      <c r="AP659" s="9" t="n"/>
      <c r="AQ659" s="9" t="n"/>
      <c r="AR659" s="9" t="n"/>
      <c r="AS659" s="9" t="n"/>
      <c r="AT659" s="9" t="n"/>
      <c r="AU659" s="9" t="n"/>
      <c r="AV659" s="9" t="n"/>
      <c r="AW659" s="9" t="n"/>
      <c r="AX659" s="9" t="n"/>
      <c r="AY659" s="9" t="n"/>
      <c r="AZ659" s="9" t="n"/>
      <c r="BA659" s="9" t="n"/>
    </row>
    <row r="660" ht="15.75" customHeight="1" s="18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  <c r="AH660" s="9" t="n"/>
      <c r="AI660" s="9" t="n"/>
      <c r="AJ660" s="9" t="n"/>
      <c r="AK660" s="9" t="n"/>
      <c r="AL660" s="9" t="n"/>
      <c r="AM660" s="9" t="n"/>
      <c r="AN660" s="9" t="n"/>
      <c r="AO660" s="9" t="n"/>
      <c r="AP660" s="9" t="n"/>
      <c r="AQ660" s="9" t="n"/>
      <c r="AR660" s="9" t="n"/>
      <c r="AS660" s="9" t="n"/>
      <c r="AT660" s="9" t="n"/>
      <c r="AU660" s="9" t="n"/>
      <c r="AV660" s="9" t="n"/>
      <c r="AW660" s="9" t="n"/>
      <c r="AX660" s="9" t="n"/>
      <c r="AY660" s="9" t="n"/>
      <c r="AZ660" s="9" t="n"/>
      <c r="BA660" s="9" t="n"/>
    </row>
    <row r="661" ht="15.75" customHeight="1" s="18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  <c r="AH661" s="9" t="n"/>
      <c r="AI661" s="9" t="n"/>
      <c r="AJ661" s="9" t="n"/>
      <c r="AK661" s="9" t="n"/>
      <c r="AL661" s="9" t="n"/>
      <c r="AM661" s="9" t="n"/>
      <c r="AN661" s="9" t="n"/>
      <c r="AO661" s="9" t="n"/>
      <c r="AP661" s="9" t="n"/>
      <c r="AQ661" s="9" t="n"/>
      <c r="AR661" s="9" t="n"/>
      <c r="AS661" s="9" t="n"/>
      <c r="AT661" s="9" t="n"/>
      <c r="AU661" s="9" t="n"/>
      <c r="AV661" s="9" t="n"/>
      <c r="AW661" s="9" t="n"/>
      <c r="AX661" s="9" t="n"/>
      <c r="AY661" s="9" t="n"/>
      <c r="AZ661" s="9" t="n"/>
      <c r="BA661" s="9" t="n"/>
    </row>
    <row r="662" ht="15.75" customHeight="1" s="18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  <c r="AH662" s="9" t="n"/>
      <c r="AI662" s="9" t="n"/>
      <c r="AJ662" s="9" t="n"/>
      <c r="AK662" s="9" t="n"/>
      <c r="AL662" s="9" t="n"/>
      <c r="AM662" s="9" t="n"/>
      <c r="AN662" s="9" t="n"/>
      <c r="AO662" s="9" t="n"/>
      <c r="AP662" s="9" t="n"/>
      <c r="AQ662" s="9" t="n"/>
      <c r="AR662" s="9" t="n"/>
      <c r="AS662" s="9" t="n"/>
      <c r="AT662" s="9" t="n"/>
      <c r="AU662" s="9" t="n"/>
      <c r="AV662" s="9" t="n"/>
      <c r="AW662" s="9" t="n"/>
      <c r="AX662" s="9" t="n"/>
      <c r="AY662" s="9" t="n"/>
      <c r="AZ662" s="9" t="n"/>
      <c r="BA662" s="9" t="n"/>
    </row>
    <row r="663" ht="15.75" customHeight="1" s="18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  <c r="AH663" s="9" t="n"/>
      <c r="AI663" s="9" t="n"/>
      <c r="AJ663" s="9" t="n"/>
      <c r="AK663" s="9" t="n"/>
      <c r="AL663" s="9" t="n"/>
      <c r="AM663" s="9" t="n"/>
      <c r="AN663" s="9" t="n"/>
      <c r="AO663" s="9" t="n"/>
      <c r="AP663" s="9" t="n"/>
      <c r="AQ663" s="9" t="n"/>
      <c r="AR663" s="9" t="n"/>
      <c r="AS663" s="9" t="n"/>
      <c r="AT663" s="9" t="n"/>
      <c r="AU663" s="9" t="n"/>
      <c r="AV663" s="9" t="n"/>
      <c r="AW663" s="9" t="n"/>
      <c r="AX663" s="9" t="n"/>
      <c r="AY663" s="9" t="n"/>
      <c r="AZ663" s="9" t="n"/>
      <c r="BA663" s="9" t="n"/>
    </row>
    <row r="664" ht="15.75" customHeight="1" s="18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  <c r="AH664" s="9" t="n"/>
      <c r="AI664" s="9" t="n"/>
      <c r="AJ664" s="9" t="n"/>
      <c r="AK664" s="9" t="n"/>
      <c r="AL664" s="9" t="n"/>
      <c r="AM664" s="9" t="n"/>
      <c r="AN664" s="9" t="n"/>
      <c r="AO664" s="9" t="n"/>
      <c r="AP664" s="9" t="n"/>
      <c r="AQ664" s="9" t="n"/>
      <c r="AR664" s="9" t="n"/>
      <c r="AS664" s="9" t="n"/>
      <c r="AT664" s="9" t="n"/>
      <c r="AU664" s="9" t="n"/>
      <c r="AV664" s="9" t="n"/>
      <c r="AW664" s="9" t="n"/>
      <c r="AX664" s="9" t="n"/>
      <c r="AY664" s="9" t="n"/>
      <c r="AZ664" s="9" t="n"/>
      <c r="BA664" s="9" t="n"/>
    </row>
    <row r="665" ht="15.75" customHeight="1" s="18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  <c r="AH665" s="9" t="n"/>
      <c r="AI665" s="9" t="n"/>
      <c r="AJ665" s="9" t="n"/>
      <c r="AK665" s="9" t="n"/>
      <c r="AL665" s="9" t="n"/>
      <c r="AM665" s="9" t="n"/>
      <c r="AN665" s="9" t="n"/>
      <c r="AO665" s="9" t="n"/>
      <c r="AP665" s="9" t="n"/>
      <c r="AQ665" s="9" t="n"/>
      <c r="AR665" s="9" t="n"/>
      <c r="AS665" s="9" t="n"/>
      <c r="AT665" s="9" t="n"/>
      <c r="AU665" s="9" t="n"/>
      <c r="AV665" s="9" t="n"/>
      <c r="AW665" s="9" t="n"/>
      <c r="AX665" s="9" t="n"/>
      <c r="AY665" s="9" t="n"/>
      <c r="AZ665" s="9" t="n"/>
      <c r="BA665" s="9" t="n"/>
    </row>
    <row r="666" ht="15.75" customHeight="1" s="18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  <c r="AH666" s="9" t="n"/>
      <c r="AI666" s="9" t="n"/>
      <c r="AJ666" s="9" t="n"/>
      <c r="AK666" s="9" t="n"/>
      <c r="AL666" s="9" t="n"/>
      <c r="AM666" s="9" t="n"/>
      <c r="AN666" s="9" t="n"/>
      <c r="AO666" s="9" t="n"/>
      <c r="AP666" s="9" t="n"/>
      <c r="AQ666" s="9" t="n"/>
      <c r="AR666" s="9" t="n"/>
      <c r="AS666" s="9" t="n"/>
      <c r="AT666" s="9" t="n"/>
      <c r="AU666" s="9" t="n"/>
      <c r="AV666" s="9" t="n"/>
      <c r="AW666" s="9" t="n"/>
      <c r="AX666" s="9" t="n"/>
      <c r="AY666" s="9" t="n"/>
      <c r="AZ666" s="9" t="n"/>
      <c r="BA666" s="9" t="n"/>
    </row>
    <row r="667" ht="15.75" customHeight="1" s="18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  <c r="AH667" s="9" t="n"/>
      <c r="AI667" s="9" t="n"/>
      <c r="AJ667" s="9" t="n"/>
      <c r="AK667" s="9" t="n"/>
      <c r="AL667" s="9" t="n"/>
      <c r="AM667" s="9" t="n"/>
      <c r="AN667" s="9" t="n"/>
      <c r="AO667" s="9" t="n"/>
      <c r="AP667" s="9" t="n"/>
      <c r="AQ667" s="9" t="n"/>
      <c r="AR667" s="9" t="n"/>
      <c r="AS667" s="9" t="n"/>
      <c r="AT667" s="9" t="n"/>
      <c r="AU667" s="9" t="n"/>
      <c r="AV667" s="9" t="n"/>
      <c r="AW667" s="9" t="n"/>
      <c r="AX667" s="9" t="n"/>
      <c r="AY667" s="9" t="n"/>
      <c r="AZ667" s="9" t="n"/>
      <c r="BA667" s="9" t="n"/>
    </row>
    <row r="668" ht="15.75" customHeight="1" s="1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  <c r="AH668" s="9" t="n"/>
      <c r="AI668" s="9" t="n"/>
      <c r="AJ668" s="9" t="n"/>
      <c r="AK668" s="9" t="n"/>
      <c r="AL668" s="9" t="n"/>
      <c r="AM668" s="9" t="n"/>
      <c r="AN668" s="9" t="n"/>
      <c r="AO668" s="9" t="n"/>
      <c r="AP668" s="9" t="n"/>
      <c r="AQ668" s="9" t="n"/>
      <c r="AR668" s="9" t="n"/>
      <c r="AS668" s="9" t="n"/>
      <c r="AT668" s="9" t="n"/>
      <c r="AU668" s="9" t="n"/>
      <c r="AV668" s="9" t="n"/>
      <c r="AW668" s="9" t="n"/>
      <c r="AX668" s="9" t="n"/>
      <c r="AY668" s="9" t="n"/>
      <c r="AZ668" s="9" t="n"/>
      <c r="BA668" s="9" t="n"/>
    </row>
    <row r="669" ht="15.75" customHeight="1" s="18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  <c r="AH669" s="9" t="n"/>
      <c r="AI669" s="9" t="n"/>
      <c r="AJ669" s="9" t="n"/>
      <c r="AK669" s="9" t="n"/>
      <c r="AL669" s="9" t="n"/>
      <c r="AM669" s="9" t="n"/>
      <c r="AN669" s="9" t="n"/>
      <c r="AO669" s="9" t="n"/>
      <c r="AP669" s="9" t="n"/>
      <c r="AQ669" s="9" t="n"/>
      <c r="AR669" s="9" t="n"/>
      <c r="AS669" s="9" t="n"/>
      <c r="AT669" s="9" t="n"/>
      <c r="AU669" s="9" t="n"/>
      <c r="AV669" s="9" t="n"/>
      <c r="AW669" s="9" t="n"/>
      <c r="AX669" s="9" t="n"/>
      <c r="AY669" s="9" t="n"/>
      <c r="AZ669" s="9" t="n"/>
      <c r="BA669" s="9" t="n"/>
    </row>
    <row r="670" ht="15.75" customHeight="1" s="18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  <c r="AH670" s="9" t="n"/>
      <c r="AI670" s="9" t="n"/>
      <c r="AJ670" s="9" t="n"/>
      <c r="AK670" s="9" t="n"/>
      <c r="AL670" s="9" t="n"/>
      <c r="AM670" s="9" t="n"/>
      <c r="AN670" s="9" t="n"/>
      <c r="AO670" s="9" t="n"/>
      <c r="AP670" s="9" t="n"/>
      <c r="AQ670" s="9" t="n"/>
      <c r="AR670" s="9" t="n"/>
      <c r="AS670" s="9" t="n"/>
      <c r="AT670" s="9" t="n"/>
      <c r="AU670" s="9" t="n"/>
      <c r="AV670" s="9" t="n"/>
      <c r="AW670" s="9" t="n"/>
      <c r="AX670" s="9" t="n"/>
      <c r="AY670" s="9" t="n"/>
      <c r="AZ670" s="9" t="n"/>
      <c r="BA670" s="9" t="n"/>
    </row>
    <row r="671" ht="15.75" customHeight="1" s="18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  <c r="AH671" s="9" t="n"/>
      <c r="AI671" s="9" t="n"/>
      <c r="AJ671" s="9" t="n"/>
      <c r="AK671" s="9" t="n"/>
      <c r="AL671" s="9" t="n"/>
      <c r="AM671" s="9" t="n"/>
      <c r="AN671" s="9" t="n"/>
      <c r="AO671" s="9" t="n"/>
      <c r="AP671" s="9" t="n"/>
      <c r="AQ671" s="9" t="n"/>
      <c r="AR671" s="9" t="n"/>
      <c r="AS671" s="9" t="n"/>
      <c r="AT671" s="9" t="n"/>
      <c r="AU671" s="9" t="n"/>
      <c r="AV671" s="9" t="n"/>
      <c r="AW671" s="9" t="n"/>
      <c r="AX671" s="9" t="n"/>
      <c r="AY671" s="9" t="n"/>
      <c r="AZ671" s="9" t="n"/>
      <c r="BA671" s="9" t="n"/>
    </row>
    <row r="672" ht="15.75" customHeight="1" s="18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  <c r="AH672" s="9" t="n"/>
      <c r="AI672" s="9" t="n"/>
      <c r="AJ672" s="9" t="n"/>
      <c r="AK672" s="9" t="n"/>
      <c r="AL672" s="9" t="n"/>
      <c r="AM672" s="9" t="n"/>
      <c r="AN672" s="9" t="n"/>
      <c r="AO672" s="9" t="n"/>
      <c r="AP672" s="9" t="n"/>
      <c r="AQ672" s="9" t="n"/>
      <c r="AR672" s="9" t="n"/>
      <c r="AS672" s="9" t="n"/>
      <c r="AT672" s="9" t="n"/>
      <c r="AU672" s="9" t="n"/>
      <c r="AV672" s="9" t="n"/>
      <c r="AW672" s="9" t="n"/>
      <c r="AX672" s="9" t="n"/>
      <c r="AY672" s="9" t="n"/>
      <c r="AZ672" s="9" t="n"/>
      <c r="BA672" s="9" t="n"/>
    </row>
    <row r="673" ht="15.75" customHeight="1" s="18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  <c r="AH673" s="9" t="n"/>
      <c r="AI673" s="9" t="n"/>
      <c r="AJ673" s="9" t="n"/>
      <c r="AK673" s="9" t="n"/>
      <c r="AL673" s="9" t="n"/>
      <c r="AM673" s="9" t="n"/>
      <c r="AN673" s="9" t="n"/>
      <c r="AO673" s="9" t="n"/>
      <c r="AP673" s="9" t="n"/>
      <c r="AQ673" s="9" t="n"/>
      <c r="AR673" s="9" t="n"/>
      <c r="AS673" s="9" t="n"/>
      <c r="AT673" s="9" t="n"/>
      <c r="AU673" s="9" t="n"/>
      <c r="AV673" s="9" t="n"/>
      <c r="AW673" s="9" t="n"/>
      <c r="AX673" s="9" t="n"/>
      <c r="AY673" s="9" t="n"/>
      <c r="AZ673" s="9" t="n"/>
      <c r="BA673" s="9" t="n"/>
    </row>
    <row r="674" ht="15.75" customHeight="1" s="18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  <c r="AH674" s="9" t="n"/>
      <c r="AI674" s="9" t="n"/>
      <c r="AJ674" s="9" t="n"/>
      <c r="AK674" s="9" t="n"/>
      <c r="AL674" s="9" t="n"/>
      <c r="AM674" s="9" t="n"/>
      <c r="AN674" s="9" t="n"/>
      <c r="AO674" s="9" t="n"/>
      <c r="AP674" s="9" t="n"/>
      <c r="AQ674" s="9" t="n"/>
      <c r="AR674" s="9" t="n"/>
      <c r="AS674" s="9" t="n"/>
      <c r="AT674" s="9" t="n"/>
      <c r="AU674" s="9" t="n"/>
      <c r="AV674" s="9" t="n"/>
      <c r="AW674" s="9" t="n"/>
      <c r="AX674" s="9" t="n"/>
      <c r="AY674" s="9" t="n"/>
      <c r="AZ674" s="9" t="n"/>
      <c r="BA674" s="9" t="n"/>
    </row>
    <row r="675" ht="15.75" customHeight="1" s="18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  <c r="AH675" s="9" t="n"/>
      <c r="AI675" s="9" t="n"/>
      <c r="AJ675" s="9" t="n"/>
      <c r="AK675" s="9" t="n"/>
      <c r="AL675" s="9" t="n"/>
      <c r="AM675" s="9" t="n"/>
      <c r="AN675" s="9" t="n"/>
      <c r="AO675" s="9" t="n"/>
      <c r="AP675" s="9" t="n"/>
      <c r="AQ675" s="9" t="n"/>
      <c r="AR675" s="9" t="n"/>
      <c r="AS675" s="9" t="n"/>
      <c r="AT675" s="9" t="n"/>
      <c r="AU675" s="9" t="n"/>
      <c r="AV675" s="9" t="n"/>
      <c r="AW675" s="9" t="n"/>
      <c r="AX675" s="9" t="n"/>
      <c r="AY675" s="9" t="n"/>
      <c r="AZ675" s="9" t="n"/>
      <c r="BA675" s="9" t="n"/>
    </row>
    <row r="676" ht="15.75" customHeight="1" s="18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  <c r="AH676" s="9" t="n"/>
      <c r="AI676" s="9" t="n"/>
      <c r="AJ676" s="9" t="n"/>
      <c r="AK676" s="9" t="n"/>
      <c r="AL676" s="9" t="n"/>
      <c r="AM676" s="9" t="n"/>
      <c r="AN676" s="9" t="n"/>
      <c r="AO676" s="9" t="n"/>
      <c r="AP676" s="9" t="n"/>
      <c r="AQ676" s="9" t="n"/>
      <c r="AR676" s="9" t="n"/>
      <c r="AS676" s="9" t="n"/>
      <c r="AT676" s="9" t="n"/>
      <c r="AU676" s="9" t="n"/>
      <c r="AV676" s="9" t="n"/>
      <c r="AW676" s="9" t="n"/>
      <c r="AX676" s="9" t="n"/>
      <c r="AY676" s="9" t="n"/>
      <c r="AZ676" s="9" t="n"/>
      <c r="BA676" s="9" t="n"/>
    </row>
    <row r="677" ht="15.75" customHeight="1" s="18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  <c r="AH677" s="9" t="n"/>
      <c r="AI677" s="9" t="n"/>
      <c r="AJ677" s="9" t="n"/>
      <c r="AK677" s="9" t="n"/>
      <c r="AL677" s="9" t="n"/>
      <c r="AM677" s="9" t="n"/>
      <c r="AN677" s="9" t="n"/>
      <c r="AO677" s="9" t="n"/>
      <c r="AP677" s="9" t="n"/>
      <c r="AQ677" s="9" t="n"/>
      <c r="AR677" s="9" t="n"/>
      <c r="AS677" s="9" t="n"/>
      <c r="AT677" s="9" t="n"/>
      <c r="AU677" s="9" t="n"/>
      <c r="AV677" s="9" t="n"/>
      <c r="AW677" s="9" t="n"/>
      <c r="AX677" s="9" t="n"/>
      <c r="AY677" s="9" t="n"/>
      <c r="AZ677" s="9" t="n"/>
      <c r="BA677" s="9" t="n"/>
    </row>
    <row r="678" ht="15.75" customHeight="1" s="1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  <c r="AH678" s="9" t="n"/>
      <c r="AI678" s="9" t="n"/>
      <c r="AJ678" s="9" t="n"/>
      <c r="AK678" s="9" t="n"/>
      <c r="AL678" s="9" t="n"/>
      <c r="AM678" s="9" t="n"/>
      <c r="AN678" s="9" t="n"/>
      <c r="AO678" s="9" t="n"/>
      <c r="AP678" s="9" t="n"/>
      <c r="AQ678" s="9" t="n"/>
      <c r="AR678" s="9" t="n"/>
      <c r="AS678" s="9" t="n"/>
      <c r="AT678" s="9" t="n"/>
      <c r="AU678" s="9" t="n"/>
      <c r="AV678" s="9" t="n"/>
      <c r="AW678" s="9" t="n"/>
      <c r="AX678" s="9" t="n"/>
      <c r="AY678" s="9" t="n"/>
      <c r="AZ678" s="9" t="n"/>
      <c r="BA678" s="9" t="n"/>
    </row>
    <row r="679" ht="15.75" customHeight="1" s="18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  <c r="AH679" s="9" t="n"/>
      <c r="AI679" s="9" t="n"/>
      <c r="AJ679" s="9" t="n"/>
      <c r="AK679" s="9" t="n"/>
      <c r="AL679" s="9" t="n"/>
      <c r="AM679" s="9" t="n"/>
      <c r="AN679" s="9" t="n"/>
      <c r="AO679" s="9" t="n"/>
      <c r="AP679" s="9" t="n"/>
      <c r="AQ679" s="9" t="n"/>
      <c r="AR679" s="9" t="n"/>
      <c r="AS679" s="9" t="n"/>
      <c r="AT679" s="9" t="n"/>
      <c r="AU679" s="9" t="n"/>
      <c r="AV679" s="9" t="n"/>
      <c r="AW679" s="9" t="n"/>
      <c r="AX679" s="9" t="n"/>
      <c r="AY679" s="9" t="n"/>
      <c r="AZ679" s="9" t="n"/>
      <c r="BA679" s="9" t="n"/>
    </row>
    <row r="680" ht="15.75" customHeight="1" s="18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  <c r="AH680" s="9" t="n"/>
      <c r="AI680" s="9" t="n"/>
      <c r="AJ680" s="9" t="n"/>
      <c r="AK680" s="9" t="n"/>
      <c r="AL680" s="9" t="n"/>
      <c r="AM680" s="9" t="n"/>
      <c r="AN680" s="9" t="n"/>
      <c r="AO680" s="9" t="n"/>
      <c r="AP680" s="9" t="n"/>
      <c r="AQ680" s="9" t="n"/>
      <c r="AR680" s="9" t="n"/>
      <c r="AS680" s="9" t="n"/>
      <c r="AT680" s="9" t="n"/>
      <c r="AU680" s="9" t="n"/>
      <c r="AV680" s="9" t="n"/>
      <c r="AW680" s="9" t="n"/>
      <c r="AX680" s="9" t="n"/>
      <c r="AY680" s="9" t="n"/>
      <c r="AZ680" s="9" t="n"/>
      <c r="BA680" s="9" t="n"/>
    </row>
    <row r="681" ht="15.75" customHeight="1" s="18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  <c r="AH681" s="9" t="n"/>
      <c r="AI681" s="9" t="n"/>
      <c r="AJ681" s="9" t="n"/>
      <c r="AK681" s="9" t="n"/>
      <c r="AL681" s="9" t="n"/>
      <c r="AM681" s="9" t="n"/>
      <c r="AN681" s="9" t="n"/>
      <c r="AO681" s="9" t="n"/>
      <c r="AP681" s="9" t="n"/>
      <c r="AQ681" s="9" t="n"/>
      <c r="AR681" s="9" t="n"/>
      <c r="AS681" s="9" t="n"/>
      <c r="AT681" s="9" t="n"/>
      <c r="AU681" s="9" t="n"/>
      <c r="AV681" s="9" t="n"/>
      <c r="AW681" s="9" t="n"/>
      <c r="AX681" s="9" t="n"/>
      <c r="AY681" s="9" t="n"/>
      <c r="AZ681" s="9" t="n"/>
      <c r="BA681" s="9" t="n"/>
    </row>
    <row r="682" ht="15.75" customHeight="1" s="18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  <c r="AH682" s="9" t="n"/>
      <c r="AI682" s="9" t="n"/>
      <c r="AJ682" s="9" t="n"/>
      <c r="AK682" s="9" t="n"/>
      <c r="AL682" s="9" t="n"/>
      <c r="AM682" s="9" t="n"/>
      <c r="AN682" s="9" t="n"/>
      <c r="AO682" s="9" t="n"/>
      <c r="AP682" s="9" t="n"/>
      <c r="AQ682" s="9" t="n"/>
      <c r="AR682" s="9" t="n"/>
      <c r="AS682" s="9" t="n"/>
      <c r="AT682" s="9" t="n"/>
      <c r="AU682" s="9" t="n"/>
      <c r="AV682" s="9" t="n"/>
      <c r="AW682" s="9" t="n"/>
      <c r="AX682" s="9" t="n"/>
      <c r="AY682" s="9" t="n"/>
      <c r="AZ682" s="9" t="n"/>
      <c r="BA682" s="9" t="n"/>
    </row>
    <row r="683" ht="15.75" customHeight="1" s="18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  <c r="AH683" s="9" t="n"/>
      <c r="AI683" s="9" t="n"/>
      <c r="AJ683" s="9" t="n"/>
      <c r="AK683" s="9" t="n"/>
      <c r="AL683" s="9" t="n"/>
      <c r="AM683" s="9" t="n"/>
      <c r="AN683" s="9" t="n"/>
      <c r="AO683" s="9" t="n"/>
      <c r="AP683" s="9" t="n"/>
      <c r="AQ683" s="9" t="n"/>
      <c r="AR683" s="9" t="n"/>
      <c r="AS683" s="9" t="n"/>
      <c r="AT683" s="9" t="n"/>
      <c r="AU683" s="9" t="n"/>
      <c r="AV683" s="9" t="n"/>
      <c r="AW683" s="9" t="n"/>
      <c r="AX683" s="9" t="n"/>
      <c r="AY683" s="9" t="n"/>
      <c r="AZ683" s="9" t="n"/>
      <c r="BA683" s="9" t="n"/>
    </row>
    <row r="684" ht="15.75" customHeight="1" s="18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  <c r="AH684" s="9" t="n"/>
      <c r="AI684" s="9" t="n"/>
      <c r="AJ684" s="9" t="n"/>
      <c r="AK684" s="9" t="n"/>
      <c r="AL684" s="9" t="n"/>
      <c r="AM684" s="9" t="n"/>
      <c r="AN684" s="9" t="n"/>
      <c r="AO684" s="9" t="n"/>
      <c r="AP684" s="9" t="n"/>
      <c r="AQ684" s="9" t="n"/>
      <c r="AR684" s="9" t="n"/>
      <c r="AS684" s="9" t="n"/>
      <c r="AT684" s="9" t="n"/>
      <c r="AU684" s="9" t="n"/>
      <c r="AV684" s="9" t="n"/>
      <c r="AW684" s="9" t="n"/>
      <c r="AX684" s="9" t="n"/>
      <c r="AY684" s="9" t="n"/>
      <c r="AZ684" s="9" t="n"/>
      <c r="BA684" s="9" t="n"/>
    </row>
    <row r="685" ht="15.75" customHeight="1" s="18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  <c r="AH685" s="9" t="n"/>
      <c r="AI685" s="9" t="n"/>
      <c r="AJ685" s="9" t="n"/>
      <c r="AK685" s="9" t="n"/>
      <c r="AL685" s="9" t="n"/>
      <c r="AM685" s="9" t="n"/>
      <c r="AN685" s="9" t="n"/>
      <c r="AO685" s="9" t="n"/>
      <c r="AP685" s="9" t="n"/>
      <c r="AQ685" s="9" t="n"/>
      <c r="AR685" s="9" t="n"/>
      <c r="AS685" s="9" t="n"/>
      <c r="AT685" s="9" t="n"/>
      <c r="AU685" s="9" t="n"/>
      <c r="AV685" s="9" t="n"/>
      <c r="AW685" s="9" t="n"/>
      <c r="AX685" s="9" t="n"/>
      <c r="AY685" s="9" t="n"/>
      <c r="AZ685" s="9" t="n"/>
      <c r="BA685" s="9" t="n"/>
    </row>
    <row r="686" ht="15.75" customHeight="1" s="18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  <c r="AH686" s="9" t="n"/>
      <c r="AI686" s="9" t="n"/>
      <c r="AJ686" s="9" t="n"/>
      <c r="AK686" s="9" t="n"/>
      <c r="AL686" s="9" t="n"/>
      <c r="AM686" s="9" t="n"/>
      <c r="AN686" s="9" t="n"/>
      <c r="AO686" s="9" t="n"/>
      <c r="AP686" s="9" t="n"/>
      <c r="AQ686" s="9" t="n"/>
      <c r="AR686" s="9" t="n"/>
      <c r="AS686" s="9" t="n"/>
      <c r="AT686" s="9" t="n"/>
      <c r="AU686" s="9" t="n"/>
      <c r="AV686" s="9" t="n"/>
      <c r="AW686" s="9" t="n"/>
      <c r="AX686" s="9" t="n"/>
      <c r="AY686" s="9" t="n"/>
      <c r="AZ686" s="9" t="n"/>
      <c r="BA686" s="9" t="n"/>
    </row>
    <row r="687" ht="15.75" customHeight="1" s="18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  <c r="AH687" s="9" t="n"/>
      <c r="AI687" s="9" t="n"/>
      <c r="AJ687" s="9" t="n"/>
      <c r="AK687" s="9" t="n"/>
      <c r="AL687" s="9" t="n"/>
      <c r="AM687" s="9" t="n"/>
      <c r="AN687" s="9" t="n"/>
      <c r="AO687" s="9" t="n"/>
      <c r="AP687" s="9" t="n"/>
      <c r="AQ687" s="9" t="n"/>
      <c r="AR687" s="9" t="n"/>
      <c r="AS687" s="9" t="n"/>
      <c r="AT687" s="9" t="n"/>
      <c r="AU687" s="9" t="n"/>
      <c r="AV687" s="9" t="n"/>
      <c r="AW687" s="9" t="n"/>
      <c r="AX687" s="9" t="n"/>
      <c r="AY687" s="9" t="n"/>
      <c r="AZ687" s="9" t="n"/>
      <c r="BA687" s="9" t="n"/>
    </row>
    <row r="688" ht="15.75" customHeight="1" s="1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  <c r="AH688" s="9" t="n"/>
      <c r="AI688" s="9" t="n"/>
      <c r="AJ688" s="9" t="n"/>
      <c r="AK688" s="9" t="n"/>
      <c r="AL688" s="9" t="n"/>
      <c r="AM688" s="9" t="n"/>
      <c r="AN688" s="9" t="n"/>
      <c r="AO688" s="9" t="n"/>
      <c r="AP688" s="9" t="n"/>
      <c r="AQ688" s="9" t="n"/>
      <c r="AR688" s="9" t="n"/>
      <c r="AS688" s="9" t="n"/>
      <c r="AT688" s="9" t="n"/>
      <c r="AU688" s="9" t="n"/>
      <c r="AV688" s="9" t="n"/>
      <c r="AW688" s="9" t="n"/>
      <c r="AX688" s="9" t="n"/>
      <c r="AY688" s="9" t="n"/>
      <c r="AZ688" s="9" t="n"/>
      <c r="BA688" s="9" t="n"/>
    </row>
    <row r="689" ht="15.75" customHeight="1" s="18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  <c r="AH689" s="9" t="n"/>
      <c r="AI689" s="9" t="n"/>
      <c r="AJ689" s="9" t="n"/>
      <c r="AK689" s="9" t="n"/>
      <c r="AL689" s="9" t="n"/>
      <c r="AM689" s="9" t="n"/>
      <c r="AN689" s="9" t="n"/>
      <c r="AO689" s="9" t="n"/>
      <c r="AP689" s="9" t="n"/>
      <c r="AQ689" s="9" t="n"/>
      <c r="AR689" s="9" t="n"/>
      <c r="AS689" s="9" t="n"/>
      <c r="AT689" s="9" t="n"/>
      <c r="AU689" s="9" t="n"/>
      <c r="AV689" s="9" t="n"/>
      <c r="AW689" s="9" t="n"/>
      <c r="AX689" s="9" t="n"/>
      <c r="AY689" s="9" t="n"/>
      <c r="AZ689" s="9" t="n"/>
      <c r="BA689" s="9" t="n"/>
    </row>
    <row r="690" ht="15.75" customHeight="1" s="18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  <c r="AH690" s="9" t="n"/>
      <c r="AI690" s="9" t="n"/>
      <c r="AJ690" s="9" t="n"/>
      <c r="AK690" s="9" t="n"/>
      <c r="AL690" s="9" t="n"/>
      <c r="AM690" s="9" t="n"/>
      <c r="AN690" s="9" t="n"/>
      <c r="AO690" s="9" t="n"/>
      <c r="AP690" s="9" t="n"/>
      <c r="AQ690" s="9" t="n"/>
      <c r="AR690" s="9" t="n"/>
      <c r="AS690" s="9" t="n"/>
      <c r="AT690" s="9" t="n"/>
      <c r="AU690" s="9" t="n"/>
      <c r="AV690" s="9" t="n"/>
      <c r="AW690" s="9" t="n"/>
      <c r="AX690" s="9" t="n"/>
      <c r="AY690" s="9" t="n"/>
      <c r="AZ690" s="9" t="n"/>
      <c r="BA690" s="9" t="n"/>
    </row>
    <row r="691" ht="15.75" customHeight="1" s="18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  <c r="AH691" s="9" t="n"/>
      <c r="AI691" s="9" t="n"/>
      <c r="AJ691" s="9" t="n"/>
      <c r="AK691" s="9" t="n"/>
      <c r="AL691" s="9" t="n"/>
      <c r="AM691" s="9" t="n"/>
      <c r="AN691" s="9" t="n"/>
      <c r="AO691" s="9" t="n"/>
      <c r="AP691" s="9" t="n"/>
      <c r="AQ691" s="9" t="n"/>
      <c r="AR691" s="9" t="n"/>
      <c r="AS691" s="9" t="n"/>
      <c r="AT691" s="9" t="n"/>
      <c r="AU691" s="9" t="n"/>
      <c r="AV691" s="9" t="n"/>
      <c r="AW691" s="9" t="n"/>
      <c r="AX691" s="9" t="n"/>
      <c r="AY691" s="9" t="n"/>
      <c r="AZ691" s="9" t="n"/>
      <c r="BA691" s="9" t="n"/>
    </row>
    <row r="692" ht="15.75" customHeight="1" s="18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  <c r="AH692" s="9" t="n"/>
      <c r="AI692" s="9" t="n"/>
      <c r="AJ692" s="9" t="n"/>
      <c r="AK692" s="9" t="n"/>
      <c r="AL692" s="9" t="n"/>
      <c r="AM692" s="9" t="n"/>
      <c r="AN692" s="9" t="n"/>
      <c r="AO692" s="9" t="n"/>
      <c r="AP692" s="9" t="n"/>
      <c r="AQ692" s="9" t="n"/>
      <c r="AR692" s="9" t="n"/>
      <c r="AS692" s="9" t="n"/>
      <c r="AT692" s="9" t="n"/>
      <c r="AU692" s="9" t="n"/>
      <c r="AV692" s="9" t="n"/>
      <c r="AW692" s="9" t="n"/>
      <c r="AX692" s="9" t="n"/>
      <c r="AY692" s="9" t="n"/>
      <c r="AZ692" s="9" t="n"/>
      <c r="BA692" s="9" t="n"/>
    </row>
    <row r="693" ht="15.75" customHeight="1" s="18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  <c r="AH693" s="9" t="n"/>
      <c r="AI693" s="9" t="n"/>
      <c r="AJ693" s="9" t="n"/>
      <c r="AK693" s="9" t="n"/>
      <c r="AL693" s="9" t="n"/>
      <c r="AM693" s="9" t="n"/>
      <c r="AN693" s="9" t="n"/>
      <c r="AO693" s="9" t="n"/>
      <c r="AP693" s="9" t="n"/>
      <c r="AQ693" s="9" t="n"/>
      <c r="AR693" s="9" t="n"/>
      <c r="AS693" s="9" t="n"/>
      <c r="AT693" s="9" t="n"/>
      <c r="AU693" s="9" t="n"/>
      <c r="AV693" s="9" t="n"/>
      <c r="AW693" s="9" t="n"/>
      <c r="AX693" s="9" t="n"/>
      <c r="AY693" s="9" t="n"/>
      <c r="AZ693" s="9" t="n"/>
      <c r="BA693" s="9" t="n"/>
    </row>
    <row r="694" ht="15.75" customHeight="1" s="18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  <c r="AH694" s="9" t="n"/>
      <c r="AI694" s="9" t="n"/>
      <c r="AJ694" s="9" t="n"/>
      <c r="AK694" s="9" t="n"/>
      <c r="AL694" s="9" t="n"/>
      <c r="AM694" s="9" t="n"/>
      <c r="AN694" s="9" t="n"/>
      <c r="AO694" s="9" t="n"/>
      <c r="AP694" s="9" t="n"/>
      <c r="AQ694" s="9" t="n"/>
      <c r="AR694" s="9" t="n"/>
      <c r="AS694" s="9" t="n"/>
      <c r="AT694" s="9" t="n"/>
      <c r="AU694" s="9" t="n"/>
      <c r="AV694" s="9" t="n"/>
      <c r="AW694" s="9" t="n"/>
      <c r="AX694" s="9" t="n"/>
      <c r="AY694" s="9" t="n"/>
      <c r="AZ694" s="9" t="n"/>
      <c r="BA694" s="9" t="n"/>
    </row>
    <row r="695" ht="15.75" customHeight="1" s="18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  <c r="AH695" s="9" t="n"/>
      <c r="AI695" s="9" t="n"/>
      <c r="AJ695" s="9" t="n"/>
      <c r="AK695" s="9" t="n"/>
      <c r="AL695" s="9" t="n"/>
      <c r="AM695" s="9" t="n"/>
      <c r="AN695" s="9" t="n"/>
      <c r="AO695" s="9" t="n"/>
      <c r="AP695" s="9" t="n"/>
      <c r="AQ695" s="9" t="n"/>
      <c r="AR695" s="9" t="n"/>
      <c r="AS695" s="9" t="n"/>
      <c r="AT695" s="9" t="n"/>
      <c r="AU695" s="9" t="n"/>
      <c r="AV695" s="9" t="n"/>
      <c r="AW695" s="9" t="n"/>
      <c r="AX695" s="9" t="n"/>
      <c r="AY695" s="9" t="n"/>
      <c r="AZ695" s="9" t="n"/>
      <c r="BA695" s="9" t="n"/>
    </row>
    <row r="696" ht="15.75" customHeight="1" s="18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  <c r="AH696" s="9" t="n"/>
      <c r="AI696" s="9" t="n"/>
      <c r="AJ696" s="9" t="n"/>
      <c r="AK696" s="9" t="n"/>
      <c r="AL696" s="9" t="n"/>
      <c r="AM696" s="9" t="n"/>
      <c r="AN696" s="9" t="n"/>
      <c r="AO696" s="9" t="n"/>
      <c r="AP696" s="9" t="n"/>
      <c r="AQ696" s="9" t="n"/>
      <c r="AR696" s="9" t="n"/>
      <c r="AS696" s="9" t="n"/>
      <c r="AT696" s="9" t="n"/>
      <c r="AU696" s="9" t="n"/>
      <c r="AV696" s="9" t="n"/>
      <c r="AW696" s="9" t="n"/>
      <c r="AX696" s="9" t="n"/>
      <c r="AY696" s="9" t="n"/>
      <c r="AZ696" s="9" t="n"/>
      <c r="BA696" s="9" t="n"/>
    </row>
    <row r="697" ht="15.75" customHeight="1" s="18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  <c r="AH697" s="9" t="n"/>
      <c r="AI697" s="9" t="n"/>
      <c r="AJ697" s="9" t="n"/>
      <c r="AK697" s="9" t="n"/>
      <c r="AL697" s="9" t="n"/>
      <c r="AM697" s="9" t="n"/>
      <c r="AN697" s="9" t="n"/>
      <c r="AO697" s="9" t="n"/>
      <c r="AP697" s="9" t="n"/>
      <c r="AQ697" s="9" t="n"/>
      <c r="AR697" s="9" t="n"/>
      <c r="AS697" s="9" t="n"/>
      <c r="AT697" s="9" t="n"/>
      <c r="AU697" s="9" t="n"/>
      <c r="AV697" s="9" t="n"/>
      <c r="AW697" s="9" t="n"/>
      <c r="AX697" s="9" t="n"/>
      <c r="AY697" s="9" t="n"/>
      <c r="AZ697" s="9" t="n"/>
      <c r="BA697" s="9" t="n"/>
    </row>
    <row r="698" ht="15.75" customHeight="1" s="1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  <c r="AH698" s="9" t="n"/>
      <c r="AI698" s="9" t="n"/>
      <c r="AJ698" s="9" t="n"/>
      <c r="AK698" s="9" t="n"/>
      <c r="AL698" s="9" t="n"/>
      <c r="AM698" s="9" t="n"/>
      <c r="AN698" s="9" t="n"/>
      <c r="AO698" s="9" t="n"/>
      <c r="AP698" s="9" t="n"/>
      <c r="AQ698" s="9" t="n"/>
      <c r="AR698" s="9" t="n"/>
      <c r="AS698" s="9" t="n"/>
      <c r="AT698" s="9" t="n"/>
      <c r="AU698" s="9" t="n"/>
      <c r="AV698" s="9" t="n"/>
      <c r="AW698" s="9" t="n"/>
      <c r="AX698" s="9" t="n"/>
      <c r="AY698" s="9" t="n"/>
      <c r="AZ698" s="9" t="n"/>
      <c r="BA698" s="9" t="n"/>
    </row>
    <row r="699" ht="15.75" customHeight="1" s="18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  <c r="AH699" s="9" t="n"/>
      <c r="AI699" s="9" t="n"/>
      <c r="AJ699" s="9" t="n"/>
      <c r="AK699" s="9" t="n"/>
      <c r="AL699" s="9" t="n"/>
      <c r="AM699" s="9" t="n"/>
      <c r="AN699" s="9" t="n"/>
      <c r="AO699" s="9" t="n"/>
      <c r="AP699" s="9" t="n"/>
      <c r="AQ699" s="9" t="n"/>
      <c r="AR699" s="9" t="n"/>
      <c r="AS699" s="9" t="n"/>
      <c r="AT699" s="9" t="n"/>
      <c r="AU699" s="9" t="n"/>
      <c r="AV699" s="9" t="n"/>
      <c r="AW699" s="9" t="n"/>
      <c r="AX699" s="9" t="n"/>
      <c r="AY699" s="9" t="n"/>
      <c r="AZ699" s="9" t="n"/>
      <c r="BA699" s="9" t="n"/>
    </row>
    <row r="700" ht="15.75" customHeight="1" s="18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  <c r="AH700" s="9" t="n"/>
      <c r="AI700" s="9" t="n"/>
      <c r="AJ700" s="9" t="n"/>
      <c r="AK700" s="9" t="n"/>
      <c r="AL700" s="9" t="n"/>
      <c r="AM700" s="9" t="n"/>
      <c r="AN700" s="9" t="n"/>
      <c r="AO700" s="9" t="n"/>
      <c r="AP700" s="9" t="n"/>
      <c r="AQ700" s="9" t="n"/>
      <c r="AR700" s="9" t="n"/>
      <c r="AS700" s="9" t="n"/>
      <c r="AT700" s="9" t="n"/>
      <c r="AU700" s="9" t="n"/>
      <c r="AV700" s="9" t="n"/>
      <c r="AW700" s="9" t="n"/>
      <c r="AX700" s="9" t="n"/>
      <c r="AY700" s="9" t="n"/>
      <c r="AZ700" s="9" t="n"/>
      <c r="BA700" s="9" t="n"/>
    </row>
    <row r="701" ht="15.75" customHeight="1" s="18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  <c r="AH701" s="9" t="n"/>
      <c r="AI701" s="9" t="n"/>
      <c r="AJ701" s="9" t="n"/>
      <c r="AK701" s="9" t="n"/>
      <c r="AL701" s="9" t="n"/>
      <c r="AM701" s="9" t="n"/>
      <c r="AN701" s="9" t="n"/>
      <c r="AO701" s="9" t="n"/>
      <c r="AP701" s="9" t="n"/>
      <c r="AQ701" s="9" t="n"/>
      <c r="AR701" s="9" t="n"/>
      <c r="AS701" s="9" t="n"/>
      <c r="AT701" s="9" t="n"/>
      <c r="AU701" s="9" t="n"/>
      <c r="AV701" s="9" t="n"/>
      <c r="AW701" s="9" t="n"/>
      <c r="AX701" s="9" t="n"/>
      <c r="AY701" s="9" t="n"/>
      <c r="AZ701" s="9" t="n"/>
      <c r="BA701" s="9" t="n"/>
    </row>
    <row r="702" ht="15.75" customHeight="1" s="18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  <c r="AH702" s="9" t="n"/>
      <c r="AI702" s="9" t="n"/>
      <c r="AJ702" s="9" t="n"/>
      <c r="AK702" s="9" t="n"/>
      <c r="AL702" s="9" t="n"/>
      <c r="AM702" s="9" t="n"/>
      <c r="AN702" s="9" t="n"/>
      <c r="AO702" s="9" t="n"/>
      <c r="AP702" s="9" t="n"/>
      <c r="AQ702" s="9" t="n"/>
      <c r="AR702" s="9" t="n"/>
      <c r="AS702" s="9" t="n"/>
      <c r="AT702" s="9" t="n"/>
      <c r="AU702" s="9" t="n"/>
      <c r="AV702" s="9" t="n"/>
      <c r="AW702" s="9" t="n"/>
      <c r="AX702" s="9" t="n"/>
      <c r="AY702" s="9" t="n"/>
      <c r="AZ702" s="9" t="n"/>
      <c r="BA702" s="9" t="n"/>
    </row>
    <row r="703" ht="15.75" customHeight="1" s="18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  <c r="AH703" s="9" t="n"/>
      <c r="AI703" s="9" t="n"/>
      <c r="AJ703" s="9" t="n"/>
      <c r="AK703" s="9" t="n"/>
      <c r="AL703" s="9" t="n"/>
      <c r="AM703" s="9" t="n"/>
      <c r="AN703" s="9" t="n"/>
      <c r="AO703" s="9" t="n"/>
      <c r="AP703" s="9" t="n"/>
      <c r="AQ703" s="9" t="n"/>
      <c r="AR703" s="9" t="n"/>
      <c r="AS703" s="9" t="n"/>
      <c r="AT703" s="9" t="n"/>
      <c r="AU703" s="9" t="n"/>
      <c r="AV703" s="9" t="n"/>
      <c r="AW703" s="9" t="n"/>
      <c r="AX703" s="9" t="n"/>
      <c r="AY703" s="9" t="n"/>
      <c r="AZ703" s="9" t="n"/>
      <c r="BA703" s="9" t="n"/>
    </row>
    <row r="704" ht="15.75" customHeight="1" s="18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  <c r="AH704" s="9" t="n"/>
      <c r="AI704" s="9" t="n"/>
      <c r="AJ704" s="9" t="n"/>
      <c r="AK704" s="9" t="n"/>
      <c r="AL704" s="9" t="n"/>
      <c r="AM704" s="9" t="n"/>
      <c r="AN704" s="9" t="n"/>
      <c r="AO704" s="9" t="n"/>
      <c r="AP704" s="9" t="n"/>
      <c r="AQ704" s="9" t="n"/>
      <c r="AR704" s="9" t="n"/>
      <c r="AS704" s="9" t="n"/>
      <c r="AT704" s="9" t="n"/>
      <c r="AU704" s="9" t="n"/>
      <c r="AV704" s="9" t="n"/>
      <c r="AW704" s="9" t="n"/>
      <c r="AX704" s="9" t="n"/>
      <c r="AY704" s="9" t="n"/>
      <c r="AZ704" s="9" t="n"/>
      <c r="BA704" s="9" t="n"/>
    </row>
    <row r="705" ht="15.75" customHeight="1" s="18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  <c r="AH705" s="9" t="n"/>
      <c r="AI705" s="9" t="n"/>
      <c r="AJ705" s="9" t="n"/>
      <c r="AK705" s="9" t="n"/>
      <c r="AL705" s="9" t="n"/>
      <c r="AM705" s="9" t="n"/>
      <c r="AN705" s="9" t="n"/>
      <c r="AO705" s="9" t="n"/>
      <c r="AP705" s="9" t="n"/>
      <c r="AQ705" s="9" t="n"/>
      <c r="AR705" s="9" t="n"/>
      <c r="AS705" s="9" t="n"/>
      <c r="AT705" s="9" t="n"/>
      <c r="AU705" s="9" t="n"/>
      <c r="AV705" s="9" t="n"/>
      <c r="AW705" s="9" t="n"/>
      <c r="AX705" s="9" t="n"/>
      <c r="AY705" s="9" t="n"/>
      <c r="AZ705" s="9" t="n"/>
      <c r="BA705" s="9" t="n"/>
    </row>
    <row r="706" ht="15.75" customHeight="1" s="18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  <c r="AH706" s="9" t="n"/>
      <c r="AI706" s="9" t="n"/>
      <c r="AJ706" s="9" t="n"/>
      <c r="AK706" s="9" t="n"/>
      <c r="AL706" s="9" t="n"/>
      <c r="AM706" s="9" t="n"/>
      <c r="AN706" s="9" t="n"/>
      <c r="AO706" s="9" t="n"/>
      <c r="AP706" s="9" t="n"/>
      <c r="AQ706" s="9" t="n"/>
      <c r="AR706" s="9" t="n"/>
      <c r="AS706" s="9" t="n"/>
      <c r="AT706" s="9" t="n"/>
      <c r="AU706" s="9" t="n"/>
      <c r="AV706" s="9" t="n"/>
      <c r="AW706" s="9" t="n"/>
      <c r="AX706" s="9" t="n"/>
      <c r="AY706" s="9" t="n"/>
      <c r="AZ706" s="9" t="n"/>
      <c r="BA706" s="9" t="n"/>
    </row>
    <row r="707" ht="15.75" customHeight="1" s="18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  <c r="AH707" s="9" t="n"/>
      <c r="AI707" s="9" t="n"/>
      <c r="AJ707" s="9" t="n"/>
      <c r="AK707" s="9" t="n"/>
      <c r="AL707" s="9" t="n"/>
      <c r="AM707" s="9" t="n"/>
      <c r="AN707" s="9" t="n"/>
      <c r="AO707" s="9" t="n"/>
      <c r="AP707" s="9" t="n"/>
      <c r="AQ707" s="9" t="n"/>
      <c r="AR707" s="9" t="n"/>
      <c r="AS707" s="9" t="n"/>
      <c r="AT707" s="9" t="n"/>
      <c r="AU707" s="9" t="n"/>
      <c r="AV707" s="9" t="n"/>
      <c r="AW707" s="9" t="n"/>
      <c r="AX707" s="9" t="n"/>
      <c r="AY707" s="9" t="n"/>
      <c r="AZ707" s="9" t="n"/>
      <c r="BA707" s="9" t="n"/>
    </row>
    <row r="708" ht="15.75" customHeight="1" s="1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  <c r="AH708" s="9" t="n"/>
      <c r="AI708" s="9" t="n"/>
      <c r="AJ708" s="9" t="n"/>
      <c r="AK708" s="9" t="n"/>
      <c r="AL708" s="9" t="n"/>
      <c r="AM708" s="9" t="n"/>
      <c r="AN708" s="9" t="n"/>
      <c r="AO708" s="9" t="n"/>
      <c r="AP708" s="9" t="n"/>
      <c r="AQ708" s="9" t="n"/>
      <c r="AR708" s="9" t="n"/>
      <c r="AS708" s="9" t="n"/>
      <c r="AT708" s="9" t="n"/>
      <c r="AU708" s="9" t="n"/>
      <c r="AV708" s="9" t="n"/>
      <c r="AW708" s="9" t="n"/>
      <c r="AX708" s="9" t="n"/>
      <c r="AY708" s="9" t="n"/>
      <c r="AZ708" s="9" t="n"/>
      <c r="BA708" s="9" t="n"/>
    </row>
    <row r="709" ht="15.75" customHeight="1" s="18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  <c r="AH709" s="9" t="n"/>
      <c r="AI709" s="9" t="n"/>
      <c r="AJ709" s="9" t="n"/>
      <c r="AK709" s="9" t="n"/>
      <c r="AL709" s="9" t="n"/>
      <c r="AM709" s="9" t="n"/>
      <c r="AN709" s="9" t="n"/>
      <c r="AO709" s="9" t="n"/>
      <c r="AP709" s="9" t="n"/>
      <c r="AQ709" s="9" t="n"/>
      <c r="AR709" s="9" t="n"/>
      <c r="AS709" s="9" t="n"/>
      <c r="AT709" s="9" t="n"/>
      <c r="AU709" s="9" t="n"/>
      <c r="AV709" s="9" t="n"/>
      <c r="AW709" s="9" t="n"/>
      <c r="AX709" s="9" t="n"/>
      <c r="AY709" s="9" t="n"/>
      <c r="AZ709" s="9" t="n"/>
      <c r="BA709" s="9" t="n"/>
    </row>
    <row r="710" ht="15.75" customHeight="1" s="18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  <c r="AH710" s="9" t="n"/>
      <c r="AI710" s="9" t="n"/>
      <c r="AJ710" s="9" t="n"/>
      <c r="AK710" s="9" t="n"/>
      <c r="AL710" s="9" t="n"/>
      <c r="AM710" s="9" t="n"/>
      <c r="AN710" s="9" t="n"/>
      <c r="AO710" s="9" t="n"/>
      <c r="AP710" s="9" t="n"/>
      <c r="AQ710" s="9" t="n"/>
      <c r="AR710" s="9" t="n"/>
      <c r="AS710" s="9" t="n"/>
      <c r="AT710" s="9" t="n"/>
      <c r="AU710" s="9" t="n"/>
      <c r="AV710" s="9" t="n"/>
      <c r="AW710" s="9" t="n"/>
      <c r="AX710" s="9" t="n"/>
      <c r="AY710" s="9" t="n"/>
      <c r="AZ710" s="9" t="n"/>
      <c r="BA710" s="9" t="n"/>
    </row>
    <row r="711" ht="15.75" customHeight="1" s="18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  <c r="AH711" s="9" t="n"/>
      <c r="AI711" s="9" t="n"/>
      <c r="AJ711" s="9" t="n"/>
      <c r="AK711" s="9" t="n"/>
      <c r="AL711" s="9" t="n"/>
      <c r="AM711" s="9" t="n"/>
      <c r="AN711" s="9" t="n"/>
      <c r="AO711" s="9" t="n"/>
      <c r="AP711" s="9" t="n"/>
      <c r="AQ711" s="9" t="n"/>
      <c r="AR711" s="9" t="n"/>
      <c r="AS711" s="9" t="n"/>
      <c r="AT711" s="9" t="n"/>
      <c r="AU711" s="9" t="n"/>
      <c r="AV711" s="9" t="n"/>
      <c r="AW711" s="9" t="n"/>
      <c r="AX711" s="9" t="n"/>
      <c r="AY711" s="9" t="n"/>
      <c r="AZ711" s="9" t="n"/>
      <c r="BA711" s="9" t="n"/>
    </row>
    <row r="712" ht="15.75" customHeight="1" s="18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  <c r="AH712" s="9" t="n"/>
      <c r="AI712" s="9" t="n"/>
      <c r="AJ712" s="9" t="n"/>
      <c r="AK712" s="9" t="n"/>
      <c r="AL712" s="9" t="n"/>
      <c r="AM712" s="9" t="n"/>
      <c r="AN712" s="9" t="n"/>
      <c r="AO712" s="9" t="n"/>
      <c r="AP712" s="9" t="n"/>
      <c r="AQ712" s="9" t="n"/>
      <c r="AR712" s="9" t="n"/>
      <c r="AS712" s="9" t="n"/>
      <c r="AT712" s="9" t="n"/>
      <c r="AU712" s="9" t="n"/>
      <c r="AV712" s="9" t="n"/>
      <c r="AW712" s="9" t="n"/>
      <c r="AX712" s="9" t="n"/>
      <c r="AY712" s="9" t="n"/>
      <c r="AZ712" s="9" t="n"/>
      <c r="BA712" s="9" t="n"/>
    </row>
    <row r="713" ht="15.75" customHeight="1" s="18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  <c r="AH713" s="9" t="n"/>
      <c r="AI713" s="9" t="n"/>
      <c r="AJ713" s="9" t="n"/>
      <c r="AK713" s="9" t="n"/>
      <c r="AL713" s="9" t="n"/>
      <c r="AM713" s="9" t="n"/>
      <c r="AN713" s="9" t="n"/>
      <c r="AO713" s="9" t="n"/>
      <c r="AP713" s="9" t="n"/>
      <c r="AQ713" s="9" t="n"/>
      <c r="AR713" s="9" t="n"/>
      <c r="AS713" s="9" t="n"/>
      <c r="AT713" s="9" t="n"/>
      <c r="AU713" s="9" t="n"/>
      <c r="AV713" s="9" t="n"/>
      <c r="AW713" s="9" t="n"/>
      <c r="AX713" s="9" t="n"/>
      <c r="AY713" s="9" t="n"/>
      <c r="AZ713" s="9" t="n"/>
      <c r="BA713" s="9" t="n"/>
    </row>
    <row r="714" ht="15.75" customHeight="1" s="18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  <c r="AH714" s="9" t="n"/>
      <c r="AI714" s="9" t="n"/>
      <c r="AJ714" s="9" t="n"/>
      <c r="AK714" s="9" t="n"/>
      <c r="AL714" s="9" t="n"/>
      <c r="AM714" s="9" t="n"/>
      <c r="AN714" s="9" t="n"/>
      <c r="AO714" s="9" t="n"/>
      <c r="AP714" s="9" t="n"/>
      <c r="AQ714" s="9" t="n"/>
      <c r="AR714" s="9" t="n"/>
      <c r="AS714" s="9" t="n"/>
      <c r="AT714" s="9" t="n"/>
      <c r="AU714" s="9" t="n"/>
      <c r="AV714" s="9" t="n"/>
      <c r="AW714" s="9" t="n"/>
      <c r="AX714" s="9" t="n"/>
      <c r="AY714" s="9" t="n"/>
      <c r="AZ714" s="9" t="n"/>
      <c r="BA714" s="9" t="n"/>
    </row>
    <row r="715" ht="15.75" customHeight="1" s="18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  <c r="AH715" s="9" t="n"/>
      <c r="AI715" s="9" t="n"/>
      <c r="AJ715" s="9" t="n"/>
      <c r="AK715" s="9" t="n"/>
      <c r="AL715" s="9" t="n"/>
      <c r="AM715" s="9" t="n"/>
      <c r="AN715" s="9" t="n"/>
      <c r="AO715" s="9" t="n"/>
      <c r="AP715" s="9" t="n"/>
      <c r="AQ715" s="9" t="n"/>
      <c r="AR715" s="9" t="n"/>
      <c r="AS715" s="9" t="n"/>
      <c r="AT715" s="9" t="n"/>
      <c r="AU715" s="9" t="n"/>
      <c r="AV715" s="9" t="n"/>
      <c r="AW715" s="9" t="n"/>
      <c r="AX715" s="9" t="n"/>
      <c r="AY715" s="9" t="n"/>
      <c r="AZ715" s="9" t="n"/>
      <c r="BA715" s="9" t="n"/>
    </row>
    <row r="716" ht="15.75" customHeight="1" s="18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  <c r="AH716" s="9" t="n"/>
      <c r="AI716" s="9" t="n"/>
      <c r="AJ716" s="9" t="n"/>
      <c r="AK716" s="9" t="n"/>
      <c r="AL716" s="9" t="n"/>
      <c r="AM716" s="9" t="n"/>
      <c r="AN716" s="9" t="n"/>
      <c r="AO716" s="9" t="n"/>
      <c r="AP716" s="9" t="n"/>
      <c r="AQ716" s="9" t="n"/>
      <c r="AR716" s="9" t="n"/>
      <c r="AS716" s="9" t="n"/>
      <c r="AT716" s="9" t="n"/>
      <c r="AU716" s="9" t="n"/>
      <c r="AV716" s="9" t="n"/>
      <c r="AW716" s="9" t="n"/>
      <c r="AX716" s="9" t="n"/>
      <c r="AY716" s="9" t="n"/>
      <c r="AZ716" s="9" t="n"/>
      <c r="BA716" s="9" t="n"/>
    </row>
    <row r="717" ht="15.75" customHeight="1" s="18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  <c r="AH717" s="9" t="n"/>
      <c r="AI717" s="9" t="n"/>
      <c r="AJ717" s="9" t="n"/>
      <c r="AK717" s="9" t="n"/>
      <c r="AL717" s="9" t="n"/>
      <c r="AM717" s="9" t="n"/>
      <c r="AN717" s="9" t="n"/>
      <c r="AO717" s="9" t="n"/>
      <c r="AP717" s="9" t="n"/>
      <c r="AQ717" s="9" t="n"/>
      <c r="AR717" s="9" t="n"/>
      <c r="AS717" s="9" t="n"/>
      <c r="AT717" s="9" t="n"/>
      <c r="AU717" s="9" t="n"/>
      <c r="AV717" s="9" t="n"/>
      <c r="AW717" s="9" t="n"/>
      <c r="AX717" s="9" t="n"/>
      <c r="AY717" s="9" t="n"/>
      <c r="AZ717" s="9" t="n"/>
      <c r="BA717" s="9" t="n"/>
    </row>
    <row r="718" ht="15.75" customHeight="1" s="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  <c r="AH718" s="9" t="n"/>
      <c r="AI718" s="9" t="n"/>
      <c r="AJ718" s="9" t="n"/>
      <c r="AK718" s="9" t="n"/>
      <c r="AL718" s="9" t="n"/>
      <c r="AM718" s="9" t="n"/>
      <c r="AN718" s="9" t="n"/>
      <c r="AO718" s="9" t="n"/>
      <c r="AP718" s="9" t="n"/>
      <c r="AQ718" s="9" t="n"/>
      <c r="AR718" s="9" t="n"/>
      <c r="AS718" s="9" t="n"/>
      <c r="AT718" s="9" t="n"/>
      <c r="AU718" s="9" t="n"/>
      <c r="AV718" s="9" t="n"/>
      <c r="AW718" s="9" t="n"/>
      <c r="AX718" s="9" t="n"/>
      <c r="AY718" s="9" t="n"/>
      <c r="AZ718" s="9" t="n"/>
      <c r="BA718" s="9" t="n"/>
    </row>
    <row r="719" ht="15.75" customHeight="1" s="18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  <c r="AH719" s="9" t="n"/>
      <c r="AI719" s="9" t="n"/>
      <c r="AJ719" s="9" t="n"/>
      <c r="AK719" s="9" t="n"/>
      <c r="AL719" s="9" t="n"/>
      <c r="AM719" s="9" t="n"/>
      <c r="AN719" s="9" t="n"/>
      <c r="AO719" s="9" t="n"/>
      <c r="AP719" s="9" t="n"/>
      <c r="AQ719" s="9" t="n"/>
      <c r="AR719" s="9" t="n"/>
      <c r="AS719" s="9" t="n"/>
      <c r="AT719" s="9" t="n"/>
      <c r="AU719" s="9" t="n"/>
      <c r="AV719" s="9" t="n"/>
      <c r="AW719" s="9" t="n"/>
      <c r="AX719" s="9" t="n"/>
      <c r="AY719" s="9" t="n"/>
      <c r="AZ719" s="9" t="n"/>
      <c r="BA719" s="9" t="n"/>
    </row>
    <row r="720" ht="15.75" customHeight="1" s="18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  <c r="AH720" s="9" t="n"/>
      <c r="AI720" s="9" t="n"/>
      <c r="AJ720" s="9" t="n"/>
      <c r="AK720" s="9" t="n"/>
      <c r="AL720" s="9" t="n"/>
      <c r="AM720" s="9" t="n"/>
      <c r="AN720" s="9" t="n"/>
      <c r="AO720" s="9" t="n"/>
      <c r="AP720" s="9" t="n"/>
      <c r="AQ720" s="9" t="n"/>
      <c r="AR720" s="9" t="n"/>
      <c r="AS720" s="9" t="n"/>
      <c r="AT720" s="9" t="n"/>
      <c r="AU720" s="9" t="n"/>
      <c r="AV720" s="9" t="n"/>
      <c r="AW720" s="9" t="n"/>
      <c r="AX720" s="9" t="n"/>
      <c r="AY720" s="9" t="n"/>
      <c r="AZ720" s="9" t="n"/>
      <c r="BA720" s="9" t="n"/>
    </row>
    <row r="721" ht="15.75" customHeight="1" s="18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  <c r="AH721" s="9" t="n"/>
      <c r="AI721" s="9" t="n"/>
      <c r="AJ721" s="9" t="n"/>
      <c r="AK721" s="9" t="n"/>
      <c r="AL721" s="9" t="n"/>
      <c r="AM721" s="9" t="n"/>
      <c r="AN721" s="9" t="n"/>
      <c r="AO721" s="9" t="n"/>
      <c r="AP721" s="9" t="n"/>
      <c r="AQ721" s="9" t="n"/>
      <c r="AR721" s="9" t="n"/>
      <c r="AS721" s="9" t="n"/>
      <c r="AT721" s="9" t="n"/>
      <c r="AU721" s="9" t="n"/>
      <c r="AV721" s="9" t="n"/>
      <c r="AW721" s="9" t="n"/>
      <c r="AX721" s="9" t="n"/>
      <c r="AY721" s="9" t="n"/>
      <c r="AZ721" s="9" t="n"/>
      <c r="BA721" s="9" t="n"/>
    </row>
    <row r="722" ht="15.75" customHeight="1" s="18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  <c r="AH722" s="9" t="n"/>
      <c r="AI722" s="9" t="n"/>
      <c r="AJ722" s="9" t="n"/>
      <c r="AK722" s="9" t="n"/>
      <c r="AL722" s="9" t="n"/>
      <c r="AM722" s="9" t="n"/>
      <c r="AN722" s="9" t="n"/>
      <c r="AO722" s="9" t="n"/>
      <c r="AP722" s="9" t="n"/>
      <c r="AQ722" s="9" t="n"/>
      <c r="AR722" s="9" t="n"/>
      <c r="AS722" s="9" t="n"/>
      <c r="AT722" s="9" t="n"/>
      <c r="AU722" s="9" t="n"/>
      <c r="AV722" s="9" t="n"/>
      <c r="AW722" s="9" t="n"/>
      <c r="AX722" s="9" t="n"/>
      <c r="AY722" s="9" t="n"/>
      <c r="AZ722" s="9" t="n"/>
      <c r="BA722" s="9" t="n"/>
    </row>
    <row r="723" ht="15.75" customHeight="1" s="18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  <c r="AH723" s="9" t="n"/>
      <c r="AI723" s="9" t="n"/>
      <c r="AJ723" s="9" t="n"/>
      <c r="AK723" s="9" t="n"/>
      <c r="AL723" s="9" t="n"/>
      <c r="AM723" s="9" t="n"/>
      <c r="AN723" s="9" t="n"/>
      <c r="AO723" s="9" t="n"/>
      <c r="AP723" s="9" t="n"/>
      <c r="AQ723" s="9" t="n"/>
      <c r="AR723" s="9" t="n"/>
      <c r="AS723" s="9" t="n"/>
      <c r="AT723" s="9" t="n"/>
      <c r="AU723" s="9" t="n"/>
      <c r="AV723" s="9" t="n"/>
      <c r="AW723" s="9" t="n"/>
      <c r="AX723" s="9" t="n"/>
      <c r="AY723" s="9" t="n"/>
      <c r="AZ723" s="9" t="n"/>
      <c r="BA723" s="9" t="n"/>
    </row>
    <row r="724" ht="15.75" customHeight="1" s="18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  <c r="AH724" s="9" t="n"/>
      <c r="AI724" s="9" t="n"/>
      <c r="AJ724" s="9" t="n"/>
      <c r="AK724" s="9" t="n"/>
      <c r="AL724" s="9" t="n"/>
      <c r="AM724" s="9" t="n"/>
      <c r="AN724" s="9" t="n"/>
      <c r="AO724" s="9" t="n"/>
      <c r="AP724" s="9" t="n"/>
      <c r="AQ724" s="9" t="n"/>
      <c r="AR724" s="9" t="n"/>
      <c r="AS724" s="9" t="n"/>
      <c r="AT724" s="9" t="n"/>
      <c r="AU724" s="9" t="n"/>
      <c r="AV724" s="9" t="n"/>
      <c r="AW724" s="9" t="n"/>
      <c r="AX724" s="9" t="n"/>
      <c r="AY724" s="9" t="n"/>
      <c r="AZ724" s="9" t="n"/>
      <c r="BA724" s="9" t="n"/>
    </row>
    <row r="725" ht="15.75" customHeight="1" s="18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  <c r="AH725" s="9" t="n"/>
      <c r="AI725" s="9" t="n"/>
      <c r="AJ725" s="9" t="n"/>
      <c r="AK725" s="9" t="n"/>
      <c r="AL725" s="9" t="n"/>
      <c r="AM725" s="9" t="n"/>
      <c r="AN725" s="9" t="n"/>
      <c r="AO725" s="9" t="n"/>
      <c r="AP725" s="9" t="n"/>
      <c r="AQ725" s="9" t="n"/>
      <c r="AR725" s="9" t="n"/>
      <c r="AS725" s="9" t="n"/>
      <c r="AT725" s="9" t="n"/>
      <c r="AU725" s="9" t="n"/>
      <c r="AV725" s="9" t="n"/>
      <c r="AW725" s="9" t="n"/>
      <c r="AX725" s="9" t="n"/>
      <c r="AY725" s="9" t="n"/>
      <c r="AZ725" s="9" t="n"/>
      <c r="BA725" s="9" t="n"/>
    </row>
    <row r="726" ht="15.75" customHeight="1" s="18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  <c r="AH726" s="9" t="n"/>
      <c r="AI726" s="9" t="n"/>
      <c r="AJ726" s="9" t="n"/>
      <c r="AK726" s="9" t="n"/>
      <c r="AL726" s="9" t="n"/>
      <c r="AM726" s="9" t="n"/>
      <c r="AN726" s="9" t="n"/>
      <c r="AO726" s="9" t="n"/>
      <c r="AP726" s="9" t="n"/>
      <c r="AQ726" s="9" t="n"/>
      <c r="AR726" s="9" t="n"/>
      <c r="AS726" s="9" t="n"/>
      <c r="AT726" s="9" t="n"/>
      <c r="AU726" s="9" t="n"/>
      <c r="AV726" s="9" t="n"/>
      <c r="AW726" s="9" t="n"/>
      <c r="AX726" s="9" t="n"/>
      <c r="AY726" s="9" t="n"/>
      <c r="AZ726" s="9" t="n"/>
      <c r="BA726" s="9" t="n"/>
    </row>
    <row r="727" ht="15.75" customHeight="1" s="18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  <c r="AH727" s="9" t="n"/>
      <c r="AI727" s="9" t="n"/>
      <c r="AJ727" s="9" t="n"/>
      <c r="AK727" s="9" t="n"/>
      <c r="AL727" s="9" t="n"/>
      <c r="AM727" s="9" t="n"/>
      <c r="AN727" s="9" t="n"/>
      <c r="AO727" s="9" t="n"/>
      <c r="AP727" s="9" t="n"/>
      <c r="AQ727" s="9" t="n"/>
      <c r="AR727" s="9" t="n"/>
      <c r="AS727" s="9" t="n"/>
      <c r="AT727" s="9" t="n"/>
      <c r="AU727" s="9" t="n"/>
      <c r="AV727" s="9" t="n"/>
      <c r="AW727" s="9" t="n"/>
      <c r="AX727" s="9" t="n"/>
      <c r="AY727" s="9" t="n"/>
      <c r="AZ727" s="9" t="n"/>
      <c r="BA727" s="9" t="n"/>
    </row>
    <row r="728" ht="15.75" customHeight="1" s="1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  <c r="AH728" s="9" t="n"/>
      <c r="AI728" s="9" t="n"/>
      <c r="AJ728" s="9" t="n"/>
      <c r="AK728" s="9" t="n"/>
      <c r="AL728" s="9" t="n"/>
      <c r="AM728" s="9" t="n"/>
      <c r="AN728" s="9" t="n"/>
      <c r="AO728" s="9" t="n"/>
      <c r="AP728" s="9" t="n"/>
      <c r="AQ728" s="9" t="n"/>
      <c r="AR728" s="9" t="n"/>
      <c r="AS728" s="9" t="n"/>
      <c r="AT728" s="9" t="n"/>
      <c r="AU728" s="9" t="n"/>
      <c r="AV728" s="9" t="n"/>
      <c r="AW728" s="9" t="n"/>
      <c r="AX728" s="9" t="n"/>
      <c r="AY728" s="9" t="n"/>
      <c r="AZ728" s="9" t="n"/>
      <c r="BA728" s="9" t="n"/>
    </row>
    <row r="729" ht="15.75" customHeight="1" s="18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  <c r="AH729" s="9" t="n"/>
      <c r="AI729" s="9" t="n"/>
      <c r="AJ729" s="9" t="n"/>
      <c r="AK729" s="9" t="n"/>
      <c r="AL729" s="9" t="n"/>
      <c r="AM729" s="9" t="n"/>
      <c r="AN729" s="9" t="n"/>
      <c r="AO729" s="9" t="n"/>
      <c r="AP729" s="9" t="n"/>
      <c r="AQ729" s="9" t="n"/>
      <c r="AR729" s="9" t="n"/>
      <c r="AS729" s="9" t="n"/>
      <c r="AT729" s="9" t="n"/>
      <c r="AU729" s="9" t="n"/>
      <c r="AV729" s="9" t="n"/>
      <c r="AW729" s="9" t="n"/>
      <c r="AX729" s="9" t="n"/>
      <c r="AY729" s="9" t="n"/>
      <c r="AZ729" s="9" t="n"/>
      <c r="BA729" s="9" t="n"/>
    </row>
    <row r="730" ht="15.75" customHeight="1" s="18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  <c r="AH730" s="9" t="n"/>
      <c r="AI730" s="9" t="n"/>
      <c r="AJ730" s="9" t="n"/>
      <c r="AK730" s="9" t="n"/>
      <c r="AL730" s="9" t="n"/>
      <c r="AM730" s="9" t="n"/>
      <c r="AN730" s="9" t="n"/>
      <c r="AO730" s="9" t="n"/>
      <c r="AP730" s="9" t="n"/>
      <c r="AQ730" s="9" t="n"/>
      <c r="AR730" s="9" t="n"/>
      <c r="AS730" s="9" t="n"/>
      <c r="AT730" s="9" t="n"/>
      <c r="AU730" s="9" t="n"/>
      <c r="AV730" s="9" t="n"/>
      <c r="AW730" s="9" t="n"/>
      <c r="AX730" s="9" t="n"/>
      <c r="AY730" s="9" t="n"/>
      <c r="AZ730" s="9" t="n"/>
      <c r="BA730" s="9" t="n"/>
    </row>
    <row r="731" ht="15.75" customHeight="1" s="18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  <c r="AH731" s="9" t="n"/>
      <c r="AI731" s="9" t="n"/>
      <c r="AJ731" s="9" t="n"/>
      <c r="AK731" s="9" t="n"/>
      <c r="AL731" s="9" t="n"/>
      <c r="AM731" s="9" t="n"/>
      <c r="AN731" s="9" t="n"/>
      <c r="AO731" s="9" t="n"/>
      <c r="AP731" s="9" t="n"/>
      <c r="AQ731" s="9" t="n"/>
      <c r="AR731" s="9" t="n"/>
      <c r="AS731" s="9" t="n"/>
      <c r="AT731" s="9" t="n"/>
      <c r="AU731" s="9" t="n"/>
      <c r="AV731" s="9" t="n"/>
      <c r="AW731" s="9" t="n"/>
      <c r="AX731" s="9" t="n"/>
      <c r="AY731" s="9" t="n"/>
      <c r="AZ731" s="9" t="n"/>
      <c r="BA731" s="9" t="n"/>
    </row>
    <row r="732" ht="15.75" customHeight="1" s="18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  <c r="AH732" s="9" t="n"/>
      <c r="AI732" s="9" t="n"/>
      <c r="AJ732" s="9" t="n"/>
      <c r="AK732" s="9" t="n"/>
      <c r="AL732" s="9" t="n"/>
      <c r="AM732" s="9" t="n"/>
      <c r="AN732" s="9" t="n"/>
      <c r="AO732" s="9" t="n"/>
      <c r="AP732" s="9" t="n"/>
      <c r="AQ732" s="9" t="n"/>
      <c r="AR732" s="9" t="n"/>
      <c r="AS732" s="9" t="n"/>
      <c r="AT732" s="9" t="n"/>
      <c r="AU732" s="9" t="n"/>
      <c r="AV732" s="9" t="n"/>
      <c r="AW732" s="9" t="n"/>
      <c r="AX732" s="9" t="n"/>
      <c r="AY732" s="9" t="n"/>
      <c r="AZ732" s="9" t="n"/>
      <c r="BA732" s="9" t="n"/>
    </row>
    <row r="733" ht="15.75" customHeight="1" s="18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  <c r="AH733" s="9" t="n"/>
      <c r="AI733" s="9" t="n"/>
      <c r="AJ733" s="9" t="n"/>
      <c r="AK733" s="9" t="n"/>
      <c r="AL733" s="9" t="n"/>
      <c r="AM733" s="9" t="n"/>
      <c r="AN733" s="9" t="n"/>
      <c r="AO733" s="9" t="n"/>
      <c r="AP733" s="9" t="n"/>
      <c r="AQ733" s="9" t="n"/>
      <c r="AR733" s="9" t="n"/>
      <c r="AS733" s="9" t="n"/>
      <c r="AT733" s="9" t="n"/>
      <c r="AU733" s="9" t="n"/>
      <c r="AV733" s="9" t="n"/>
      <c r="AW733" s="9" t="n"/>
      <c r="AX733" s="9" t="n"/>
      <c r="AY733" s="9" t="n"/>
      <c r="AZ733" s="9" t="n"/>
      <c r="BA733" s="9" t="n"/>
    </row>
    <row r="734" ht="15.75" customHeight="1" s="18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  <c r="AH734" s="9" t="n"/>
      <c r="AI734" s="9" t="n"/>
      <c r="AJ734" s="9" t="n"/>
      <c r="AK734" s="9" t="n"/>
      <c r="AL734" s="9" t="n"/>
      <c r="AM734" s="9" t="n"/>
      <c r="AN734" s="9" t="n"/>
      <c r="AO734" s="9" t="n"/>
      <c r="AP734" s="9" t="n"/>
      <c r="AQ734" s="9" t="n"/>
      <c r="AR734" s="9" t="n"/>
      <c r="AS734" s="9" t="n"/>
      <c r="AT734" s="9" t="n"/>
      <c r="AU734" s="9" t="n"/>
      <c r="AV734" s="9" t="n"/>
      <c r="AW734" s="9" t="n"/>
      <c r="AX734" s="9" t="n"/>
      <c r="AY734" s="9" t="n"/>
      <c r="AZ734" s="9" t="n"/>
      <c r="BA734" s="9" t="n"/>
    </row>
    <row r="735" ht="15.75" customHeight="1" s="18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  <c r="AH735" s="9" t="n"/>
      <c r="AI735" s="9" t="n"/>
      <c r="AJ735" s="9" t="n"/>
      <c r="AK735" s="9" t="n"/>
      <c r="AL735" s="9" t="n"/>
      <c r="AM735" s="9" t="n"/>
      <c r="AN735" s="9" t="n"/>
      <c r="AO735" s="9" t="n"/>
      <c r="AP735" s="9" t="n"/>
      <c r="AQ735" s="9" t="n"/>
      <c r="AR735" s="9" t="n"/>
      <c r="AS735" s="9" t="n"/>
      <c r="AT735" s="9" t="n"/>
      <c r="AU735" s="9" t="n"/>
      <c r="AV735" s="9" t="n"/>
      <c r="AW735" s="9" t="n"/>
      <c r="AX735" s="9" t="n"/>
      <c r="AY735" s="9" t="n"/>
      <c r="AZ735" s="9" t="n"/>
      <c r="BA735" s="9" t="n"/>
    </row>
    <row r="736" ht="15.75" customHeight="1" s="18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  <c r="AH736" s="9" t="n"/>
      <c r="AI736" s="9" t="n"/>
      <c r="AJ736" s="9" t="n"/>
      <c r="AK736" s="9" t="n"/>
      <c r="AL736" s="9" t="n"/>
      <c r="AM736" s="9" t="n"/>
      <c r="AN736" s="9" t="n"/>
      <c r="AO736" s="9" t="n"/>
      <c r="AP736" s="9" t="n"/>
      <c r="AQ736" s="9" t="n"/>
      <c r="AR736" s="9" t="n"/>
      <c r="AS736" s="9" t="n"/>
      <c r="AT736" s="9" t="n"/>
      <c r="AU736" s="9" t="n"/>
      <c r="AV736" s="9" t="n"/>
      <c r="AW736" s="9" t="n"/>
      <c r="AX736" s="9" t="n"/>
      <c r="AY736" s="9" t="n"/>
      <c r="AZ736" s="9" t="n"/>
      <c r="BA736" s="9" t="n"/>
    </row>
    <row r="737" ht="15.75" customHeight="1" s="18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  <c r="AH737" s="9" t="n"/>
      <c r="AI737" s="9" t="n"/>
      <c r="AJ737" s="9" t="n"/>
      <c r="AK737" s="9" t="n"/>
      <c r="AL737" s="9" t="n"/>
      <c r="AM737" s="9" t="n"/>
      <c r="AN737" s="9" t="n"/>
      <c r="AO737" s="9" t="n"/>
      <c r="AP737" s="9" t="n"/>
      <c r="AQ737" s="9" t="n"/>
      <c r="AR737" s="9" t="n"/>
      <c r="AS737" s="9" t="n"/>
      <c r="AT737" s="9" t="n"/>
      <c r="AU737" s="9" t="n"/>
      <c r="AV737" s="9" t="n"/>
      <c r="AW737" s="9" t="n"/>
      <c r="AX737" s="9" t="n"/>
      <c r="AY737" s="9" t="n"/>
      <c r="AZ737" s="9" t="n"/>
      <c r="BA737" s="9" t="n"/>
    </row>
    <row r="738" ht="15.75" customHeight="1" s="1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  <c r="AH738" s="9" t="n"/>
      <c r="AI738" s="9" t="n"/>
      <c r="AJ738" s="9" t="n"/>
      <c r="AK738" s="9" t="n"/>
      <c r="AL738" s="9" t="n"/>
      <c r="AM738" s="9" t="n"/>
      <c r="AN738" s="9" t="n"/>
      <c r="AO738" s="9" t="n"/>
      <c r="AP738" s="9" t="n"/>
      <c r="AQ738" s="9" t="n"/>
      <c r="AR738" s="9" t="n"/>
      <c r="AS738" s="9" t="n"/>
      <c r="AT738" s="9" t="n"/>
      <c r="AU738" s="9" t="n"/>
      <c r="AV738" s="9" t="n"/>
      <c r="AW738" s="9" t="n"/>
      <c r="AX738" s="9" t="n"/>
      <c r="AY738" s="9" t="n"/>
      <c r="AZ738" s="9" t="n"/>
      <c r="BA738" s="9" t="n"/>
    </row>
    <row r="739" ht="15.75" customHeight="1" s="18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  <c r="AH739" s="9" t="n"/>
      <c r="AI739" s="9" t="n"/>
      <c r="AJ739" s="9" t="n"/>
      <c r="AK739" s="9" t="n"/>
      <c r="AL739" s="9" t="n"/>
      <c r="AM739" s="9" t="n"/>
      <c r="AN739" s="9" t="n"/>
      <c r="AO739" s="9" t="n"/>
      <c r="AP739" s="9" t="n"/>
      <c r="AQ739" s="9" t="n"/>
      <c r="AR739" s="9" t="n"/>
      <c r="AS739" s="9" t="n"/>
      <c r="AT739" s="9" t="n"/>
      <c r="AU739" s="9" t="n"/>
      <c r="AV739" s="9" t="n"/>
      <c r="AW739" s="9" t="n"/>
      <c r="AX739" s="9" t="n"/>
      <c r="AY739" s="9" t="n"/>
      <c r="AZ739" s="9" t="n"/>
      <c r="BA739" s="9" t="n"/>
    </row>
    <row r="740" ht="15.75" customHeight="1" s="18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  <c r="AH740" s="9" t="n"/>
      <c r="AI740" s="9" t="n"/>
      <c r="AJ740" s="9" t="n"/>
      <c r="AK740" s="9" t="n"/>
      <c r="AL740" s="9" t="n"/>
      <c r="AM740" s="9" t="n"/>
      <c r="AN740" s="9" t="n"/>
      <c r="AO740" s="9" t="n"/>
      <c r="AP740" s="9" t="n"/>
      <c r="AQ740" s="9" t="n"/>
      <c r="AR740" s="9" t="n"/>
      <c r="AS740" s="9" t="n"/>
      <c r="AT740" s="9" t="n"/>
      <c r="AU740" s="9" t="n"/>
      <c r="AV740" s="9" t="n"/>
      <c r="AW740" s="9" t="n"/>
      <c r="AX740" s="9" t="n"/>
      <c r="AY740" s="9" t="n"/>
      <c r="AZ740" s="9" t="n"/>
      <c r="BA740" s="9" t="n"/>
    </row>
    <row r="741" ht="15.75" customHeight="1" s="18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  <c r="AH741" s="9" t="n"/>
      <c r="AI741" s="9" t="n"/>
      <c r="AJ741" s="9" t="n"/>
      <c r="AK741" s="9" t="n"/>
      <c r="AL741" s="9" t="n"/>
      <c r="AM741" s="9" t="n"/>
      <c r="AN741" s="9" t="n"/>
      <c r="AO741" s="9" t="n"/>
      <c r="AP741" s="9" t="n"/>
      <c r="AQ741" s="9" t="n"/>
      <c r="AR741" s="9" t="n"/>
      <c r="AS741" s="9" t="n"/>
      <c r="AT741" s="9" t="n"/>
      <c r="AU741" s="9" t="n"/>
      <c r="AV741" s="9" t="n"/>
      <c r="AW741" s="9" t="n"/>
      <c r="AX741" s="9" t="n"/>
      <c r="AY741" s="9" t="n"/>
      <c r="AZ741" s="9" t="n"/>
      <c r="BA741" s="9" t="n"/>
    </row>
    <row r="742" ht="15.75" customHeight="1" s="18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  <c r="AH742" s="9" t="n"/>
      <c r="AI742" s="9" t="n"/>
      <c r="AJ742" s="9" t="n"/>
      <c r="AK742" s="9" t="n"/>
      <c r="AL742" s="9" t="n"/>
      <c r="AM742" s="9" t="n"/>
      <c r="AN742" s="9" t="n"/>
      <c r="AO742" s="9" t="n"/>
      <c r="AP742" s="9" t="n"/>
      <c r="AQ742" s="9" t="n"/>
      <c r="AR742" s="9" t="n"/>
      <c r="AS742" s="9" t="n"/>
      <c r="AT742" s="9" t="n"/>
      <c r="AU742" s="9" t="n"/>
      <c r="AV742" s="9" t="n"/>
      <c r="AW742" s="9" t="n"/>
      <c r="AX742" s="9" t="n"/>
      <c r="AY742" s="9" t="n"/>
      <c r="AZ742" s="9" t="n"/>
      <c r="BA742" s="9" t="n"/>
    </row>
    <row r="743" ht="15.75" customHeight="1" s="18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  <c r="AH743" s="9" t="n"/>
      <c r="AI743" s="9" t="n"/>
      <c r="AJ743" s="9" t="n"/>
      <c r="AK743" s="9" t="n"/>
      <c r="AL743" s="9" t="n"/>
      <c r="AM743" s="9" t="n"/>
      <c r="AN743" s="9" t="n"/>
      <c r="AO743" s="9" t="n"/>
      <c r="AP743" s="9" t="n"/>
      <c r="AQ743" s="9" t="n"/>
      <c r="AR743" s="9" t="n"/>
      <c r="AS743" s="9" t="n"/>
      <c r="AT743" s="9" t="n"/>
      <c r="AU743" s="9" t="n"/>
      <c r="AV743" s="9" t="n"/>
      <c r="AW743" s="9" t="n"/>
      <c r="AX743" s="9" t="n"/>
      <c r="AY743" s="9" t="n"/>
      <c r="AZ743" s="9" t="n"/>
      <c r="BA743" s="9" t="n"/>
    </row>
    <row r="744" ht="15.75" customHeight="1" s="18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  <c r="AH744" s="9" t="n"/>
      <c r="AI744" s="9" t="n"/>
      <c r="AJ744" s="9" t="n"/>
      <c r="AK744" s="9" t="n"/>
      <c r="AL744" s="9" t="n"/>
      <c r="AM744" s="9" t="n"/>
      <c r="AN744" s="9" t="n"/>
      <c r="AO744" s="9" t="n"/>
      <c r="AP744" s="9" t="n"/>
      <c r="AQ744" s="9" t="n"/>
      <c r="AR744" s="9" t="n"/>
      <c r="AS744" s="9" t="n"/>
      <c r="AT744" s="9" t="n"/>
      <c r="AU744" s="9" t="n"/>
      <c r="AV744" s="9" t="n"/>
      <c r="AW744" s="9" t="n"/>
      <c r="AX744" s="9" t="n"/>
      <c r="AY744" s="9" t="n"/>
      <c r="AZ744" s="9" t="n"/>
      <c r="BA744" s="9" t="n"/>
    </row>
    <row r="745" ht="15.75" customHeight="1" s="18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  <c r="AH745" s="9" t="n"/>
      <c r="AI745" s="9" t="n"/>
      <c r="AJ745" s="9" t="n"/>
      <c r="AK745" s="9" t="n"/>
      <c r="AL745" s="9" t="n"/>
      <c r="AM745" s="9" t="n"/>
      <c r="AN745" s="9" t="n"/>
      <c r="AO745" s="9" t="n"/>
      <c r="AP745" s="9" t="n"/>
      <c r="AQ745" s="9" t="n"/>
      <c r="AR745" s="9" t="n"/>
      <c r="AS745" s="9" t="n"/>
      <c r="AT745" s="9" t="n"/>
      <c r="AU745" s="9" t="n"/>
      <c r="AV745" s="9" t="n"/>
      <c r="AW745" s="9" t="n"/>
      <c r="AX745" s="9" t="n"/>
      <c r="AY745" s="9" t="n"/>
      <c r="AZ745" s="9" t="n"/>
      <c r="BA745" s="9" t="n"/>
    </row>
    <row r="746" ht="15.75" customHeight="1" s="18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  <c r="AH746" s="9" t="n"/>
      <c r="AI746" s="9" t="n"/>
      <c r="AJ746" s="9" t="n"/>
      <c r="AK746" s="9" t="n"/>
      <c r="AL746" s="9" t="n"/>
      <c r="AM746" s="9" t="n"/>
      <c r="AN746" s="9" t="n"/>
      <c r="AO746" s="9" t="n"/>
      <c r="AP746" s="9" t="n"/>
      <c r="AQ746" s="9" t="n"/>
      <c r="AR746" s="9" t="n"/>
      <c r="AS746" s="9" t="n"/>
      <c r="AT746" s="9" t="n"/>
      <c r="AU746" s="9" t="n"/>
      <c r="AV746" s="9" t="n"/>
      <c r="AW746" s="9" t="n"/>
      <c r="AX746" s="9" t="n"/>
      <c r="AY746" s="9" t="n"/>
      <c r="AZ746" s="9" t="n"/>
      <c r="BA746" s="9" t="n"/>
    </row>
    <row r="747" ht="15.75" customHeight="1" s="18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  <c r="AH747" s="9" t="n"/>
      <c r="AI747" s="9" t="n"/>
      <c r="AJ747" s="9" t="n"/>
      <c r="AK747" s="9" t="n"/>
      <c r="AL747" s="9" t="n"/>
      <c r="AM747" s="9" t="n"/>
      <c r="AN747" s="9" t="n"/>
      <c r="AO747" s="9" t="n"/>
      <c r="AP747" s="9" t="n"/>
      <c r="AQ747" s="9" t="n"/>
      <c r="AR747" s="9" t="n"/>
      <c r="AS747" s="9" t="n"/>
      <c r="AT747" s="9" t="n"/>
      <c r="AU747" s="9" t="n"/>
      <c r="AV747" s="9" t="n"/>
      <c r="AW747" s="9" t="n"/>
      <c r="AX747" s="9" t="n"/>
      <c r="AY747" s="9" t="n"/>
      <c r="AZ747" s="9" t="n"/>
      <c r="BA747" s="9" t="n"/>
    </row>
    <row r="748" ht="15.75" customHeight="1" s="1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  <c r="AH748" s="9" t="n"/>
      <c r="AI748" s="9" t="n"/>
      <c r="AJ748" s="9" t="n"/>
      <c r="AK748" s="9" t="n"/>
      <c r="AL748" s="9" t="n"/>
      <c r="AM748" s="9" t="n"/>
      <c r="AN748" s="9" t="n"/>
      <c r="AO748" s="9" t="n"/>
      <c r="AP748" s="9" t="n"/>
      <c r="AQ748" s="9" t="n"/>
      <c r="AR748" s="9" t="n"/>
      <c r="AS748" s="9" t="n"/>
      <c r="AT748" s="9" t="n"/>
      <c r="AU748" s="9" t="n"/>
      <c r="AV748" s="9" t="n"/>
      <c r="AW748" s="9" t="n"/>
      <c r="AX748" s="9" t="n"/>
      <c r="AY748" s="9" t="n"/>
      <c r="AZ748" s="9" t="n"/>
      <c r="BA748" s="9" t="n"/>
    </row>
    <row r="749" ht="15.75" customHeight="1" s="18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  <c r="AH749" s="9" t="n"/>
      <c r="AI749" s="9" t="n"/>
      <c r="AJ749" s="9" t="n"/>
      <c r="AK749" s="9" t="n"/>
      <c r="AL749" s="9" t="n"/>
      <c r="AM749" s="9" t="n"/>
      <c r="AN749" s="9" t="n"/>
      <c r="AO749" s="9" t="n"/>
      <c r="AP749" s="9" t="n"/>
      <c r="AQ749" s="9" t="n"/>
      <c r="AR749" s="9" t="n"/>
      <c r="AS749" s="9" t="n"/>
      <c r="AT749" s="9" t="n"/>
      <c r="AU749" s="9" t="n"/>
      <c r="AV749" s="9" t="n"/>
      <c r="AW749" s="9" t="n"/>
      <c r="AX749" s="9" t="n"/>
      <c r="AY749" s="9" t="n"/>
      <c r="AZ749" s="9" t="n"/>
      <c r="BA749" s="9" t="n"/>
    </row>
    <row r="750" ht="15.75" customHeight="1" s="18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  <c r="AH750" s="9" t="n"/>
      <c r="AI750" s="9" t="n"/>
      <c r="AJ750" s="9" t="n"/>
      <c r="AK750" s="9" t="n"/>
      <c r="AL750" s="9" t="n"/>
      <c r="AM750" s="9" t="n"/>
      <c r="AN750" s="9" t="n"/>
      <c r="AO750" s="9" t="n"/>
      <c r="AP750" s="9" t="n"/>
      <c r="AQ750" s="9" t="n"/>
      <c r="AR750" s="9" t="n"/>
      <c r="AS750" s="9" t="n"/>
      <c r="AT750" s="9" t="n"/>
      <c r="AU750" s="9" t="n"/>
      <c r="AV750" s="9" t="n"/>
      <c r="AW750" s="9" t="n"/>
      <c r="AX750" s="9" t="n"/>
      <c r="AY750" s="9" t="n"/>
      <c r="AZ750" s="9" t="n"/>
      <c r="BA750" s="9" t="n"/>
    </row>
    <row r="751" ht="15.75" customHeight="1" s="18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  <c r="AH751" s="9" t="n"/>
      <c r="AI751" s="9" t="n"/>
      <c r="AJ751" s="9" t="n"/>
      <c r="AK751" s="9" t="n"/>
      <c r="AL751" s="9" t="n"/>
      <c r="AM751" s="9" t="n"/>
      <c r="AN751" s="9" t="n"/>
      <c r="AO751" s="9" t="n"/>
      <c r="AP751" s="9" t="n"/>
      <c r="AQ751" s="9" t="n"/>
      <c r="AR751" s="9" t="n"/>
      <c r="AS751" s="9" t="n"/>
      <c r="AT751" s="9" t="n"/>
      <c r="AU751" s="9" t="n"/>
      <c r="AV751" s="9" t="n"/>
      <c r="AW751" s="9" t="n"/>
      <c r="AX751" s="9" t="n"/>
      <c r="AY751" s="9" t="n"/>
      <c r="AZ751" s="9" t="n"/>
      <c r="BA751" s="9" t="n"/>
    </row>
    <row r="752" ht="15.75" customHeight="1" s="18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  <c r="AH752" s="9" t="n"/>
      <c r="AI752" s="9" t="n"/>
      <c r="AJ752" s="9" t="n"/>
      <c r="AK752" s="9" t="n"/>
      <c r="AL752" s="9" t="n"/>
      <c r="AM752" s="9" t="n"/>
      <c r="AN752" s="9" t="n"/>
      <c r="AO752" s="9" t="n"/>
      <c r="AP752" s="9" t="n"/>
      <c r="AQ752" s="9" t="n"/>
      <c r="AR752" s="9" t="n"/>
      <c r="AS752" s="9" t="n"/>
      <c r="AT752" s="9" t="n"/>
      <c r="AU752" s="9" t="n"/>
      <c r="AV752" s="9" t="n"/>
      <c r="AW752" s="9" t="n"/>
      <c r="AX752" s="9" t="n"/>
      <c r="AY752" s="9" t="n"/>
      <c r="AZ752" s="9" t="n"/>
      <c r="BA752" s="9" t="n"/>
    </row>
    <row r="753" ht="15.75" customHeight="1" s="18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  <c r="AH753" s="9" t="n"/>
      <c r="AI753" s="9" t="n"/>
      <c r="AJ753" s="9" t="n"/>
      <c r="AK753" s="9" t="n"/>
      <c r="AL753" s="9" t="n"/>
      <c r="AM753" s="9" t="n"/>
      <c r="AN753" s="9" t="n"/>
      <c r="AO753" s="9" t="n"/>
      <c r="AP753" s="9" t="n"/>
      <c r="AQ753" s="9" t="n"/>
      <c r="AR753" s="9" t="n"/>
      <c r="AS753" s="9" t="n"/>
      <c r="AT753" s="9" t="n"/>
      <c r="AU753" s="9" t="n"/>
      <c r="AV753" s="9" t="n"/>
      <c r="AW753" s="9" t="n"/>
      <c r="AX753" s="9" t="n"/>
      <c r="AY753" s="9" t="n"/>
      <c r="AZ753" s="9" t="n"/>
      <c r="BA753" s="9" t="n"/>
    </row>
    <row r="754" ht="15.75" customHeight="1" s="18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  <c r="AH754" s="9" t="n"/>
      <c r="AI754" s="9" t="n"/>
      <c r="AJ754" s="9" t="n"/>
      <c r="AK754" s="9" t="n"/>
      <c r="AL754" s="9" t="n"/>
      <c r="AM754" s="9" t="n"/>
      <c r="AN754" s="9" t="n"/>
      <c r="AO754" s="9" t="n"/>
      <c r="AP754" s="9" t="n"/>
      <c r="AQ754" s="9" t="n"/>
      <c r="AR754" s="9" t="n"/>
      <c r="AS754" s="9" t="n"/>
      <c r="AT754" s="9" t="n"/>
      <c r="AU754" s="9" t="n"/>
      <c r="AV754" s="9" t="n"/>
      <c r="AW754" s="9" t="n"/>
      <c r="AX754" s="9" t="n"/>
      <c r="AY754" s="9" t="n"/>
      <c r="AZ754" s="9" t="n"/>
      <c r="BA754" s="9" t="n"/>
    </row>
    <row r="755" ht="15.75" customHeight="1" s="18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  <c r="AH755" s="9" t="n"/>
      <c r="AI755" s="9" t="n"/>
      <c r="AJ755" s="9" t="n"/>
      <c r="AK755" s="9" t="n"/>
      <c r="AL755" s="9" t="n"/>
      <c r="AM755" s="9" t="n"/>
      <c r="AN755" s="9" t="n"/>
      <c r="AO755" s="9" t="n"/>
      <c r="AP755" s="9" t="n"/>
      <c r="AQ755" s="9" t="n"/>
      <c r="AR755" s="9" t="n"/>
      <c r="AS755" s="9" t="n"/>
      <c r="AT755" s="9" t="n"/>
      <c r="AU755" s="9" t="n"/>
      <c r="AV755" s="9" t="n"/>
      <c r="AW755" s="9" t="n"/>
      <c r="AX755" s="9" t="n"/>
      <c r="AY755" s="9" t="n"/>
      <c r="AZ755" s="9" t="n"/>
      <c r="BA755" s="9" t="n"/>
    </row>
    <row r="756" ht="15.75" customHeight="1" s="18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  <c r="AH756" s="9" t="n"/>
      <c r="AI756" s="9" t="n"/>
      <c r="AJ756" s="9" t="n"/>
      <c r="AK756" s="9" t="n"/>
      <c r="AL756" s="9" t="n"/>
      <c r="AM756" s="9" t="n"/>
      <c r="AN756" s="9" t="n"/>
      <c r="AO756" s="9" t="n"/>
      <c r="AP756" s="9" t="n"/>
      <c r="AQ756" s="9" t="n"/>
      <c r="AR756" s="9" t="n"/>
      <c r="AS756" s="9" t="n"/>
      <c r="AT756" s="9" t="n"/>
      <c r="AU756" s="9" t="n"/>
      <c r="AV756" s="9" t="n"/>
      <c r="AW756" s="9" t="n"/>
      <c r="AX756" s="9" t="n"/>
      <c r="AY756" s="9" t="n"/>
      <c r="AZ756" s="9" t="n"/>
      <c r="BA756" s="9" t="n"/>
    </row>
    <row r="757" ht="15.75" customHeight="1" s="18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  <c r="AH757" s="9" t="n"/>
      <c r="AI757" s="9" t="n"/>
      <c r="AJ757" s="9" t="n"/>
      <c r="AK757" s="9" t="n"/>
      <c r="AL757" s="9" t="n"/>
      <c r="AM757" s="9" t="n"/>
      <c r="AN757" s="9" t="n"/>
      <c r="AO757" s="9" t="n"/>
      <c r="AP757" s="9" t="n"/>
      <c r="AQ757" s="9" t="n"/>
      <c r="AR757" s="9" t="n"/>
      <c r="AS757" s="9" t="n"/>
      <c r="AT757" s="9" t="n"/>
      <c r="AU757" s="9" t="n"/>
      <c r="AV757" s="9" t="n"/>
      <c r="AW757" s="9" t="n"/>
      <c r="AX757" s="9" t="n"/>
      <c r="AY757" s="9" t="n"/>
      <c r="AZ757" s="9" t="n"/>
      <c r="BA757" s="9" t="n"/>
    </row>
    <row r="758" ht="15.75" customHeight="1" s="1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  <c r="AH758" s="9" t="n"/>
      <c r="AI758" s="9" t="n"/>
      <c r="AJ758" s="9" t="n"/>
      <c r="AK758" s="9" t="n"/>
      <c r="AL758" s="9" t="n"/>
      <c r="AM758" s="9" t="n"/>
      <c r="AN758" s="9" t="n"/>
      <c r="AO758" s="9" t="n"/>
      <c r="AP758" s="9" t="n"/>
      <c r="AQ758" s="9" t="n"/>
      <c r="AR758" s="9" t="n"/>
      <c r="AS758" s="9" t="n"/>
      <c r="AT758" s="9" t="n"/>
      <c r="AU758" s="9" t="n"/>
      <c r="AV758" s="9" t="n"/>
      <c r="AW758" s="9" t="n"/>
      <c r="AX758" s="9" t="n"/>
      <c r="AY758" s="9" t="n"/>
      <c r="AZ758" s="9" t="n"/>
      <c r="BA758" s="9" t="n"/>
    </row>
    <row r="759" ht="15.75" customHeight="1" s="18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  <c r="AH759" s="9" t="n"/>
      <c r="AI759" s="9" t="n"/>
      <c r="AJ759" s="9" t="n"/>
      <c r="AK759" s="9" t="n"/>
      <c r="AL759" s="9" t="n"/>
      <c r="AM759" s="9" t="n"/>
      <c r="AN759" s="9" t="n"/>
      <c r="AO759" s="9" t="n"/>
      <c r="AP759" s="9" t="n"/>
      <c r="AQ759" s="9" t="n"/>
      <c r="AR759" s="9" t="n"/>
      <c r="AS759" s="9" t="n"/>
      <c r="AT759" s="9" t="n"/>
      <c r="AU759" s="9" t="n"/>
      <c r="AV759" s="9" t="n"/>
      <c r="AW759" s="9" t="n"/>
      <c r="AX759" s="9" t="n"/>
      <c r="AY759" s="9" t="n"/>
      <c r="AZ759" s="9" t="n"/>
      <c r="BA759" s="9" t="n"/>
    </row>
    <row r="760" ht="15.75" customHeight="1" s="18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  <c r="AH760" s="9" t="n"/>
      <c r="AI760" s="9" t="n"/>
      <c r="AJ760" s="9" t="n"/>
      <c r="AK760" s="9" t="n"/>
      <c r="AL760" s="9" t="n"/>
      <c r="AM760" s="9" t="n"/>
      <c r="AN760" s="9" t="n"/>
      <c r="AO760" s="9" t="n"/>
      <c r="AP760" s="9" t="n"/>
      <c r="AQ760" s="9" t="n"/>
      <c r="AR760" s="9" t="n"/>
      <c r="AS760" s="9" t="n"/>
      <c r="AT760" s="9" t="n"/>
      <c r="AU760" s="9" t="n"/>
      <c r="AV760" s="9" t="n"/>
      <c r="AW760" s="9" t="n"/>
      <c r="AX760" s="9" t="n"/>
      <c r="AY760" s="9" t="n"/>
      <c r="AZ760" s="9" t="n"/>
      <c r="BA760" s="9" t="n"/>
    </row>
    <row r="761" ht="15.75" customHeight="1" s="18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  <c r="AH761" s="9" t="n"/>
      <c r="AI761" s="9" t="n"/>
      <c r="AJ761" s="9" t="n"/>
      <c r="AK761" s="9" t="n"/>
      <c r="AL761" s="9" t="n"/>
      <c r="AM761" s="9" t="n"/>
      <c r="AN761" s="9" t="n"/>
      <c r="AO761" s="9" t="n"/>
      <c r="AP761" s="9" t="n"/>
      <c r="AQ761" s="9" t="n"/>
      <c r="AR761" s="9" t="n"/>
      <c r="AS761" s="9" t="n"/>
      <c r="AT761" s="9" t="n"/>
      <c r="AU761" s="9" t="n"/>
      <c r="AV761" s="9" t="n"/>
      <c r="AW761" s="9" t="n"/>
      <c r="AX761" s="9" t="n"/>
      <c r="AY761" s="9" t="n"/>
      <c r="AZ761" s="9" t="n"/>
      <c r="BA761" s="9" t="n"/>
    </row>
    <row r="762" ht="15.75" customHeight="1" s="18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  <c r="AH762" s="9" t="n"/>
      <c r="AI762" s="9" t="n"/>
      <c r="AJ762" s="9" t="n"/>
      <c r="AK762" s="9" t="n"/>
      <c r="AL762" s="9" t="n"/>
      <c r="AM762" s="9" t="n"/>
      <c r="AN762" s="9" t="n"/>
      <c r="AO762" s="9" t="n"/>
      <c r="AP762" s="9" t="n"/>
      <c r="AQ762" s="9" t="n"/>
      <c r="AR762" s="9" t="n"/>
      <c r="AS762" s="9" t="n"/>
      <c r="AT762" s="9" t="n"/>
      <c r="AU762" s="9" t="n"/>
      <c r="AV762" s="9" t="n"/>
      <c r="AW762" s="9" t="n"/>
      <c r="AX762" s="9" t="n"/>
      <c r="AY762" s="9" t="n"/>
      <c r="AZ762" s="9" t="n"/>
      <c r="BA762" s="9" t="n"/>
    </row>
    <row r="763" ht="15.75" customHeight="1" s="18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  <c r="AH763" s="9" t="n"/>
      <c r="AI763" s="9" t="n"/>
      <c r="AJ763" s="9" t="n"/>
      <c r="AK763" s="9" t="n"/>
      <c r="AL763" s="9" t="n"/>
      <c r="AM763" s="9" t="n"/>
      <c r="AN763" s="9" t="n"/>
      <c r="AO763" s="9" t="n"/>
      <c r="AP763" s="9" t="n"/>
      <c r="AQ763" s="9" t="n"/>
      <c r="AR763" s="9" t="n"/>
      <c r="AS763" s="9" t="n"/>
      <c r="AT763" s="9" t="n"/>
      <c r="AU763" s="9" t="n"/>
      <c r="AV763" s="9" t="n"/>
      <c r="AW763" s="9" t="n"/>
      <c r="AX763" s="9" t="n"/>
      <c r="AY763" s="9" t="n"/>
      <c r="AZ763" s="9" t="n"/>
      <c r="BA763" s="9" t="n"/>
    </row>
    <row r="764" ht="15.75" customHeight="1" s="18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  <c r="AH764" s="9" t="n"/>
      <c r="AI764" s="9" t="n"/>
      <c r="AJ764" s="9" t="n"/>
      <c r="AK764" s="9" t="n"/>
      <c r="AL764" s="9" t="n"/>
      <c r="AM764" s="9" t="n"/>
      <c r="AN764" s="9" t="n"/>
      <c r="AO764" s="9" t="n"/>
      <c r="AP764" s="9" t="n"/>
      <c r="AQ764" s="9" t="n"/>
      <c r="AR764" s="9" t="n"/>
      <c r="AS764" s="9" t="n"/>
      <c r="AT764" s="9" t="n"/>
      <c r="AU764" s="9" t="n"/>
      <c r="AV764" s="9" t="n"/>
      <c r="AW764" s="9" t="n"/>
      <c r="AX764" s="9" t="n"/>
      <c r="AY764" s="9" t="n"/>
      <c r="AZ764" s="9" t="n"/>
      <c r="BA764" s="9" t="n"/>
    </row>
    <row r="765" ht="15.75" customHeight="1" s="18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  <c r="AH765" s="9" t="n"/>
      <c r="AI765" s="9" t="n"/>
      <c r="AJ765" s="9" t="n"/>
      <c r="AK765" s="9" t="n"/>
      <c r="AL765" s="9" t="n"/>
      <c r="AM765" s="9" t="n"/>
      <c r="AN765" s="9" t="n"/>
      <c r="AO765" s="9" t="n"/>
      <c r="AP765" s="9" t="n"/>
      <c r="AQ765" s="9" t="n"/>
      <c r="AR765" s="9" t="n"/>
      <c r="AS765" s="9" t="n"/>
      <c r="AT765" s="9" t="n"/>
      <c r="AU765" s="9" t="n"/>
      <c r="AV765" s="9" t="n"/>
      <c r="AW765" s="9" t="n"/>
      <c r="AX765" s="9" t="n"/>
      <c r="AY765" s="9" t="n"/>
      <c r="AZ765" s="9" t="n"/>
      <c r="BA765" s="9" t="n"/>
    </row>
    <row r="766" ht="15.75" customHeight="1" s="18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  <c r="AH766" s="9" t="n"/>
      <c r="AI766" s="9" t="n"/>
      <c r="AJ766" s="9" t="n"/>
      <c r="AK766" s="9" t="n"/>
      <c r="AL766" s="9" t="n"/>
      <c r="AM766" s="9" t="n"/>
      <c r="AN766" s="9" t="n"/>
      <c r="AO766" s="9" t="n"/>
      <c r="AP766" s="9" t="n"/>
      <c r="AQ766" s="9" t="n"/>
      <c r="AR766" s="9" t="n"/>
      <c r="AS766" s="9" t="n"/>
      <c r="AT766" s="9" t="n"/>
      <c r="AU766" s="9" t="n"/>
      <c r="AV766" s="9" t="n"/>
      <c r="AW766" s="9" t="n"/>
      <c r="AX766" s="9" t="n"/>
      <c r="AY766" s="9" t="n"/>
      <c r="AZ766" s="9" t="n"/>
      <c r="BA766" s="9" t="n"/>
    </row>
    <row r="767" ht="15.75" customHeight="1" s="18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  <c r="AH767" s="9" t="n"/>
      <c r="AI767" s="9" t="n"/>
      <c r="AJ767" s="9" t="n"/>
      <c r="AK767" s="9" t="n"/>
      <c r="AL767" s="9" t="n"/>
      <c r="AM767" s="9" t="n"/>
      <c r="AN767" s="9" t="n"/>
      <c r="AO767" s="9" t="n"/>
      <c r="AP767" s="9" t="n"/>
      <c r="AQ767" s="9" t="n"/>
      <c r="AR767" s="9" t="n"/>
      <c r="AS767" s="9" t="n"/>
      <c r="AT767" s="9" t="n"/>
      <c r="AU767" s="9" t="n"/>
      <c r="AV767" s="9" t="n"/>
      <c r="AW767" s="9" t="n"/>
      <c r="AX767" s="9" t="n"/>
      <c r="AY767" s="9" t="n"/>
      <c r="AZ767" s="9" t="n"/>
      <c r="BA767" s="9" t="n"/>
    </row>
    <row r="768" ht="15.75" customHeight="1" s="1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  <c r="AH768" s="9" t="n"/>
      <c r="AI768" s="9" t="n"/>
      <c r="AJ768" s="9" t="n"/>
      <c r="AK768" s="9" t="n"/>
      <c r="AL768" s="9" t="n"/>
      <c r="AM768" s="9" t="n"/>
      <c r="AN768" s="9" t="n"/>
      <c r="AO768" s="9" t="n"/>
      <c r="AP768" s="9" t="n"/>
      <c r="AQ768" s="9" t="n"/>
      <c r="AR768" s="9" t="n"/>
      <c r="AS768" s="9" t="n"/>
      <c r="AT768" s="9" t="n"/>
      <c r="AU768" s="9" t="n"/>
      <c r="AV768" s="9" t="n"/>
      <c r="AW768" s="9" t="n"/>
      <c r="AX768" s="9" t="n"/>
      <c r="AY768" s="9" t="n"/>
      <c r="AZ768" s="9" t="n"/>
      <c r="BA768" s="9" t="n"/>
    </row>
    <row r="769" ht="15.75" customHeight="1" s="18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  <c r="AH769" s="9" t="n"/>
      <c r="AI769" s="9" t="n"/>
      <c r="AJ769" s="9" t="n"/>
      <c r="AK769" s="9" t="n"/>
      <c r="AL769" s="9" t="n"/>
      <c r="AM769" s="9" t="n"/>
      <c r="AN769" s="9" t="n"/>
      <c r="AO769" s="9" t="n"/>
      <c r="AP769" s="9" t="n"/>
      <c r="AQ769" s="9" t="n"/>
      <c r="AR769" s="9" t="n"/>
      <c r="AS769" s="9" t="n"/>
      <c r="AT769" s="9" t="n"/>
      <c r="AU769" s="9" t="n"/>
      <c r="AV769" s="9" t="n"/>
      <c r="AW769" s="9" t="n"/>
      <c r="AX769" s="9" t="n"/>
      <c r="AY769" s="9" t="n"/>
      <c r="AZ769" s="9" t="n"/>
      <c r="BA769" s="9" t="n"/>
    </row>
    <row r="770" ht="15.75" customHeight="1" s="18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  <c r="AH770" s="9" t="n"/>
      <c r="AI770" s="9" t="n"/>
      <c r="AJ770" s="9" t="n"/>
      <c r="AK770" s="9" t="n"/>
      <c r="AL770" s="9" t="n"/>
      <c r="AM770" s="9" t="n"/>
      <c r="AN770" s="9" t="n"/>
      <c r="AO770" s="9" t="n"/>
      <c r="AP770" s="9" t="n"/>
      <c r="AQ770" s="9" t="n"/>
      <c r="AR770" s="9" t="n"/>
      <c r="AS770" s="9" t="n"/>
      <c r="AT770" s="9" t="n"/>
      <c r="AU770" s="9" t="n"/>
      <c r="AV770" s="9" t="n"/>
      <c r="AW770" s="9" t="n"/>
      <c r="AX770" s="9" t="n"/>
      <c r="AY770" s="9" t="n"/>
      <c r="AZ770" s="9" t="n"/>
      <c r="BA770" s="9" t="n"/>
    </row>
    <row r="771" ht="15.75" customHeight="1" s="18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  <c r="AH771" s="9" t="n"/>
      <c r="AI771" s="9" t="n"/>
      <c r="AJ771" s="9" t="n"/>
      <c r="AK771" s="9" t="n"/>
      <c r="AL771" s="9" t="n"/>
      <c r="AM771" s="9" t="n"/>
      <c r="AN771" s="9" t="n"/>
      <c r="AO771" s="9" t="n"/>
      <c r="AP771" s="9" t="n"/>
      <c r="AQ771" s="9" t="n"/>
      <c r="AR771" s="9" t="n"/>
      <c r="AS771" s="9" t="n"/>
      <c r="AT771" s="9" t="n"/>
      <c r="AU771" s="9" t="n"/>
      <c r="AV771" s="9" t="n"/>
      <c r="AW771" s="9" t="n"/>
      <c r="AX771" s="9" t="n"/>
      <c r="AY771" s="9" t="n"/>
      <c r="AZ771" s="9" t="n"/>
      <c r="BA771" s="9" t="n"/>
    </row>
    <row r="772" ht="15.75" customHeight="1" s="18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  <c r="AH772" s="9" t="n"/>
      <c r="AI772" s="9" t="n"/>
      <c r="AJ772" s="9" t="n"/>
      <c r="AK772" s="9" t="n"/>
      <c r="AL772" s="9" t="n"/>
      <c r="AM772" s="9" t="n"/>
      <c r="AN772" s="9" t="n"/>
      <c r="AO772" s="9" t="n"/>
      <c r="AP772" s="9" t="n"/>
      <c r="AQ772" s="9" t="n"/>
      <c r="AR772" s="9" t="n"/>
      <c r="AS772" s="9" t="n"/>
      <c r="AT772" s="9" t="n"/>
      <c r="AU772" s="9" t="n"/>
      <c r="AV772" s="9" t="n"/>
      <c r="AW772" s="9" t="n"/>
      <c r="AX772" s="9" t="n"/>
      <c r="AY772" s="9" t="n"/>
      <c r="AZ772" s="9" t="n"/>
      <c r="BA772" s="9" t="n"/>
    </row>
    <row r="773" ht="15.75" customHeight="1" s="18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  <c r="AH773" s="9" t="n"/>
      <c r="AI773" s="9" t="n"/>
      <c r="AJ773" s="9" t="n"/>
      <c r="AK773" s="9" t="n"/>
      <c r="AL773" s="9" t="n"/>
      <c r="AM773" s="9" t="n"/>
      <c r="AN773" s="9" t="n"/>
      <c r="AO773" s="9" t="n"/>
      <c r="AP773" s="9" t="n"/>
      <c r="AQ773" s="9" t="n"/>
      <c r="AR773" s="9" t="n"/>
      <c r="AS773" s="9" t="n"/>
      <c r="AT773" s="9" t="n"/>
      <c r="AU773" s="9" t="n"/>
      <c r="AV773" s="9" t="n"/>
      <c r="AW773" s="9" t="n"/>
      <c r="AX773" s="9" t="n"/>
      <c r="AY773" s="9" t="n"/>
      <c r="AZ773" s="9" t="n"/>
      <c r="BA773" s="9" t="n"/>
    </row>
    <row r="774" ht="15.75" customHeight="1" s="18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  <c r="AH774" s="9" t="n"/>
      <c r="AI774" s="9" t="n"/>
      <c r="AJ774" s="9" t="n"/>
      <c r="AK774" s="9" t="n"/>
      <c r="AL774" s="9" t="n"/>
      <c r="AM774" s="9" t="n"/>
      <c r="AN774" s="9" t="n"/>
      <c r="AO774" s="9" t="n"/>
      <c r="AP774" s="9" t="n"/>
      <c r="AQ774" s="9" t="n"/>
      <c r="AR774" s="9" t="n"/>
      <c r="AS774" s="9" t="n"/>
      <c r="AT774" s="9" t="n"/>
      <c r="AU774" s="9" t="n"/>
      <c r="AV774" s="9" t="n"/>
      <c r="AW774" s="9" t="n"/>
      <c r="AX774" s="9" t="n"/>
      <c r="AY774" s="9" t="n"/>
      <c r="AZ774" s="9" t="n"/>
      <c r="BA774" s="9" t="n"/>
    </row>
    <row r="775" ht="15.75" customHeight="1" s="18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  <c r="AH775" s="9" t="n"/>
      <c r="AI775" s="9" t="n"/>
      <c r="AJ775" s="9" t="n"/>
      <c r="AK775" s="9" t="n"/>
      <c r="AL775" s="9" t="n"/>
      <c r="AM775" s="9" t="n"/>
      <c r="AN775" s="9" t="n"/>
      <c r="AO775" s="9" t="n"/>
      <c r="AP775" s="9" t="n"/>
      <c r="AQ775" s="9" t="n"/>
      <c r="AR775" s="9" t="n"/>
      <c r="AS775" s="9" t="n"/>
      <c r="AT775" s="9" t="n"/>
      <c r="AU775" s="9" t="n"/>
      <c r="AV775" s="9" t="n"/>
      <c r="AW775" s="9" t="n"/>
      <c r="AX775" s="9" t="n"/>
      <c r="AY775" s="9" t="n"/>
      <c r="AZ775" s="9" t="n"/>
      <c r="BA775" s="9" t="n"/>
    </row>
    <row r="776" ht="15.75" customHeight="1" s="18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  <c r="AH776" s="9" t="n"/>
      <c r="AI776" s="9" t="n"/>
      <c r="AJ776" s="9" t="n"/>
      <c r="AK776" s="9" t="n"/>
      <c r="AL776" s="9" t="n"/>
      <c r="AM776" s="9" t="n"/>
      <c r="AN776" s="9" t="n"/>
      <c r="AO776" s="9" t="n"/>
      <c r="AP776" s="9" t="n"/>
      <c r="AQ776" s="9" t="n"/>
      <c r="AR776" s="9" t="n"/>
      <c r="AS776" s="9" t="n"/>
      <c r="AT776" s="9" t="n"/>
      <c r="AU776" s="9" t="n"/>
      <c r="AV776" s="9" t="n"/>
      <c r="AW776" s="9" t="n"/>
      <c r="AX776" s="9" t="n"/>
      <c r="AY776" s="9" t="n"/>
      <c r="AZ776" s="9" t="n"/>
      <c r="BA776" s="9" t="n"/>
    </row>
    <row r="777" ht="15.75" customHeight="1" s="18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  <c r="AH777" s="9" t="n"/>
      <c r="AI777" s="9" t="n"/>
      <c r="AJ777" s="9" t="n"/>
      <c r="AK777" s="9" t="n"/>
      <c r="AL777" s="9" t="n"/>
      <c r="AM777" s="9" t="n"/>
      <c r="AN777" s="9" t="n"/>
      <c r="AO777" s="9" t="n"/>
      <c r="AP777" s="9" t="n"/>
      <c r="AQ777" s="9" t="n"/>
      <c r="AR777" s="9" t="n"/>
      <c r="AS777" s="9" t="n"/>
      <c r="AT777" s="9" t="n"/>
      <c r="AU777" s="9" t="n"/>
      <c r="AV777" s="9" t="n"/>
      <c r="AW777" s="9" t="n"/>
      <c r="AX777" s="9" t="n"/>
      <c r="AY777" s="9" t="n"/>
      <c r="AZ777" s="9" t="n"/>
      <c r="BA777" s="9" t="n"/>
    </row>
    <row r="778" ht="15.75" customHeight="1" s="1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  <c r="AH778" s="9" t="n"/>
      <c r="AI778" s="9" t="n"/>
      <c r="AJ778" s="9" t="n"/>
      <c r="AK778" s="9" t="n"/>
      <c r="AL778" s="9" t="n"/>
      <c r="AM778" s="9" t="n"/>
      <c r="AN778" s="9" t="n"/>
      <c r="AO778" s="9" t="n"/>
      <c r="AP778" s="9" t="n"/>
      <c r="AQ778" s="9" t="n"/>
      <c r="AR778" s="9" t="n"/>
      <c r="AS778" s="9" t="n"/>
      <c r="AT778" s="9" t="n"/>
      <c r="AU778" s="9" t="n"/>
      <c r="AV778" s="9" t="n"/>
      <c r="AW778" s="9" t="n"/>
      <c r="AX778" s="9" t="n"/>
      <c r="AY778" s="9" t="n"/>
      <c r="AZ778" s="9" t="n"/>
      <c r="BA778" s="9" t="n"/>
    </row>
    <row r="779" ht="15.75" customHeight="1" s="18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  <c r="AH779" s="9" t="n"/>
      <c r="AI779" s="9" t="n"/>
      <c r="AJ779" s="9" t="n"/>
      <c r="AK779" s="9" t="n"/>
      <c r="AL779" s="9" t="n"/>
      <c r="AM779" s="9" t="n"/>
      <c r="AN779" s="9" t="n"/>
      <c r="AO779" s="9" t="n"/>
      <c r="AP779" s="9" t="n"/>
      <c r="AQ779" s="9" t="n"/>
      <c r="AR779" s="9" t="n"/>
      <c r="AS779" s="9" t="n"/>
      <c r="AT779" s="9" t="n"/>
      <c r="AU779" s="9" t="n"/>
      <c r="AV779" s="9" t="n"/>
      <c r="AW779" s="9" t="n"/>
      <c r="AX779" s="9" t="n"/>
      <c r="AY779" s="9" t="n"/>
      <c r="AZ779" s="9" t="n"/>
      <c r="BA779" s="9" t="n"/>
    </row>
    <row r="780" ht="15.75" customHeight="1" s="18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  <c r="AH780" s="9" t="n"/>
      <c r="AI780" s="9" t="n"/>
      <c r="AJ780" s="9" t="n"/>
      <c r="AK780" s="9" t="n"/>
      <c r="AL780" s="9" t="n"/>
      <c r="AM780" s="9" t="n"/>
      <c r="AN780" s="9" t="n"/>
      <c r="AO780" s="9" t="n"/>
      <c r="AP780" s="9" t="n"/>
      <c r="AQ780" s="9" t="n"/>
      <c r="AR780" s="9" t="n"/>
      <c r="AS780" s="9" t="n"/>
      <c r="AT780" s="9" t="n"/>
      <c r="AU780" s="9" t="n"/>
      <c r="AV780" s="9" t="n"/>
      <c r="AW780" s="9" t="n"/>
      <c r="AX780" s="9" t="n"/>
      <c r="AY780" s="9" t="n"/>
      <c r="AZ780" s="9" t="n"/>
      <c r="BA780" s="9" t="n"/>
    </row>
    <row r="781" ht="15.75" customHeight="1" s="18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  <c r="AH781" s="9" t="n"/>
      <c r="AI781" s="9" t="n"/>
      <c r="AJ781" s="9" t="n"/>
      <c r="AK781" s="9" t="n"/>
      <c r="AL781" s="9" t="n"/>
      <c r="AM781" s="9" t="n"/>
      <c r="AN781" s="9" t="n"/>
      <c r="AO781" s="9" t="n"/>
      <c r="AP781" s="9" t="n"/>
      <c r="AQ781" s="9" t="n"/>
      <c r="AR781" s="9" t="n"/>
      <c r="AS781" s="9" t="n"/>
      <c r="AT781" s="9" t="n"/>
      <c r="AU781" s="9" t="n"/>
      <c r="AV781" s="9" t="n"/>
      <c r="AW781" s="9" t="n"/>
      <c r="AX781" s="9" t="n"/>
      <c r="AY781" s="9" t="n"/>
      <c r="AZ781" s="9" t="n"/>
      <c r="BA781" s="9" t="n"/>
    </row>
    <row r="782" ht="15.75" customHeight="1" s="18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  <c r="AH782" s="9" t="n"/>
      <c r="AI782" s="9" t="n"/>
      <c r="AJ782" s="9" t="n"/>
      <c r="AK782" s="9" t="n"/>
      <c r="AL782" s="9" t="n"/>
      <c r="AM782" s="9" t="n"/>
      <c r="AN782" s="9" t="n"/>
      <c r="AO782" s="9" t="n"/>
      <c r="AP782" s="9" t="n"/>
      <c r="AQ782" s="9" t="n"/>
      <c r="AR782" s="9" t="n"/>
      <c r="AS782" s="9" t="n"/>
      <c r="AT782" s="9" t="n"/>
      <c r="AU782" s="9" t="n"/>
      <c r="AV782" s="9" t="n"/>
      <c r="AW782" s="9" t="n"/>
      <c r="AX782" s="9" t="n"/>
      <c r="AY782" s="9" t="n"/>
      <c r="AZ782" s="9" t="n"/>
      <c r="BA782" s="9" t="n"/>
    </row>
    <row r="783" ht="15.75" customHeight="1" s="18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  <c r="AH783" s="9" t="n"/>
      <c r="AI783" s="9" t="n"/>
      <c r="AJ783" s="9" t="n"/>
      <c r="AK783" s="9" t="n"/>
      <c r="AL783" s="9" t="n"/>
      <c r="AM783" s="9" t="n"/>
      <c r="AN783" s="9" t="n"/>
      <c r="AO783" s="9" t="n"/>
      <c r="AP783" s="9" t="n"/>
      <c r="AQ783" s="9" t="n"/>
      <c r="AR783" s="9" t="n"/>
      <c r="AS783" s="9" t="n"/>
      <c r="AT783" s="9" t="n"/>
      <c r="AU783" s="9" t="n"/>
      <c r="AV783" s="9" t="n"/>
      <c r="AW783" s="9" t="n"/>
      <c r="AX783" s="9" t="n"/>
      <c r="AY783" s="9" t="n"/>
      <c r="AZ783" s="9" t="n"/>
      <c r="BA783" s="9" t="n"/>
    </row>
    <row r="784" ht="15.75" customHeight="1" s="18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  <c r="AH784" s="9" t="n"/>
      <c r="AI784" s="9" t="n"/>
      <c r="AJ784" s="9" t="n"/>
      <c r="AK784" s="9" t="n"/>
      <c r="AL784" s="9" t="n"/>
      <c r="AM784" s="9" t="n"/>
      <c r="AN784" s="9" t="n"/>
      <c r="AO784" s="9" t="n"/>
      <c r="AP784" s="9" t="n"/>
      <c r="AQ784" s="9" t="n"/>
      <c r="AR784" s="9" t="n"/>
      <c r="AS784" s="9" t="n"/>
      <c r="AT784" s="9" t="n"/>
      <c r="AU784" s="9" t="n"/>
      <c r="AV784" s="9" t="n"/>
      <c r="AW784" s="9" t="n"/>
      <c r="AX784" s="9" t="n"/>
      <c r="AY784" s="9" t="n"/>
      <c r="AZ784" s="9" t="n"/>
      <c r="BA784" s="9" t="n"/>
    </row>
    <row r="785" ht="15.75" customHeight="1" s="18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  <c r="AH785" s="9" t="n"/>
      <c r="AI785" s="9" t="n"/>
      <c r="AJ785" s="9" t="n"/>
      <c r="AK785" s="9" t="n"/>
      <c r="AL785" s="9" t="n"/>
      <c r="AM785" s="9" t="n"/>
      <c r="AN785" s="9" t="n"/>
      <c r="AO785" s="9" t="n"/>
      <c r="AP785" s="9" t="n"/>
      <c r="AQ785" s="9" t="n"/>
      <c r="AR785" s="9" t="n"/>
      <c r="AS785" s="9" t="n"/>
      <c r="AT785" s="9" t="n"/>
      <c r="AU785" s="9" t="n"/>
      <c r="AV785" s="9" t="n"/>
      <c r="AW785" s="9" t="n"/>
      <c r="AX785" s="9" t="n"/>
      <c r="AY785" s="9" t="n"/>
      <c r="AZ785" s="9" t="n"/>
      <c r="BA785" s="9" t="n"/>
    </row>
    <row r="786" ht="15.75" customHeight="1" s="18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  <c r="AH786" s="9" t="n"/>
      <c r="AI786" s="9" t="n"/>
      <c r="AJ786" s="9" t="n"/>
      <c r="AK786" s="9" t="n"/>
      <c r="AL786" s="9" t="n"/>
      <c r="AM786" s="9" t="n"/>
      <c r="AN786" s="9" t="n"/>
      <c r="AO786" s="9" t="n"/>
      <c r="AP786" s="9" t="n"/>
      <c r="AQ786" s="9" t="n"/>
      <c r="AR786" s="9" t="n"/>
      <c r="AS786" s="9" t="n"/>
      <c r="AT786" s="9" t="n"/>
      <c r="AU786" s="9" t="n"/>
      <c r="AV786" s="9" t="n"/>
      <c r="AW786" s="9" t="n"/>
      <c r="AX786" s="9" t="n"/>
      <c r="AY786" s="9" t="n"/>
      <c r="AZ786" s="9" t="n"/>
      <c r="BA786" s="9" t="n"/>
    </row>
    <row r="787" ht="15.75" customHeight="1" s="18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  <c r="AH787" s="9" t="n"/>
      <c r="AI787" s="9" t="n"/>
      <c r="AJ787" s="9" t="n"/>
      <c r="AK787" s="9" t="n"/>
      <c r="AL787" s="9" t="n"/>
      <c r="AM787" s="9" t="n"/>
      <c r="AN787" s="9" t="n"/>
      <c r="AO787" s="9" t="n"/>
      <c r="AP787" s="9" t="n"/>
      <c r="AQ787" s="9" t="n"/>
      <c r="AR787" s="9" t="n"/>
      <c r="AS787" s="9" t="n"/>
      <c r="AT787" s="9" t="n"/>
      <c r="AU787" s="9" t="n"/>
      <c r="AV787" s="9" t="n"/>
      <c r="AW787" s="9" t="n"/>
      <c r="AX787" s="9" t="n"/>
      <c r="AY787" s="9" t="n"/>
      <c r="AZ787" s="9" t="n"/>
      <c r="BA787" s="9" t="n"/>
    </row>
    <row r="788" ht="15.75" customHeight="1" s="1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  <c r="AH788" s="9" t="n"/>
      <c r="AI788" s="9" t="n"/>
      <c r="AJ788" s="9" t="n"/>
      <c r="AK788" s="9" t="n"/>
      <c r="AL788" s="9" t="n"/>
      <c r="AM788" s="9" t="n"/>
      <c r="AN788" s="9" t="n"/>
      <c r="AO788" s="9" t="n"/>
      <c r="AP788" s="9" t="n"/>
      <c r="AQ788" s="9" t="n"/>
      <c r="AR788" s="9" t="n"/>
      <c r="AS788" s="9" t="n"/>
      <c r="AT788" s="9" t="n"/>
      <c r="AU788" s="9" t="n"/>
      <c r="AV788" s="9" t="n"/>
      <c r="AW788" s="9" t="n"/>
      <c r="AX788" s="9" t="n"/>
      <c r="AY788" s="9" t="n"/>
      <c r="AZ788" s="9" t="n"/>
      <c r="BA788" s="9" t="n"/>
    </row>
    <row r="789" ht="15.75" customHeight="1" s="18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  <c r="AH789" s="9" t="n"/>
      <c r="AI789" s="9" t="n"/>
      <c r="AJ789" s="9" t="n"/>
      <c r="AK789" s="9" t="n"/>
      <c r="AL789" s="9" t="n"/>
      <c r="AM789" s="9" t="n"/>
      <c r="AN789" s="9" t="n"/>
      <c r="AO789" s="9" t="n"/>
      <c r="AP789" s="9" t="n"/>
      <c r="AQ789" s="9" t="n"/>
      <c r="AR789" s="9" t="n"/>
      <c r="AS789" s="9" t="n"/>
      <c r="AT789" s="9" t="n"/>
      <c r="AU789" s="9" t="n"/>
      <c r="AV789" s="9" t="n"/>
      <c r="AW789" s="9" t="n"/>
      <c r="AX789" s="9" t="n"/>
      <c r="AY789" s="9" t="n"/>
      <c r="AZ789" s="9" t="n"/>
      <c r="BA789" s="9" t="n"/>
    </row>
    <row r="790" ht="15.75" customHeight="1" s="18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  <c r="AH790" s="9" t="n"/>
      <c r="AI790" s="9" t="n"/>
      <c r="AJ790" s="9" t="n"/>
      <c r="AK790" s="9" t="n"/>
      <c r="AL790" s="9" t="n"/>
      <c r="AM790" s="9" t="n"/>
      <c r="AN790" s="9" t="n"/>
      <c r="AO790" s="9" t="n"/>
      <c r="AP790" s="9" t="n"/>
      <c r="AQ790" s="9" t="n"/>
      <c r="AR790" s="9" t="n"/>
      <c r="AS790" s="9" t="n"/>
      <c r="AT790" s="9" t="n"/>
      <c r="AU790" s="9" t="n"/>
      <c r="AV790" s="9" t="n"/>
      <c r="AW790" s="9" t="n"/>
      <c r="AX790" s="9" t="n"/>
      <c r="AY790" s="9" t="n"/>
      <c r="AZ790" s="9" t="n"/>
      <c r="BA790" s="9" t="n"/>
    </row>
    <row r="791" ht="15.75" customHeight="1" s="18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  <c r="AH791" s="9" t="n"/>
      <c r="AI791" s="9" t="n"/>
      <c r="AJ791" s="9" t="n"/>
      <c r="AK791" s="9" t="n"/>
      <c r="AL791" s="9" t="n"/>
      <c r="AM791" s="9" t="n"/>
      <c r="AN791" s="9" t="n"/>
      <c r="AO791" s="9" t="n"/>
      <c r="AP791" s="9" t="n"/>
      <c r="AQ791" s="9" t="n"/>
      <c r="AR791" s="9" t="n"/>
      <c r="AS791" s="9" t="n"/>
      <c r="AT791" s="9" t="n"/>
      <c r="AU791" s="9" t="n"/>
      <c r="AV791" s="9" t="n"/>
      <c r="AW791" s="9" t="n"/>
      <c r="AX791" s="9" t="n"/>
      <c r="AY791" s="9" t="n"/>
      <c r="AZ791" s="9" t="n"/>
      <c r="BA791" s="9" t="n"/>
    </row>
    <row r="792" ht="15.75" customHeight="1" s="18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  <c r="AH792" s="9" t="n"/>
      <c r="AI792" s="9" t="n"/>
      <c r="AJ792" s="9" t="n"/>
      <c r="AK792" s="9" t="n"/>
      <c r="AL792" s="9" t="n"/>
      <c r="AM792" s="9" t="n"/>
      <c r="AN792" s="9" t="n"/>
      <c r="AO792" s="9" t="n"/>
      <c r="AP792" s="9" t="n"/>
      <c r="AQ792" s="9" t="n"/>
      <c r="AR792" s="9" t="n"/>
      <c r="AS792" s="9" t="n"/>
      <c r="AT792" s="9" t="n"/>
      <c r="AU792" s="9" t="n"/>
      <c r="AV792" s="9" t="n"/>
      <c r="AW792" s="9" t="n"/>
      <c r="AX792" s="9" t="n"/>
      <c r="AY792" s="9" t="n"/>
      <c r="AZ792" s="9" t="n"/>
      <c r="BA792" s="9" t="n"/>
    </row>
    <row r="793" ht="15.75" customHeight="1" s="18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  <c r="AH793" s="9" t="n"/>
      <c r="AI793" s="9" t="n"/>
      <c r="AJ793" s="9" t="n"/>
      <c r="AK793" s="9" t="n"/>
      <c r="AL793" s="9" t="n"/>
      <c r="AM793" s="9" t="n"/>
      <c r="AN793" s="9" t="n"/>
      <c r="AO793" s="9" t="n"/>
      <c r="AP793" s="9" t="n"/>
      <c r="AQ793" s="9" t="n"/>
      <c r="AR793" s="9" t="n"/>
      <c r="AS793" s="9" t="n"/>
      <c r="AT793" s="9" t="n"/>
      <c r="AU793" s="9" t="n"/>
      <c r="AV793" s="9" t="n"/>
      <c r="AW793" s="9" t="n"/>
      <c r="AX793" s="9" t="n"/>
      <c r="AY793" s="9" t="n"/>
      <c r="AZ793" s="9" t="n"/>
      <c r="BA793" s="9" t="n"/>
    </row>
    <row r="794" ht="15.75" customHeight="1" s="18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  <c r="AH794" s="9" t="n"/>
      <c r="AI794" s="9" t="n"/>
      <c r="AJ794" s="9" t="n"/>
      <c r="AK794" s="9" t="n"/>
      <c r="AL794" s="9" t="n"/>
      <c r="AM794" s="9" t="n"/>
      <c r="AN794" s="9" t="n"/>
      <c r="AO794" s="9" t="n"/>
      <c r="AP794" s="9" t="n"/>
      <c r="AQ794" s="9" t="n"/>
      <c r="AR794" s="9" t="n"/>
      <c r="AS794" s="9" t="n"/>
      <c r="AT794" s="9" t="n"/>
      <c r="AU794" s="9" t="n"/>
      <c r="AV794" s="9" t="n"/>
      <c r="AW794" s="9" t="n"/>
      <c r="AX794" s="9" t="n"/>
      <c r="AY794" s="9" t="n"/>
      <c r="AZ794" s="9" t="n"/>
      <c r="BA794" s="9" t="n"/>
    </row>
    <row r="795" ht="15.75" customHeight="1" s="18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  <c r="AH795" s="9" t="n"/>
      <c r="AI795" s="9" t="n"/>
      <c r="AJ795" s="9" t="n"/>
      <c r="AK795" s="9" t="n"/>
      <c r="AL795" s="9" t="n"/>
      <c r="AM795" s="9" t="n"/>
      <c r="AN795" s="9" t="n"/>
      <c r="AO795" s="9" t="n"/>
      <c r="AP795" s="9" t="n"/>
      <c r="AQ795" s="9" t="n"/>
      <c r="AR795" s="9" t="n"/>
      <c r="AS795" s="9" t="n"/>
      <c r="AT795" s="9" t="n"/>
      <c r="AU795" s="9" t="n"/>
      <c r="AV795" s="9" t="n"/>
      <c r="AW795" s="9" t="n"/>
      <c r="AX795" s="9" t="n"/>
      <c r="AY795" s="9" t="n"/>
      <c r="AZ795" s="9" t="n"/>
      <c r="BA795" s="9" t="n"/>
    </row>
    <row r="796" ht="15.75" customHeight="1" s="18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  <c r="AH796" s="9" t="n"/>
      <c r="AI796" s="9" t="n"/>
      <c r="AJ796" s="9" t="n"/>
      <c r="AK796" s="9" t="n"/>
      <c r="AL796" s="9" t="n"/>
      <c r="AM796" s="9" t="n"/>
      <c r="AN796" s="9" t="n"/>
      <c r="AO796" s="9" t="n"/>
      <c r="AP796" s="9" t="n"/>
      <c r="AQ796" s="9" t="n"/>
      <c r="AR796" s="9" t="n"/>
      <c r="AS796" s="9" t="n"/>
      <c r="AT796" s="9" t="n"/>
      <c r="AU796" s="9" t="n"/>
      <c r="AV796" s="9" t="n"/>
      <c r="AW796" s="9" t="n"/>
      <c r="AX796" s="9" t="n"/>
      <c r="AY796" s="9" t="n"/>
      <c r="AZ796" s="9" t="n"/>
      <c r="BA796" s="9" t="n"/>
    </row>
    <row r="797" ht="15.75" customHeight="1" s="18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  <c r="AH797" s="9" t="n"/>
      <c r="AI797" s="9" t="n"/>
      <c r="AJ797" s="9" t="n"/>
      <c r="AK797" s="9" t="n"/>
      <c r="AL797" s="9" t="n"/>
      <c r="AM797" s="9" t="n"/>
      <c r="AN797" s="9" t="n"/>
      <c r="AO797" s="9" t="n"/>
      <c r="AP797" s="9" t="n"/>
      <c r="AQ797" s="9" t="n"/>
      <c r="AR797" s="9" t="n"/>
      <c r="AS797" s="9" t="n"/>
      <c r="AT797" s="9" t="n"/>
      <c r="AU797" s="9" t="n"/>
      <c r="AV797" s="9" t="n"/>
      <c r="AW797" s="9" t="n"/>
      <c r="AX797" s="9" t="n"/>
      <c r="AY797" s="9" t="n"/>
      <c r="AZ797" s="9" t="n"/>
      <c r="BA797" s="9" t="n"/>
    </row>
    <row r="798" ht="15.75" customHeight="1" s="1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  <c r="AH798" s="9" t="n"/>
      <c r="AI798" s="9" t="n"/>
      <c r="AJ798" s="9" t="n"/>
      <c r="AK798" s="9" t="n"/>
      <c r="AL798" s="9" t="n"/>
      <c r="AM798" s="9" t="n"/>
      <c r="AN798" s="9" t="n"/>
      <c r="AO798" s="9" t="n"/>
      <c r="AP798" s="9" t="n"/>
      <c r="AQ798" s="9" t="n"/>
      <c r="AR798" s="9" t="n"/>
      <c r="AS798" s="9" t="n"/>
      <c r="AT798" s="9" t="n"/>
      <c r="AU798" s="9" t="n"/>
      <c r="AV798" s="9" t="n"/>
      <c r="AW798" s="9" t="n"/>
      <c r="AX798" s="9" t="n"/>
      <c r="AY798" s="9" t="n"/>
      <c r="AZ798" s="9" t="n"/>
      <c r="BA798" s="9" t="n"/>
    </row>
    <row r="799" ht="15.75" customHeight="1" s="18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  <c r="AH799" s="9" t="n"/>
      <c r="AI799" s="9" t="n"/>
      <c r="AJ799" s="9" t="n"/>
      <c r="AK799" s="9" t="n"/>
      <c r="AL799" s="9" t="n"/>
      <c r="AM799" s="9" t="n"/>
      <c r="AN799" s="9" t="n"/>
      <c r="AO799" s="9" t="n"/>
      <c r="AP799" s="9" t="n"/>
      <c r="AQ799" s="9" t="n"/>
      <c r="AR799" s="9" t="n"/>
      <c r="AS799" s="9" t="n"/>
      <c r="AT799" s="9" t="n"/>
      <c r="AU799" s="9" t="n"/>
      <c r="AV799" s="9" t="n"/>
      <c r="AW799" s="9" t="n"/>
      <c r="AX799" s="9" t="n"/>
      <c r="AY799" s="9" t="n"/>
      <c r="AZ799" s="9" t="n"/>
      <c r="BA799" s="9" t="n"/>
    </row>
    <row r="800" ht="15.75" customHeight="1" s="18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  <c r="AH800" s="9" t="n"/>
      <c r="AI800" s="9" t="n"/>
      <c r="AJ800" s="9" t="n"/>
      <c r="AK800" s="9" t="n"/>
      <c r="AL800" s="9" t="n"/>
      <c r="AM800" s="9" t="n"/>
      <c r="AN800" s="9" t="n"/>
      <c r="AO800" s="9" t="n"/>
      <c r="AP800" s="9" t="n"/>
      <c r="AQ800" s="9" t="n"/>
      <c r="AR800" s="9" t="n"/>
      <c r="AS800" s="9" t="n"/>
      <c r="AT800" s="9" t="n"/>
      <c r="AU800" s="9" t="n"/>
      <c r="AV800" s="9" t="n"/>
      <c r="AW800" s="9" t="n"/>
      <c r="AX800" s="9" t="n"/>
      <c r="AY800" s="9" t="n"/>
      <c r="AZ800" s="9" t="n"/>
      <c r="BA800" s="9" t="n"/>
    </row>
    <row r="801" ht="15.75" customHeight="1" s="18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  <c r="AH801" s="9" t="n"/>
      <c r="AI801" s="9" t="n"/>
      <c r="AJ801" s="9" t="n"/>
      <c r="AK801" s="9" t="n"/>
      <c r="AL801" s="9" t="n"/>
      <c r="AM801" s="9" t="n"/>
      <c r="AN801" s="9" t="n"/>
      <c r="AO801" s="9" t="n"/>
      <c r="AP801" s="9" t="n"/>
      <c r="AQ801" s="9" t="n"/>
      <c r="AR801" s="9" t="n"/>
      <c r="AS801" s="9" t="n"/>
      <c r="AT801" s="9" t="n"/>
      <c r="AU801" s="9" t="n"/>
      <c r="AV801" s="9" t="n"/>
      <c r="AW801" s="9" t="n"/>
      <c r="AX801" s="9" t="n"/>
      <c r="AY801" s="9" t="n"/>
      <c r="AZ801" s="9" t="n"/>
      <c r="BA801" s="9" t="n"/>
    </row>
    <row r="802" ht="15.75" customHeight="1" s="18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  <c r="AH802" s="9" t="n"/>
      <c r="AI802" s="9" t="n"/>
      <c r="AJ802" s="9" t="n"/>
      <c r="AK802" s="9" t="n"/>
      <c r="AL802" s="9" t="n"/>
      <c r="AM802" s="9" t="n"/>
      <c r="AN802" s="9" t="n"/>
      <c r="AO802" s="9" t="n"/>
      <c r="AP802" s="9" t="n"/>
      <c r="AQ802" s="9" t="n"/>
      <c r="AR802" s="9" t="n"/>
      <c r="AS802" s="9" t="n"/>
      <c r="AT802" s="9" t="n"/>
      <c r="AU802" s="9" t="n"/>
      <c r="AV802" s="9" t="n"/>
      <c r="AW802" s="9" t="n"/>
      <c r="AX802" s="9" t="n"/>
      <c r="AY802" s="9" t="n"/>
      <c r="AZ802" s="9" t="n"/>
      <c r="BA802" s="9" t="n"/>
    </row>
    <row r="803" ht="15.75" customHeight="1" s="18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  <c r="AH803" s="9" t="n"/>
      <c r="AI803" s="9" t="n"/>
      <c r="AJ803" s="9" t="n"/>
      <c r="AK803" s="9" t="n"/>
      <c r="AL803" s="9" t="n"/>
      <c r="AM803" s="9" t="n"/>
      <c r="AN803" s="9" t="n"/>
      <c r="AO803" s="9" t="n"/>
      <c r="AP803" s="9" t="n"/>
      <c r="AQ803" s="9" t="n"/>
      <c r="AR803" s="9" t="n"/>
      <c r="AS803" s="9" t="n"/>
      <c r="AT803" s="9" t="n"/>
      <c r="AU803" s="9" t="n"/>
      <c r="AV803" s="9" t="n"/>
      <c r="AW803" s="9" t="n"/>
      <c r="AX803" s="9" t="n"/>
      <c r="AY803" s="9" t="n"/>
      <c r="AZ803" s="9" t="n"/>
      <c r="BA803" s="9" t="n"/>
    </row>
    <row r="804" ht="15.75" customHeight="1" s="18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  <c r="AH804" s="9" t="n"/>
      <c r="AI804" s="9" t="n"/>
      <c r="AJ804" s="9" t="n"/>
      <c r="AK804" s="9" t="n"/>
      <c r="AL804" s="9" t="n"/>
      <c r="AM804" s="9" t="n"/>
      <c r="AN804" s="9" t="n"/>
      <c r="AO804" s="9" t="n"/>
      <c r="AP804" s="9" t="n"/>
      <c r="AQ804" s="9" t="n"/>
      <c r="AR804" s="9" t="n"/>
      <c r="AS804" s="9" t="n"/>
      <c r="AT804" s="9" t="n"/>
      <c r="AU804" s="9" t="n"/>
      <c r="AV804" s="9" t="n"/>
      <c r="AW804" s="9" t="n"/>
      <c r="AX804" s="9" t="n"/>
      <c r="AY804" s="9" t="n"/>
      <c r="AZ804" s="9" t="n"/>
      <c r="BA804" s="9" t="n"/>
    </row>
    <row r="805" ht="15.75" customHeight="1" s="18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  <c r="AH805" s="9" t="n"/>
      <c r="AI805" s="9" t="n"/>
      <c r="AJ805" s="9" t="n"/>
      <c r="AK805" s="9" t="n"/>
      <c r="AL805" s="9" t="n"/>
      <c r="AM805" s="9" t="n"/>
      <c r="AN805" s="9" t="n"/>
      <c r="AO805" s="9" t="n"/>
      <c r="AP805" s="9" t="n"/>
      <c r="AQ805" s="9" t="n"/>
      <c r="AR805" s="9" t="n"/>
      <c r="AS805" s="9" t="n"/>
      <c r="AT805" s="9" t="n"/>
      <c r="AU805" s="9" t="n"/>
      <c r="AV805" s="9" t="n"/>
      <c r="AW805" s="9" t="n"/>
      <c r="AX805" s="9" t="n"/>
      <c r="AY805" s="9" t="n"/>
      <c r="AZ805" s="9" t="n"/>
      <c r="BA805" s="9" t="n"/>
    </row>
    <row r="806" ht="15.75" customHeight="1" s="18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  <c r="AH806" s="9" t="n"/>
      <c r="AI806" s="9" t="n"/>
      <c r="AJ806" s="9" t="n"/>
      <c r="AK806" s="9" t="n"/>
      <c r="AL806" s="9" t="n"/>
      <c r="AM806" s="9" t="n"/>
      <c r="AN806" s="9" t="n"/>
      <c r="AO806" s="9" t="n"/>
      <c r="AP806" s="9" t="n"/>
      <c r="AQ806" s="9" t="n"/>
      <c r="AR806" s="9" t="n"/>
      <c r="AS806" s="9" t="n"/>
      <c r="AT806" s="9" t="n"/>
      <c r="AU806" s="9" t="n"/>
      <c r="AV806" s="9" t="n"/>
      <c r="AW806" s="9" t="n"/>
      <c r="AX806" s="9" t="n"/>
      <c r="AY806" s="9" t="n"/>
      <c r="AZ806" s="9" t="n"/>
      <c r="BA806" s="9" t="n"/>
    </row>
    <row r="807" ht="15.75" customHeight="1" s="18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  <c r="AH807" s="9" t="n"/>
      <c r="AI807" s="9" t="n"/>
      <c r="AJ807" s="9" t="n"/>
      <c r="AK807" s="9" t="n"/>
      <c r="AL807" s="9" t="n"/>
      <c r="AM807" s="9" t="n"/>
      <c r="AN807" s="9" t="n"/>
      <c r="AO807" s="9" t="n"/>
      <c r="AP807" s="9" t="n"/>
      <c r="AQ807" s="9" t="n"/>
      <c r="AR807" s="9" t="n"/>
      <c r="AS807" s="9" t="n"/>
      <c r="AT807" s="9" t="n"/>
      <c r="AU807" s="9" t="n"/>
      <c r="AV807" s="9" t="n"/>
      <c r="AW807" s="9" t="n"/>
      <c r="AX807" s="9" t="n"/>
      <c r="AY807" s="9" t="n"/>
      <c r="AZ807" s="9" t="n"/>
      <c r="BA807" s="9" t="n"/>
    </row>
    <row r="808" ht="15.75" customHeight="1" s="1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  <c r="AH808" s="9" t="n"/>
      <c r="AI808" s="9" t="n"/>
      <c r="AJ808" s="9" t="n"/>
      <c r="AK808" s="9" t="n"/>
      <c r="AL808" s="9" t="n"/>
      <c r="AM808" s="9" t="n"/>
      <c r="AN808" s="9" t="n"/>
      <c r="AO808" s="9" t="n"/>
      <c r="AP808" s="9" t="n"/>
      <c r="AQ808" s="9" t="n"/>
      <c r="AR808" s="9" t="n"/>
      <c r="AS808" s="9" t="n"/>
      <c r="AT808" s="9" t="n"/>
      <c r="AU808" s="9" t="n"/>
      <c r="AV808" s="9" t="n"/>
      <c r="AW808" s="9" t="n"/>
      <c r="AX808" s="9" t="n"/>
      <c r="AY808" s="9" t="n"/>
      <c r="AZ808" s="9" t="n"/>
      <c r="BA808" s="9" t="n"/>
    </row>
    <row r="809" ht="15.75" customHeight="1" s="18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  <c r="AH809" s="9" t="n"/>
      <c r="AI809" s="9" t="n"/>
      <c r="AJ809" s="9" t="n"/>
      <c r="AK809" s="9" t="n"/>
      <c r="AL809" s="9" t="n"/>
      <c r="AM809" s="9" t="n"/>
      <c r="AN809" s="9" t="n"/>
      <c r="AO809" s="9" t="n"/>
      <c r="AP809" s="9" t="n"/>
      <c r="AQ809" s="9" t="n"/>
      <c r="AR809" s="9" t="n"/>
      <c r="AS809" s="9" t="n"/>
      <c r="AT809" s="9" t="n"/>
      <c r="AU809" s="9" t="n"/>
      <c r="AV809" s="9" t="n"/>
      <c r="AW809" s="9" t="n"/>
      <c r="AX809" s="9" t="n"/>
      <c r="AY809" s="9" t="n"/>
      <c r="AZ809" s="9" t="n"/>
      <c r="BA809" s="9" t="n"/>
    </row>
    <row r="810" ht="15.75" customHeight="1" s="18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  <c r="AH810" s="9" t="n"/>
      <c r="AI810" s="9" t="n"/>
      <c r="AJ810" s="9" t="n"/>
      <c r="AK810" s="9" t="n"/>
      <c r="AL810" s="9" t="n"/>
      <c r="AM810" s="9" t="n"/>
      <c r="AN810" s="9" t="n"/>
      <c r="AO810" s="9" t="n"/>
      <c r="AP810" s="9" t="n"/>
      <c r="AQ810" s="9" t="n"/>
      <c r="AR810" s="9" t="n"/>
      <c r="AS810" s="9" t="n"/>
      <c r="AT810" s="9" t="n"/>
      <c r="AU810" s="9" t="n"/>
      <c r="AV810" s="9" t="n"/>
      <c r="AW810" s="9" t="n"/>
      <c r="AX810" s="9" t="n"/>
      <c r="AY810" s="9" t="n"/>
      <c r="AZ810" s="9" t="n"/>
      <c r="BA810" s="9" t="n"/>
    </row>
    <row r="811" ht="15.75" customHeight="1" s="18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  <c r="AH811" s="9" t="n"/>
      <c r="AI811" s="9" t="n"/>
      <c r="AJ811" s="9" t="n"/>
      <c r="AK811" s="9" t="n"/>
      <c r="AL811" s="9" t="n"/>
      <c r="AM811" s="9" t="n"/>
      <c r="AN811" s="9" t="n"/>
      <c r="AO811" s="9" t="n"/>
      <c r="AP811" s="9" t="n"/>
      <c r="AQ811" s="9" t="n"/>
      <c r="AR811" s="9" t="n"/>
      <c r="AS811" s="9" t="n"/>
      <c r="AT811" s="9" t="n"/>
      <c r="AU811" s="9" t="n"/>
      <c r="AV811" s="9" t="n"/>
      <c r="AW811" s="9" t="n"/>
      <c r="AX811" s="9" t="n"/>
      <c r="AY811" s="9" t="n"/>
      <c r="AZ811" s="9" t="n"/>
      <c r="BA811" s="9" t="n"/>
    </row>
    <row r="812" ht="15.75" customHeight="1" s="18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  <c r="AH812" s="9" t="n"/>
      <c r="AI812" s="9" t="n"/>
      <c r="AJ812" s="9" t="n"/>
      <c r="AK812" s="9" t="n"/>
      <c r="AL812" s="9" t="n"/>
      <c r="AM812" s="9" t="n"/>
      <c r="AN812" s="9" t="n"/>
      <c r="AO812" s="9" t="n"/>
      <c r="AP812" s="9" t="n"/>
      <c r="AQ812" s="9" t="n"/>
      <c r="AR812" s="9" t="n"/>
      <c r="AS812" s="9" t="n"/>
      <c r="AT812" s="9" t="n"/>
      <c r="AU812" s="9" t="n"/>
      <c r="AV812" s="9" t="n"/>
      <c r="AW812" s="9" t="n"/>
      <c r="AX812" s="9" t="n"/>
      <c r="AY812" s="9" t="n"/>
      <c r="AZ812" s="9" t="n"/>
      <c r="BA812" s="9" t="n"/>
    </row>
    <row r="813" ht="15.75" customHeight="1" s="18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  <c r="AH813" s="9" t="n"/>
      <c r="AI813" s="9" t="n"/>
      <c r="AJ813" s="9" t="n"/>
      <c r="AK813" s="9" t="n"/>
      <c r="AL813" s="9" t="n"/>
      <c r="AM813" s="9" t="n"/>
      <c r="AN813" s="9" t="n"/>
      <c r="AO813" s="9" t="n"/>
      <c r="AP813" s="9" t="n"/>
      <c r="AQ813" s="9" t="n"/>
      <c r="AR813" s="9" t="n"/>
      <c r="AS813" s="9" t="n"/>
      <c r="AT813" s="9" t="n"/>
      <c r="AU813" s="9" t="n"/>
      <c r="AV813" s="9" t="n"/>
      <c r="AW813" s="9" t="n"/>
      <c r="AX813" s="9" t="n"/>
      <c r="AY813" s="9" t="n"/>
      <c r="AZ813" s="9" t="n"/>
      <c r="BA813" s="9" t="n"/>
    </row>
    <row r="814" ht="15.75" customHeight="1" s="18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  <c r="AH814" s="9" t="n"/>
      <c r="AI814" s="9" t="n"/>
      <c r="AJ814" s="9" t="n"/>
      <c r="AK814" s="9" t="n"/>
      <c r="AL814" s="9" t="n"/>
      <c r="AM814" s="9" t="n"/>
      <c r="AN814" s="9" t="n"/>
      <c r="AO814" s="9" t="n"/>
      <c r="AP814" s="9" t="n"/>
      <c r="AQ814" s="9" t="n"/>
      <c r="AR814" s="9" t="n"/>
      <c r="AS814" s="9" t="n"/>
      <c r="AT814" s="9" t="n"/>
      <c r="AU814" s="9" t="n"/>
      <c r="AV814" s="9" t="n"/>
      <c r="AW814" s="9" t="n"/>
      <c r="AX814" s="9" t="n"/>
      <c r="AY814" s="9" t="n"/>
      <c r="AZ814" s="9" t="n"/>
      <c r="BA814" s="9" t="n"/>
    </row>
    <row r="815" ht="15.75" customHeight="1" s="18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  <c r="AH815" s="9" t="n"/>
      <c r="AI815" s="9" t="n"/>
      <c r="AJ815" s="9" t="n"/>
      <c r="AK815" s="9" t="n"/>
      <c r="AL815" s="9" t="n"/>
      <c r="AM815" s="9" t="n"/>
      <c r="AN815" s="9" t="n"/>
      <c r="AO815" s="9" t="n"/>
      <c r="AP815" s="9" t="n"/>
      <c r="AQ815" s="9" t="n"/>
      <c r="AR815" s="9" t="n"/>
      <c r="AS815" s="9" t="n"/>
      <c r="AT815" s="9" t="n"/>
      <c r="AU815" s="9" t="n"/>
      <c r="AV815" s="9" t="n"/>
      <c r="AW815" s="9" t="n"/>
      <c r="AX815" s="9" t="n"/>
      <c r="AY815" s="9" t="n"/>
      <c r="AZ815" s="9" t="n"/>
      <c r="BA815" s="9" t="n"/>
    </row>
    <row r="816" ht="15.75" customHeight="1" s="18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  <c r="AH816" s="9" t="n"/>
      <c r="AI816" s="9" t="n"/>
      <c r="AJ816" s="9" t="n"/>
      <c r="AK816" s="9" t="n"/>
      <c r="AL816" s="9" t="n"/>
      <c r="AM816" s="9" t="n"/>
      <c r="AN816" s="9" t="n"/>
      <c r="AO816" s="9" t="n"/>
      <c r="AP816" s="9" t="n"/>
      <c r="AQ816" s="9" t="n"/>
      <c r="AR816" s="9" t="n"/>
      <c r="AS816" s="9" t="n"/>
      <c r="AT816" s="9" t="n"/>
      <c r="AU816" s="9" t="n"/>
      <c r="AV816" s="9" t="n"/>
      <c r="AW816" s="9" t="n"/>
      <c r="AX816" s="9" t="n"/>
      <c r="AY816" s="9" t="n"/>
      <c r="AZ816" s="9" t="n"/>
      <c r="BA816" s="9" t="n"/>
    </row>
    <row r="817" ht="15.75" customHeight="1" s="18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  <c r="AH817" s="9" t="n"/>
      <c r="AI817" s="9" t="n"/>
      <c r="AJ817" s="9" t="n"/>
      <c r="AK817" s="9" t="n"/>
      <c r="AL817" s="9" t="n"/>
      <c r="AM817" s="9" t="n"/>
      <c r="AN817" s="9" t="n"/>
      <c r="AO817" s="9" t="n"/>
      <c r="AP817" s="9" t="n"/>
      <c r="AQ817" s="9" t="n"/>
      <c r="AR817" s="9" t="n"/>
      <c r="AS817" s="9" t="n"/>
      <c r="AT817" s="9" t="n"/>
      <c r="AU817" s="9" t="n"/>
      <c r="AV817" s="9" t="n"/>
      <c r="AW817" s="9" t="n"/>
      <c r="AX817" s="9" t="n"/>
      <c r="AY817" s="9" t="n"/>
      <c r="AZ817" s="9" t="n"/>
      <c r="BA817" s="9" t="n"/>
    </row>
    <row r="818" ht="15.75" customHeight="1" s="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  <c r="AH818" s="9" t="n"/>
      <c r="AI818" s="9" t="n"/>
      <c r="AJ818" s="9" t="n"/>
      <c r="AK818" s="9" t="n"/>
      <c r="AL818" s="9" t="n"/>
      <c r="AM818" s="9" t="n"/>
      <c r="AN818" s="9" t="n"/>
      <c r="AO818" s="9" t="n"/>
      <c r="AP818" s="9" t="n"/>
      <c r="AQ818" s="9" t="n"/>
      <c r="AR818" s="9" t="n"/>
      <c r="AS818" s="9" t="n"/>
      <c r="AT818" s="9" t="n"/>
      <c r="AU818" s="9" t="n"/>
      <c r="AV818" s="9" t="n"/>
      <c r="AW818" s="9" t="n"/>
      <c r="AX818" s="9" t="n"/>
      <c r="AY818" s="9" t="n"/>
      <c r="AZ818" s="9" t="n"/>
      <c r="BA818" s="9" t="n"/>
    </row>
    <row r="819" ht="15.75" customHeight="1" s="18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  <c r="AH819" s="9" t="n"/>
      <c r="AI819" s="9" t="n"/>
      <c r="AJ819" s="9" t="n"/>
      <c r="AK819" s="9" t="n"/>
      <c r="AL819" s="9" t="n"/>
      <c r="AM819" s="9" t="n"/>
      <c r="AN819" s="9" t="n"/>
      <c r="AO819" s="9" t="n"/>
      <c r="AP819" s="9" t="n"/>
      <c r="AQ819" s="9" t="n"/>
      <c r="AR819" s="9" t="n"/>
      <c r="AS819" s="9" t="n"/>
      <c r="AT819" s="9" t="n"/>
      <c r="AU819" s="9" t="n"/>
      <c r="AV819" s="9" t="n"/>
      <c r="AW819" s="9" t="n"/>
      <c r="AX819" s="9" t="n"/>
      <c r="AY819" s="9" t="n"/>
      <c r="AZ819" s="9" t="n"/>
      <c r="BA819" s="9" t="n"/>
    </row>
    <row r="820" ht="15.75" customHeight="1" s="18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  <c r="AH820" s="9" t="n"/>
      <c r="AI820" s="9" t="n"/>
      <c r="AJ820" s="9" t="n"/>
      <c r="AK820" s="9" t="n"/>
      <c r="AL820" s="9" t="n"/>
      <c r="AM820" s="9" t="n"/>
      <c r="AN820" s="9" t="n"/>
      <c r="AO820" s="9" t="n"/>
      <c r="AP820" s="9" t="n"/>
      <c r="AQ820" s="9" t="n"/>
      <c r="AR820" s="9" t="n"/>
      <c r="AS820" s="9" t="n"/>
      <c r="AT820" s="9" t="n"/>
      <c r="AU820" s="9" t="n"/>
      <c r="AV820" s="9" t="n"/>
      <c r="AW820" s="9" t="n"/>
      <c r="AX820" s="9" t="n"/>
      <c r="AY820" s="9" t="n"/>
      <c r="AZ820" s="9" t="n"/>
      <c r="BA820" s="9" t="n"/>
    </row>
    <row r="821" ht="15.75" customHeight="1" s="18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  <c r="AH821" s="9" t="n"/>
      <c r="AI821" s="9" t="n"/>
      <c r="AJ821" s="9" t="n"/>
      <c r="AK821" s="9" t="n"/>
      <c r="AL821" s="9" t="n"/>
      <c r="AM821" s="9" t="n"/>
      <c r="AN821" s="9" t="n"/>
      <c r="AO821" s="9" t="n"/>
      <c r="AP821" s="9" t="n"/>
      <c r="AQ821" s="9" t="n"/>
      <c r="AR821" s="9" t="n"/>
      <c r="AS821" s="9" t="n"/>
      <c r="AT821" s="9" t="n"/>
      <c r="AU821" s="9" t="n"/>
      <c r="AV821" s="9" t="n"/>
      <c r="AW821" s="9" t="n"/>
      <c r="AX821" s="9" t="n"/>
      <c r="AY821" s="9" t="n"/>
      <c r="AZ821" s="9" t="n"/>
      <c r="BA821" s="9" t="n"/>
    </row>
    <row r="822" ht="15.75" customHeight="1" s="18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  <c r="AH822" s="9" t="n"/>
      <c r="AI822" s="9" t="n"/>
      <c r="AJ822" s="9" t="n"/>
      <c r="AK822" s="9" t="n"/>
      <c r="AL822" s="9" t="n"/>
      <c r="AM822" s="9" t="n"/>
      <c r="AN822" s="9" t="n"/>
      <c r="AO822" s="9" t="n"/>
      <c r="AP822" s="9" t="n"/>
      <c r="AQ822" s="9" t="n"/>
      <c r="AR822" s="9" t="n"/>
      <c r="AS822" s="9" t="n"/>
      <c r="AT822" s="9" t="n"/>
      <c r="AU822" s="9" t="n"/>
      <c r="AV822" s="9" t="n"/>
      <c r="AW822" s="9" t="n"/>
      <c r="AX822" s="9" t="n"/>
      <c r="AY822" s="9" t="n"/>
      <c r="AZ822" s="9" t="n"/>
      <c r="BA822" s="9" t="n"/>
    </row>
    <row r="823" ht="15.75" customHeight="1" s="18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  <c r="AH823" s="9" t="n"/>
      <c r="AI823" s="9" t="n"/>
      <c r="AJ823" s="9" t="n"/>
      <c r="AK823" s="9" t="n"/>
      <c r="AL823" s="9" t="n"/>
      <c r="AM823" s="9" t="n"/>
      <c r="AN823" s="9" t="n"/>
      <c r="AO823" s="9" t="n"/>
      <c r="AP823" s="9" t="n"/>
      <c r="AQ823" s="9" t="n"/>
      <c r="AR823" s="9" t="n"/>
      <c r="AS823" s="9" t="n"/>
      <c r="AT823" s="9" t="n"/>
      <c r="AU823" s="9" t="n"/>
      <c r="AV823" s="9" t="n"/>
      <c r="AW823" s="9" t="n"/>
      <c r="AX823" s="9" t="n"/>
      <c r="AY823" s="9" t="n"/>
      <c r="AZ823" s="9" t="n"/>
      <c r="BA823" s="9" t="n"/>
    </row>
    <row r="824" ht="15.75" customHeight="1" s="18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  <c r="AH824" s="9" t="n"/>
      <c r="AI824" s="9" t="n"/>
      <c r="AJ824" s="9" t="n"/>
      <c r="AK824" s="9" t="n"/>
      <c r="AL824" s="9" t="n"/>
      <c r="AM824" s="9" t="n"/>
      <c r="AN824" s="9" t="n"/>
      <c r="AO824" s="9" t="n"/>
      <c r="AP824" s="9" t="n"/>
      <c r="AQ824" s="9" t="n"/>
      <c r="AR824" s="9" t="n"/>
      <c r="AS824" s="9" t="n"/>
      <c r="AT824" s="9" t="n"/>
      <c r="AU824" s="9" t="n"/>
      <c r="AV824" s="9" t="n"/>
      <c r="AW824" s="9" t="n"/>
      <c r="AX824" s="9" t="n"/>
      <c r="AY824" s="9" t="n"/>
      <c r="AZ824" s="9" t="n"/>
      <c r="BA824" s="9" t="n"/>
    </row>
    <row r="825" ht="15.75" customHeight="1" s="18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  <c r="AH825" s="9" t="n"/>
      <c r="AI825" s="9" t="n"/>
      <c r="AJ825" s="9" t="n"/>
      <c r="AK825" s="9" t="n"/>
      <c r="AL825" s="9" t="n"/>
      <c r="AM825" s="9" t="n"/>
      <c r="AN825" s="9" t="n"/>
      <c r="AO825" s="9" t="n"/>
      <c r="AP825" s="9" t="n"/>
      <c r="AQ825" s="9" t="n"/>
      <c r="AR825" s="9" t="n"/>
      <c r="AS825" s="9" t="n"/>
      <c r="AT825" s="9" t="n"/>
      <c r="AU825" s="9" t="n"/>
      <c r="AV825" s="9" t="n"/>
      <c r="AW825" s="9" t="n"/>
      <c r="AX825" s="9" t="n"/>
      <c r="AY825" s="9" t="n"/>
      <c r="AZ825" s="9" t="n"/>
      <c r="BA825" s="9" t="n"/>
    </row>
    <row r="826" ht="15.75" customHeight="1" s="18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  <c r="AH826" s="9" t="n"/>
      <c r="AI826" s="9" t="n"/>
      <c r="AJ826" s="9" t="n"/>
      <c r="AK826" s="9" t="n"/>
      <c r="AL826" s="9" t="n"/>
      <c r="AM826" s="9" t="n"/>
      <c r="AN826" s="9" t="n"/>
      <c r="AO826" s="9" t="n"/>
      <c r="AP826" s="9" t="n"/>
      <c r="AQ826" s="9" t="n"/>
      <c r="AR826" s="9" t="n"/>
      <c r="AS826" s="9" t="n"/>
      <c r="AT826" s="9" t="n"/>
      <c r="AU826" s="9" t="n"/>
      <c r="AV826" s="9" t="n"/>
      <c r="AW826" s="9" t="n"/>
      <c r="AX826" s="9" t="n"/>
      <c r="AY826" s="9" t="n"/>
      <c r="AZ826" s="9" t="n"/>
      <c r="BA826" s="9" t="n"/>
    </row>
    <row r="827" ht="15.75" customHeight="1" s="18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  <c r="AH827" s="9" t="n"/>
      <c r="AI827" s="9" t="n"/>
      <c r="AJ827" s="9" t="n"/>
      <c r="AK827" s="9" t="n"/>
      <c r="AL827" s="9" t="n"/>
      <c r="AM827" s="9" t="n"/>
      <c r="AN827" s="9" t="n"/>
      <c r="AO827" s="9" t="n"/>
      <c r="AP827" s="9" t="n"/>
      <c r="AQ827" s="9" t="n"/>
      <c r="AR827" s="9" t="n"/>
      <c r="AS827" s="9" t="n"/>
      <c r="AT827" s="9" t="n"/>
      <c r="AU827" s="9" t="n"/>
      <c r="AV827" s="9" t="n"/>
      <c r="AW827" s="9" t="n"/>
      <c r="AX827" s="9" t="n"/>
      <c r="AY827" s="9" t="n"/>
      <c r="AZ827" s="9" t="n"/>
      <c r="BA827" s="9" t="n"/>
    </row>
    <row r="828" ht="15.75" customHeight="1" s="1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  <c r="AH828" s="9" t="n"/>
      <c r="AI828" s="9" t="n"/>
      <c r="AJ828" s="9" t="n"/>
      <c r="AK828" s="9" t="n"/>
      <c r="AL828" s="9" t="n"/>
      <c r="AM828" s="9" t="n"/>
      <c r="AN828" s="9" t="n"/>
      <c r="AO828" s="9" t="n"/>
      <c r="AP828" s="9" t="n"/>
      <c r="AQ828" s="9" t="n"/>
      <c r="AR828" s="9" t="n"/>
      <c r="AS828" s="9" t="n"/>
      <c r="AT828" s="9" t="n"/>
      <c r="AU828" s="9" t="n"/>
      <c r="AV828" s="9" t="n"/>
      <c r="AW828" s="9" t="n"/>
      <c r="AX828" s="9" t="n"/>
      <c r="AY828" s="9" t="n"/>
      <c r="AZ828" s="9" t="n"/>
      <c r="BA828" s="9" t="n"/>
    </row>
    <row r="829" ht="15.75" customHeight="1" s="18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  <c r="AH829" s="9" t="n"/>
      <c r="AI829" s="9" t="n"/>
      <c r="AJ829" s="9" t="n"/>
      <c r="AK829" s="9" t="n"/>
      <c r="AL829" s="9" t="n"/>
      <c r="AM829" s="9" t="n"/>
      <c r="AN829" s="9" t="n"/>
      <c r="AO829" s="9" t="n"/>
      <c r="AP829" s="9" t="n"/>
      <c r="AQ829" s="9" t="n"/>
      <c r="AR829" s="9" t="n"/>
      <c r="AS829" s="9" t="n"/>
      <c r="AT829" s="9" t="n"/>
      <c r="AU829" s="9" t="n"/>
      <c r="AV829" s="9" t="n"/>
      <c r="AW829" s="9" t="n"/>
      <c r="AX829" s="9" t="n"/>
      <c r="AY829" s="9" t="n"/>
      <c r="AZ829" s="9" t="n"/>
      <c r="BA829" s="9" t="n"/>
    </row>
    <row r="830" ht="15.75" customHeight="1" s="18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  <c r="AH830" s="9" t="n"/>
      <c r="AI830" s="9" t="n"/>
      <c r="AJ830" s="9" t="n"/>
      <c r="AK830" s="9" t="n"/>
      <c r="AL830" s="9" t="n"/>
      <c r="AM830" s="9" t="n"/>
      <c r="AN830" s="9" t="n"/>
      <c r="AO830" s="9" t="n"/>
      <c r="AP830" s="9" t="n"/>
      <c r="AQ830" s="9" t="n"/>
      <c r="AR830" s="9" t="n"/>
      <c r="AS830" s="9" t="n"/>
      <c r="AT830" s="9" t="n"/>
      <c r="AU830" s="9" t="n"/>
      <c r="AV830" s="9" t="n"/>
      <c r="AW830" s="9" t="n"/>
      <c r="AX830" s="9" t="n"/>
      <c r="AY830" s="9" t="n"/>
      <c r="AZ830" s="9" t="n"/>
      <c r="BA830" s="9" t="n"/>
    </row>
    <row r="831" ht="15.75" customHeight="1" s="18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  <c r="AH831" s="9" t="n"/>
      <c r="AI831" s="9" t="n"/>
      <c r="AJ831" s="9" t="n"/>
      <c r="AK831" s="9" t="n"/>
      <c r="AL831" s="9" t="n"/>
      <c r="AM831" s="9" t="n"/>
      <c r="AN831" s="9" t="n"/>
      <c r="AO831" s="9" t="n"/>
      <c r="AP831" s="9" t="n"/>
      <c r="AQ831" s="9" t="n"/>
      <c r="AR831" s="9" t="n"/>
      <c r="AS831" s="9" t="n"/>
      <c r="AT831" s="9" t="n"/>
      <c r="AU831" s="9" t="n"/>
      <c r="AV831" s="9" t="n"/>
      <c r="AW831" s="9" t="n"/>
      <c r="AX831" s="9" t="n"/>
      <c r="AY831" s="9" t="n"/>
      <c r="AZ831" s="9" t="n"/>
      <c r="BA831" s="9" t="n"/>
    </row>
    <row r="832" ht="15.75" customHeight="1" s="18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  <c r="AH832" s="9" t="n"/>
      <c r="AI832" s="9" t="n"/>
      <c r="AJ832" s="9" t="n"/>
      <c r="AK832" s="9" t="n"/>
      <c r="AL832" s="9" t="n"/>
      <c r="AM832" s="9" t="n"/>
      <c r="AN832" s="9" t="n"/>
      <c r="AO832" s="9" t="n"/>
      <c r="AP832" s="9" t="n"/>
      <c r="AQ832" s="9" t="n"/>
      <c r="AR832" s="9" t="n"/>
      <c r="AS832" s="9" t="n"/>
      <c r="AT832" s="9" t="n"/>
      <c r="AU832" s="9" t="n"/>
      <c r="AV832" s="9" t="n"/>
      <c r="AW832" s="9" t="n"/>
      <c r="AX832" s="9" t="n"/>
      <c r="AY832" s="9" t="n"/>
      <c r="AZ832" s="9" t="n"/>
      <c r="BA832" s="9" t="n"/>
    </row>
    <row r="833" ht="15.75" customHeight="1" s="18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  <c r="AH833" s="9" t="n"/>
      <c r="AI833" s="9" t="n"/>
      <c r="AJ833" s="9" t="n"/>
      <c r="AK833" s="9" t="n"/>
      <c r="AL833" s="9" t="n"/>
      <c r="AM833" s="9" t="n"/>
      <c r="AN833" s="9" t="n"/>
      <c r="AO833" s="9" t="n"/>
      <c r="AP833" s="9" t="n"/>
      <c r="AQ833" s="9" t="n"/>
      <c r="AR833" s="9" t="n"/>
      <c r="AS833" s="9" t="n"/>
      <c r="AT833" s="9" t="n"/>
      <c r="AU833" s="9" t="n"/>
      <c r="AV833" s="9" t="n"/>
      <c r="AW833" s="9" t="n"/>
      <c r="AX833" s="9" t="n"/>
      <c r="AY833" s="9" t="n"/>
      <c r="AZ833" s="9" t="n"/>
      <c r="BA833" s="9" t="n"/>
    </row>
    <row r="834" ht="15.75" customHeight="1" s="18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  <c r="AH834" s="9" t="n"/>
      <c r="AI834" s="9" t="n"/>
      <c r="AJ834" s="9" t="n"/>
      <c r="AK834" s="9" t="n"/>
      <c r="AL834" s="9" t="n"/>
      <c r="AM834" s="9" t="n"/>
      <c r="AN834" s="9" t="n"/>
      <c r="AO834" s="9" t="n"/>
      <c r="AP834" s="9" t="n"/>
      <c r="AQ834" s="9" t="n"/>
      <c r="AR834" s="9" t="n"/>
      <c r="AS834" s="9" t="n"/>
      <c r="AT834" s="9" t="n"/>
      <c r="AU834" s="9" t="n"/>
      <c r="AV834" s="9" t="n"/>
      <c r="AW834" s="9" t="n"/>
      <c r="AX834" s="9" t="n"/>
      <c r="AY834" s="9" t="n"/>
      <c r="AZ834" s="9" t="n"/>
      <c r="BA834" s="9" t="n"/>
    </row>
    <row r="835" ht="15.75" customHeight="1" s="18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  <c r="AH835" s="9" t="n"/>
      <c r="AI835" s="9" t="n"/>
      <c r="AJ835" s="9" t="n"/>
      <c r="AK835" s="9" t="n"/>
      <c r="AL835" s="9" t="n"/>
      <c r="AM835" s="9" t="n"/>
      <c r="AN835" s="9" t="n"/>
      <c r="AO835" s="9" t="n"/>
      <c r="AP835" s="9" t="n"/>
      <c r="AQ835" s="9" t="n"/>
      <c r="AR835" s="9" t="n"/>
      <c r="AS835" s="9" t="n"/>
      <c r="AT835" s="9" t="n"/>
      <c r="AU835" s="9" t="n"/>
      <c r="AV835" s="9" t="n"/>
      <c r="AW835" s="9" t="n"/>
      <c r="AX835" s="9" t="n"/>
      <c r="AY835" s="9" t="n"/>
      <c r="AZ835" s="9" t="n"/>
      <c r="BA835" s="9" t="n"/>
    </row>
    <row r="836" ht="15.75" customHeight="1" s="18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  <c r="AH836" s="9" t="n"/>
      <c r="AI836" s="9" t="n"/>
      <c r="AJ836" s="9" t="n"/>
      <c r="AK836" s="9" t="n"/>
      <c r="AL836" s="9" t="n"/>
      <c r="AM836" s="9" t="n"/>
      <c r="AN836" s="9" t="n"/>
      <c r="AO836" s="9" t="n"/>
      <c r="AP836" s="9" t="n"/>
      <c r="AQ836" s="9" t="n"/>
      <c r="AR836" s="9" t="n"/>
      <c r="AS836" s="9" t="n"/>
      <c r="AT836" s="9" t="n"/>
      <c r="AU836" s="9" t="n"/>
      <c r="AV836" s="9" t="n"/>
      <c r="AW836" s="9" t="n"/>
      <c r="AX836" s="9" t="n"/>
      <c r="AY836" s="9" t="n"/>
      <c r="AZ836" s="9" t="n"/>
      <c r="BA836" s="9" t="n"/>
    </row>
    <row r="837" ht="15.75" customHeight="1" s="18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  <c r="AH837" s="9" t="n"/>
      <c r="AI837" s="9" t="n"/>
      <c r="AJ837" s="9" t="n"/>
      <c r="AK837" s="9" t="n"/>
      <c r="AL837" s="9" t="n"/>
      <c r="AM837" s="9" t="n"/>
      <c r="AN837" s="9" t="n"/>
      <c r="AO837" s="9" t="n"/>
      <c r="AP837" s="9" t="n"/>
      <c r="AQ837" s="9" t="n"/>
      <c r="AR837" s="9" t="n"/>
      <c r="AS837" s="9" t="n"/>
      <c r="AT837" s="9" t="n"/>
      <c r="AU837" s="9" t="n"/>
      <c r="AV837" s="9" t="n"/>
      <c r="AW837" s="9" t="n"/>
      <c r="AX837" s="9" t="n"/>
      <c r="AY837" s="9" t="n"/>
      <c r="AZ837" s="9" t="n"/>
      <c r="BA837" s="9" t="n"/>
    </row>
    <row r="838" ht="15.75" customHeight="1" s="1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  <c r="AH838" s="9" t="n"/>
      <c r="AI838" s="9" t="n"/>
      <c r="AJ838" s="9" t="n"/>
      <c r="AK838" s="9" t="n"/>
      <c r="AL838" s="9" t="n"/>
      <c r="AM838" s="9" t="n"/>
      <c r="AN838" s="9" t="n"/>
      <c r="AO838" s="9" t="n"/>
      <c r="AP838" s="9" t="n"/>
      <c r="AQ838" s="9" t="n"/>
      <c r="AR838" s="9" t="n"/>
      <c r="AS838" s="9" t="n"/>
      <c r="AT838" s="9" t="n"/>
      <c r="AU838" s="9" t="n"/>
      <c r="AV838" s="9" t="n"/>
      <c r="AW838" s="9" t="n"/>
      <c r="AX838" s="9" t="n"/>
      <c r="AY838" s="9" t="n"/>
      <c r="AZ838" s="9" t="n"/>
      <c r="BA838" s="9" t="n"/>
    </row>
    <row r="839" ht="15.75" customHeight="1" s="18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  <c r="AH839" s="9" t="n"/>
      <c r="AI839" s="9" t="n"/>
      <c r="AJ839" s="9" t="n"/>
      <c r="AK839" s="9" t="n"/>
      <c r="AL839" s="9" t="n"/>
      <c r="AM839" s="9" t="n"/>
      <c r="AN839" s="9" t="n"/>
      <c r="AO839" s="9" t="n"/>
      <c r="AP839" s="9" t="n"/>
      <c r="AQ839" s="9" t="n"/>
      <c r="AR839" s="9" t="n"/>
      <c r="AS839" s="9" t="n"/>
      <c r="AT839" s="9" t="n"/>
      <c r="AU839" s="9" t="n"/>
      <c r="AV839" s="9" t="n"/>
      <c r="AW839" s="9" t="n"/>
      <c r="AX839" s="9" t="n"/>
      <c r="AY839" s="9" t="n"/>
      <c r="AZ839" s="9" t="n"/>
      <c r="BA839" s="9" t="n"/>
    </row>
    <row r="840" ht="15.75" customHeight="1" s="18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  <c r="AH840" s="9" t="n"/>
      <c r="AI840" s="9" t="n"/>
      <c r="AJ840" s="9" t="n"/>
      <c r="AK840" s="9" t="n"/>
      <c r="AL840" s="9" t="n"/>
      <c r="AM840" s="9" t="n"/>
      <c r="AN840" s="9" t="n"/>
      <c r="AO840" s="9" t="n"/>
      <c r="AP840" s="9" t="n"/>
      <c r="AQ840" s="9" t="n"/>
      <c r="AR840" s="9" t="n"/>
      <c r="AS840" s="9" t="n"/>
      <c r="AT840" s="9" t="n"/>
      <c r="AU840" s="9" t="n"/>
      <c r="AV840" s="9" t="n"/>
      <c r="AW840" s="9" t="n"/>
      <c r="AX840" s="9" t="n"/>
      <c r="AY840" s="9" t="n"/>
      <c r="AZ840" s="9" t="n"/>
      <c r="BA840" s="9" t="n"/>
    </row>
    <row r="841" ht="15.75" customHeight="1" s="18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  <c r="AH841" s="9" t="n"/>
      <c r="AI841" s="9" t="n"/>
      <c r="AJ841" s="9" t="n"/>
      <c r="AK841" s="9" t="n"/>
      <c r="AL841" s="9" t="n"/>
      <c r="AM841" s="9" t="n"/>
      <c r="AN841" s="9" t="n"/>
      <c r="AO841" s="9" t="n"/>
      <c r="AP841" s="9" t="n"/>
      <c r="AQ841" s="9" t="n"/>
      <c r="AR841" s="9" t="n"/>
      <c r="AS841" s="9" t="n"/>
      <c r="AT841" s="9" t="n"/>
      <c r="AU841" s="9" t="n"/>
      <c r="AV841" s="9" t="n"/>
      <c r="AW841" s="9" t="n"/>
      <c r="AX841" s="9" t="n"/>
      <c r="AY841" s="9" t="n"/>
      <c r="AZ841" s="9" t="n"/>
      <c r="BA841" s="9" t="n"/>
    </row>
    <row r="842" ht="15.75" customHeight="1" s="18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  <c r="AH842" s="9" t="n"/>
      <c r="AI842" s="9" t="n"/>
      <c r="AJ842" s="9" t="n"/>
      <c r="AK842" s="9" t="n"/>
      <c r="AL842" s="9" t="n"/>
      <c r="AM842" s="9" t="n"/>
      <c r="AN842" s="9" t="n"/>
      <c r="AO842" s="9" t="n"/>
      <c r="AP842" s="9" t="n"/>
      <c r="AQ842" s="9" t="n"/>
      <c r="AR842" s="9" t="n"/>
      <c r="AS842" s="9" t="n"/>
      <c r="AT842" s="9" t="n"/>
      <c r="AU842" s="9" t="n"/>
      <c r="AV842" s="9" t="n"/>
      <c r="AW842" s="9" t="n"/>
      <c r="AX842" s="9" t="n"/>
      <c r="AY842" s="9" t="n"/>
      <c r="AZ842" s="9" t="n"/>
      <c r="BA842" s="9" t="n"/>
    </row>
    <row r="843" ht="15.75" customHeight="1" s="18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  <c r="AH843" s="9" t="n"/>
      <c r="AI843" s="9" t="n"/>
      <c r="AJ843" s="9" t="n"/>
      <c r="AK843" s="9" t="n"/>
      <c r="AL843" s="9" t="n"/>
      <c r="AM843" s="9" t="n"/>
      <c r="AN843" s="9" t="n"/>
      <c r="AO843" s="9" t="n"/>
      <c r="AP843" s="9" t="n"/>
      <c r="AQ843" s="9" t="n"/>
      <c r="AR843" s="9" t="n"/>
      <c r="AS843" s="9" t="n"/>
      <c r="AT843" s="9" t="n"/>
      <c r="AU843" s="9" t="n"/>
      <c r="AV843" s="9" t="n"/>
      <c r="AW843" s="9" t="n"/>
      <c r="AX843" s="9" t="n"/>
      <c r="AY843" s="9" t="n"/>
      <c r="AZ843" s="9" t="n"/>
      <c r="BA843" s="9" t="n"/>
    </row>
    <row r="844" ht="15.75" customHeight="1" s="18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  <c r="AH844" s="9" t="n"/>
      <c r="AI844" s="9" t="n"/>
      <c r="AJ844" s="9" t="n"/>
      <c r="AK844" s="9" t="n"/>
      <c r="AL844" s="9" t="n"/>
      <c r="AM844" s="9" t="n"/>
      <c r="AN844" s="9" t="n"/>
      <c r="AO844" s="9" t="n"/>
      <c r="AP844" s="9" t="n"/>
      <c r="AQ844" s="9" t="n"/>
      <c r="AR844" s="9" t="n"/>
      <c r="AS844" s="9" t="n"/>
      <c r="AT844" s="9" t="n"/>
      <c r="AU844" s="9" t="n"/>
      <c r="AV844" s="9" t="n"/>
      <c r="AW844" s="9" t="n"/>
      <c r="AX844" s="9" t="n"/>
      <c r="AY844" s="9" t="n"/>
      <c r="AZ844" s="9" t="n"/>
      <c r="BA844" s="9" t="n"/>
    </row>
    <row r="845" ht="15.75" customHeight="1" s="18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  <c r="AH845" s="9" t="n"/>
      <c r="AI845" s="9" t="n"/>
      <c r="AJ845" s="9" t="n"/>
      <c r="AK845" s="9" t="n"/>
      <c r="AL845" s="9" t="n"/>
      <c r="AM845" s="9" t="n"/>
      <c r="AN845" s="9" t="n"/>
      <c r="AO845" s="9" t="n"/>
      <c r="AP845" s="9" t="n"/>
      <c r="AQ845" s="9" t="n"/>
      <c r="AR845" s="9" t="n"/>
      <c r="AS845" s="9" t="n"/>
      <c r="AT845" s="9" t="n"/>
      <c r="AU845" s="9" t="n"/>
      <c r="AV845" s="9" t="n"/>
      <c r="AW845" s="9" t="n"/>
      <c r="AX845" s="9" t="n"/>
      <c r="AY845" s="9" t="n"/>
      <c r="AZ845" s="9" t="n"/>
      <c r="BA845" s="9" t="n"/>
    </row>
    <row r="846" ht="15.75" customHeight="1" s="18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  <c r="AH846" s="9" t="n"/>
      <c r="AI846" s="9" t="n"/>
      <c r="AJ846" s="9" t="n"/>
      <c r="AK846" s="9" t="n"/>
      <c r="AL846" s="9" t="n"/>
      <c r="AM846" s="9" t="n"/>
      <c r="AN846" s="9" t="n"/>
      <c r="AO846" s="9" t="n"/>
      <c r="AP846" s="9" t="n"/>
      <c r="AQ846" s="9" t="n"/>
      <c r="AR846" s="9" t="n"/>
      <c r="AS846" s="9" t="n"/>
      <c r="AT846" s="9" t="n"/>
      <c r="AU846" s="9" t="n"/>
      <c r="AV846" s="9" t="n"/>
      <c r="AW846" s="9" t="n"/>
      <c r="AX846" s="9" t="n"/>
      <c r="AY846" s="9" t="n"/>
      <c r="AZ846" s="9" t="n"/>
      <c r="BA846" s="9" t="n"/>
    </row>
    <row r="847" ht="15.75" customHeight="1" s="18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  <c r="AH847" s="9" t="n"/>
      <c r="AI847" s="9" t="n"/>
      <c r="AJ847" s="9" t="n"/>
      <c r="AK847" s="9" t="n"/>
      <c r="AL847" s="9" t="n"/>
      <c r="AM847" s="9" t="n"/>
      <c r="AN847" s="9" t="n"/>
      <c r="AO847" s="9" t="n"/>
      <c r="AP847" s="9" t="n"/>
      <c r="AQ847" s="9" t="n"/>
      <c r="AR847" s="9" t="n"/>
      <c r="AS847" s="9" t="n"/>
      <c r="AT847" s="9" t="n"/>
      <c r="AU847" s="9" t="n"/>
      <c r="AV847" s="9" t="n"/>
      <c r="AW847" s="9" t="n"/>
      <c r="AX847" s="9" t="n"/>
      <c r="AY847" s="9" t="n"/>
      <c r="AZ847" s="9" t="n"/>
      <c r="BA847" s="9" t="n"/>
    </row>
    <row r="848" ht="15.75" customHeight="1" s="1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  <c r="AH848" s="9" t="n"/>
      <c r="AI848" s="9" t="n"/>
      <c r="AJ848" s="9" t="n"/>
      <c r="AK848" s="9" t="n"/>
      <c r="AL848" s="9" t="n"/>
      <c r="AM848" s="9" t="n"/>
      <c r="AN848" s="9" t="n"/>
      <c r="AO848" s="9" t="n"/>
      <c r="AP848" s="9" t="n"/>
      <c r="AQ848" s="9" t="n"/>
      <c r="AR848" s="9" t="n"/>
      <c r="AS848" s="9" t="n"/>
      <c r="AT848" s="9" t="n"/>
      <c r="AU848" s="9" t="n"/>
      <c r="AV848" s="9" t="n"/>
      <c r="AW848" s="9" t="n"/>
      <c r="AX848" s="9" t="n"/>
      <c r="AY848" s="9" t="n"/>
      <c r="AZ848" s="9" t="n"/>
      <c r="BA848" s="9" t="n"/>
    </row>
    <row r="849" ht="15.75" customHeight="1" s="18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  <c r="AH849" s="9" t="n"/>
      <c r="AI849" s="9" t="n"/>
      <c r="AJ849" s="9" t="n"/>
      <c r="AK849" s="9" t="n"/>
      <c r="AL849" s="9" t="n"/>
      <c r="AM849" s="9" t="n"/>
      <c r="AN849" s="9" t="n"/>
      <c r="AO849" s="9" t="n"/>
      <c r="AP849" s="9" t="n"/>
      <c r="AQ849" s="9" t="n"/>
      <c r="AR849" s="9" t="n"/>
      <c r="AS849" s="9" t="n"/>
      <c r="AT849" s="9" t="n"/>
      <c r="AU849" s="9" t="n"/>
      <c r="AV849" s="9" t="n"/>
      <c r="AW849" s="9" t="n"/>
      <c r="AX849" s="9" t="n"/>
      <c r="AY849" s="9" t="n"/>
      <c r="AZ849" s="9" t="n"/>
      <c r="BA849" s="9" t="n"/>
    </row>
    <row r="850" ht="15.75" customHeight="1" s="18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  <c r="AH850" s="9" t="n"/>
      <c r="AI850" s="9" t="n"/>
      <c r="AJ850" s="9" t="n"/>
      <c r="AK850" s="9" t="n"/>
      <c r="AL850" s="9" t="n"/>
      <c r="AM850" s="9" t="n"/>
      <c r="AN850" s="9" t="n"/>
      <c r="AO850" s="9" t="n"/>
      <c r="AP850" s="9" t="n"/>
      <c r="AQ850" s="9" t="n"/>
      <c r="AR850" s="9" t="n"/>
      <c r="AS850" s="9" t="n"/>
      <c r="AT850" s="9" t="n"/>
      <c r="AU850" s="9" t="n"/>
      <c r="AV850" s="9" t="n"/>
      <c r="AW850" s="9" t="n"/>
      <c r="AX850" s="9" t="n"/>
      <c r="AY850" s="9" t="n"/>
      <c r="AZ850" s="9" t="n"/>
      <c r="BA850" s="9" t="n"/>
    </row>
    <row r="851" ht="15.75" customHeight="1" s="18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  <c r="AH851" s="9" t="n"/>
      <c r="AI851" s="9" t="n"/>
      <c r="AJ851" s="9" t="n"/>
      <c r="AK851" s="9" t="n"/>
      <c r="AL851" s="9" t="n"/>
      <c r="AM851" s="9" t="n"/>
      <c r="AN851" s="9" t="n"/>
      <c r="AO851" s="9" t="n"/>
      <c r="AP851" s="9" t="n"/>
      <c r="AQ851" s="9" t="n"/>
      <c r="AR851" s="9" t="n"/>
      <c r="AS851" s="9" t="n"/>
      <c r="AT851" s="9" t="n"/>
      <c r="AU851" s="9" t="n"/>
      <c r="AV851" s="9" t="n"/>
      <c r="AW851" s="9" t="n"/>
      <c r="AX851" s="9" t="n"/>
      <c r="AY851" s="9" t="n"/>
      <c r="AZ851" s="9" t="n"/>
      <c r="BA851" s="9" t="n"/>
    </row>
    <row r="852" ht="15.75" customHeight="1" s="18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  <c r="AH852" s="9" t="n"/>
      <c r="AI852" s="9" t="n"/>
      <c r="AJ852" s="9" t="n"/>
      <c r="AK852" s="9" t="n"/>
      <c r="AL852" s="9" t="n"/>
      <c r="AM852" s="9" t="n"/>
      <c r="AN852" s="9" t="n"/>
      <c r="AO852" s="9" t="n"/>
      <c r="AP852" s="9" t="n"/>
      <c r="AQ852" s="9" t="n"/>
      <c r="AR852" s="9" t="n"/>
      <c r="AS852" s="9" t="n"/>
      <c r="AT852" s="9" t="n"/>
      <c r="AU852" s="9" t="n"/>
      <c r="AV852" s="9" t="n"/>
      <c r="AW852" s="9" t="n"/>
      <c r="AX852" s="9" t="n"/>
      <c r="AY852" s="9" t="n"/>
      <c r="AZ852" s="9" t="n"/>
      <c r="BA852" s="9" t="n"/>
    </row>
    <row r="853" ht="15.75" customHeight="1" s="18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  <c r="AH853" s="9" t="n"/>
      <c r="AI853" s="9" t="n"/>
      <c r="AJ853" s="9" t="n"/>
      <c r="AK853" s="9" t="n"/>
      <c r="AL853" s="9" t="n"/>
      <c r="AM853" s="9" t="n"/>
      <c r="AN853" s="9" t="n"/>
      <c r="AO853" s="9" t="n"/>
      <c r="AP853" s="9" t="n"/>
      <c r="AQ853" s="9" t="n"/>
      <c r="AR853" s="9" t="n"/>
      <c r="AS853" s="9" t="n"/>
      <c r="AT853" s="9" t="n"/>
      <c r="AU853" s="9" t="n"/>
      <c r="AV853" s="9" t="n"/>
      <c r="AW853" s="9" t="n"/>
      <c r="AX853" s="9" t="n"/>
      <c r="AY853" s="9" t="n"/>
      <c r="AZ853" s="9" t="n"/>
      <c r="BA853" s="9" t="n"/>
    </row>
    <row r="854" ht="15.75" customHeight="1" s="18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  <c r="AH854" s="9" t="n"/>
      <c r="AI854" s="9" t="n"/>
      <c r="AJ854" s="9" t="n"/>
      <c r="AK854" s="9" t="n"/>
      <c r="AL854" s="9" t="n"/>
      <c r="AM854" s="9" t="n"/>
      <c r="AN854" s="9" t="n"/>
      <c r="AO854" s="9" t="n"/>
      <c r="AP854" s="9" t="n"/>
      <c r="AQ854" s="9" t="n"/>
      <c r="AR854" s="9" t="n"/>
      <c r="AS854" s="9" t="n"/>
      <c r="AT854" s="9" t="n"/>
      <c r="AU854" s="9" t="n"/>
      <c r="AV854" s="9" t="n"/>
      <c r="AW854" s="9" t="n"/>
      <c r="AX854" s="9" t="n"/>
      <c r="AY854" s="9" t="n"/>
      <c r="AZ854" s="9" t="n"/>
      <c r="BA854" s="9" t="n"/>
    </row>
    <row r="855" ht="15.75" customHeight="1" s="18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  <c r="AH855" s="9" t="n"/>
      <c r="AI855" s="9" t="n"/>
      <c r="AJ855" s="9" t="n"/>
      <c r="AK855" s="9" t="n"/>
      <c r="AL855" s="9" t="n"/>
      <c r="AM855" s="9" t="n"/>
      <c r="AN855" s="9" t="n"/>
      <c r="AO855" s="9" t="n"/>
      <c r="AP855" s="9" t="n"/>
      <c r="AQ855" s="9" t="n"/>
      <c r="AR855" s="9" t="n"/>
      <c r="AS855" s="9" t="n"/>
      <c r="AT855" s="9" t="n"/>
      <c r="AU855" s="9" t="n"/>
      <c r="AV855" s="9" t="n"/>
      <c r="AW855" s="9" t="n"/>
      <c r="AX855" s="9" t="n"/>
      <c r="AY855" s="9" t="n"/>
      <c r="AZ855" s="9" t="n"/>
      <c r="BA855" s="9" t="n"/>
    </row>
    <row r="856" ht="15.75" customHeight="1" s="18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  <c r="AH856" s="9" t="n"/>
      <c r="AI856" s="9" t="n"/>
      <c r="AJ856" s="9" t="n"/>
      <c r="AK856" s="9" t="n"/>
      <c r="AL856" s="9" t="n"/>
      <c r="AM856" s="9" t="n"/>
      <c r="AN856" s="9" t="n"/>
      <c r="AO856" s="9" t="n"/>
      <c r="AP856" s="9" t="n"/>
      <c r="AQ856" s="9" t="n"/>
      <c r="AR856" s="9" t="n"/>
      <c r="AS856" s="9" t="n"/>
      <c r="AT856" s="9" t="n"/>
      <c r="AU856" s="9" t="n"/>
      <c r="AV856" s="9" t="n"/>
      <c r="AW856" s="9" t="n"/>
      <c r="AX856" s="9" t="n"/>
      <c r="AY856" s="9" t="n"/>
      <c r="AZ856" s="9" t="n"/>
      <c r="BA856" s="9" t="n"/>
    </row>
    <row r="857" ht="15.75" customHeight="1" s="18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  <c r="AH857" s="9" t="n"/>
      <c r="AI857" s="9" t="n"/>
      <c r="AJ857" s="9" t="n"/>
      <c r="AK857" s="9" t="n"/>
      <c r="AL857" s="9" t="n"/>
      <c r="AM857" s="9" t="n"/>
      <c r="AN857" s="9" t="n"/>
      <c r="AO857" s="9" t="n"/>
      <c r="AP857" s="9" t="n"/>
      <c r="AQ857" s="9" t="n"/>
      <c r="AR857" s="9" t="n"/>
      <c r="AS857" s="9" t="n"/>
      <c r="AT857" s="9" t="n"/>
      <c r="AU857" s="9" t="n"/>
      <c r="AV857" s="9" t="n"/>
      <c r="AW857" s="9" t="n"/>
      <c r="AX857" s="9" t="n"/>
      <c r="AY857" s="9" t="n"/>
      <c r="AZ857" s="9" t="n"/>
      <c r="BA857" s="9" t="n"/>
    </row>
    <row r="858" ht="15.75" customHeight="1" s="1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  <c r="AH858" s="9" t="n"/>
      <c r="AI858" s="9" t="n"/>
      <c r="AJ858" s="9" t="n"/>
      <c r="AK858" s="9" t="n"/>
      <c r="AL858" s="9" t="n"/>
      <c r="AM858" s="9" t="n"/>
      <c r="AN858" s="9" t="n"/>
      <c r="AO858" s="9" t="n"/>
      <c r="AP858" s="9" t="n"/>
      <c r="AQ858" s="9" t="n"/>
      <c r="AR858" s="9" t="n"/>
      <c r="AS858" s="9" t="n"/>
      <c r="AT858" s="9" t="n"/>
      <c r="AU858" s="9" t="n"/>
      <c r="AV858" s="9" t="n"/>
      <c r="AW858" s="9" t="n"/>
      <c r="AX858" s="9" t="n"/>
      <c r="AY858" s="9" t="n"/>
      <c r="AZ858" s="9" t="n"/>
      <c r="BA858" s="9" t="n"/>
    </row>
    <row r="859" ht="15.75" customHeight="1" s="18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  <c r="AH859" s="9" t="n"/>
      <c r="AI859" s="9" t="n"/>
      <c r="AJ859" s="9" t="n"/>
      <c r="AK859" s="9" t="n"/>
      <c r="AL859" s="9" t="n"/>
      <c r="AM859" s="9" t="n"/>
      <c r="AN859" s="9" t="n"/>
      <c r="AO859" s="9" t="n"/>
      <c r="AP859" s="9" t="n"/>
      <c r="AQ859" s="9" t="n"/>
      <c r="AR859" s="9" t="n"/>
      <c r="AS859" s="9" t="n"/>
      <c r="AT859" s="9" t="n"/>
      <c r="AU859" s="9" t="n"/>
      <c r="AV859" s="9" t="n"/>
      <c r="AW859" s="9" t="n"/>
      <c r="AX859" s="9" t="n"/>
      <c r="AY859" s="9" t="n"/>
      <c r="AZ859" s="9" t="n"/>
      <c r="BA859" s="9" t="n"/>
    </row>
    <row r="860" ht="15.75" customHeight="1" s="18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  <c r="AH860" s="9" t="n"/>
      <c r="AI860" s="9" t="n"/>
      <c r="AJ860" s="9" t="n"/>
      <c r="AK860" s="9" t="n"/>
      <c r="AL860" s="9" t="n"/>
      <c r="AM860" s="9" t="n"/>
      <c r="AN860" s="9" t="n"/>
      <c r="AO860" s="9" t="n"/>
      <c r="AP860" s="9" t="n"/>
      <c r="AQ860" s="9" t="n"/>
      <c r="AR860" s="9" t="n"/>
      <c r="AS860" s="9" t="n"/>
      <c r="AT860" s="9" t="n"/>
      <c r="AU860" s="9" t="n"/>
      <c r="AV860" s="9" t="n"/>
      <c r="AW860" s="9" t="n"/>
      <c r="AX860" s="9" t="n"/>
      <c r="AY860" s="9" t="n"/>
      <c r="AZ860" s="9" t="n"/>
      <c r="BA860" s="9" t="n"/>
    </row>
    <row r="861" ht="15.75" customHeight="1" s="18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  <c r="AH861" s="9" t="n"/>
      <c r="AI861" s="9" t="n"/>
      <c r="AJ861" s="9" t="n"/>
      <c r="AK861" s="9" t="n"/>
      <c r="AL861" s="9" t="n"/>
      <c r="AM861" s="9" t="n"/>
      <c r="AN861" s="9" t="n"/>
      <c r="AO861" s="9" t="n"/>
      <c r="AP861" s="9" t="n"/>
      <c r="AQ861" s="9" t="n"/>
      <c r="AR861" s="9" t="n"/>
      <c r="AS861" s="9" t="n"/>
      <c r="AT861" s="9" t="n"/>
      <c r="AU861" s="9" t="n"/>
      <c r="AV861" s="9" t="n"/>
      <c r="AW861" s="9" t="n"/>
      <c r="AX861" s="9" t="n"/>
      <c r="AY861" s="9" t="n"/>
      <c r="AZ861" s="9" t="n"/>
      <c r="BA861" s="9" t="n"/>
    </row>
    <row r="862" ht="15.75" customHeight="1" s="18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  <c r="AH862" s="9" t="n"/>
      <c r="AI862" s="9" t="n"/>
      <c r="AJ862" s="9" t="n"/>
      <c r="AK862" s="9" t="n"/>
      <c r="AL862" s="9" t="n"/>
      <c r="AM862" s="9" t="n"/>
      <c r="AN862" s="9" t="n"/>
      <c r="AO862" s="9" t="n"/>
      <c r="AP862" s="9" t="n"/>
      <c r="AQ862" s="9" t="n"/>
      <c r="AR862" s="9" t="n"/>
      <c r="AS862" s="9" t="n"/>
      <c r="AT862" s="9" t="n"/>
      <c r="AU862" s="9" t="n"/>
      <c r="AV862" s="9" t="n"/>
      <c r="AW862" s="9" t="n"/>
      <c r="AX862" s="9" t="n"/>
      <c r="AY862" s="9" t="n"/>
      <c r="AZ862" s="9" t="n"/>
      <c r="BA862" s="9" t="n"/>
    </row>
    <row r="863" ht="15.75" customHeight="1" s="18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  <c r="AH863" s="9" t="n"/>
      <c r="AI863" s="9" t="n"/>
      <c r="AJ863" s="9" t="n"/>
      <c r="AK863" s="9" t="n"/>
      <c r="AL863" s="9" t="n"/>
      <c r="AM863" s="9" t="n"/>
      <c r="AN863" s="9" t="n"/>
      <c r="AO863" s="9" t="n"/>
      <c r="AP863" s="9" t="n"/>
      <c r="AQ863" s="9" t="n"/>
      <c r="AR863" s="9" t="n"/>
      <c r="AS863" s="9" t="n"/>
      <c r="AT863" s="9" t="n"/>
      <c r="AU863" s="9" t="n"/>
      <c r="AV863" s="9" t="n"/>
      <c r="AW863" s="9" t="n"/>
      <c r="AX863" s="9" t="n"/>
      <c r="AY863" s="9" t="n"/>
      <c r="AZ863" s="9" t="n"/>
      <c r="BA863" s="9" t="n"/>
    </row>
    <row r="864" ht="15.75" customHeight="1" s="18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  <c r="AH864" s="9" t="n"/>
      <c r="AI864" s="9" t="n"/>
      <c r="AJ864" s="9" t="n"/>
      <c r="AK864" s="9" t="n"/>
      <c r="AL864" s="9" t="n"/>
      <c r="AM864" s="9" t="n"/>
      <c r="AN864" s="9" t="n"/>
      <c r="AO864" s="9" t="n"/>
      <c r="AP864" s="9" t="n"/>
      <c r="AQ864" s="9" t="n"/>
      <c r="AR864" s="9" t="n"/>
      <c r="AS864" s="9" t="n"/>
      <c r="AT864" s="9" t="n"/>
      <c r="AU864" s="9" t="n"/>
      <c r="AV864" s="9" t="n"/>
      <c r="AW864" s="9" t="n"/>
      <c r="AX864" s="9" t="n"/>
      <c r="AY864" s="9" t="n"/>
      <c r="AZ864" s="9" t="n"/>
      <c r="BA864" s="9" t="n"/>
    </row>
    <row r="865" ht="15.75" customHeight="1" s="18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  <c r="AH865" s="9" t="n"/>
      <c r="AI865" s="9" t="n"/>
      <c r="AJ865" s="9" t="n"/>
      <c r="AK865" s="9" t="n"/>
      <c r="AL865" s="9" t="n"/>
      <c r="AM865" s="9" t="n"/>
      <c r="AN865" s="9" t="n"/>
      <c r="AO865" s="9" t="n"/>
      <c r="AP865" s="9" t="n"/>
      <c r="AQ865" s="9" t="n"/>
      <c r="AR865" s="9" t="n"/>
      <c r="AS865" s="9" t="n"/>
      <c r="AT865" s="9" t="n"/>
      <c r="AU865" s="9" t="n"/>
      <c r="AV865" s="9" t="n"/>
      <c r="AW865" s="9" t="n"/>
      <c r="AX865" s="9" t="n"/>
      <c r="AY865" s="9" t="n"/>
      <c r="AZ865" s="9" t="n"/>
      <c r="BA865" s="9" t="n"/>
    </row>
    <row r="866" ht="15.75" customHeight="1" s="18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  <c r="AH866" s="9" t="n"/>
      <c r="AI866" s="9" t="n"/>
      <c r="AJ866" s="9" t="n"/>
      <c r="AK866" s="9" t="n"/>
      <c r="AL866" s="9" t="n"/>
      <c r="AM866" s="9" t="n"/>
      <c r="AN866" s="9" t="n"/>
      <c r="AO866" s="9" t="n"/>
      <c r="AP866" s="9" t="n"/>
      <c r="AQ866" s="9" t="n"/>
      <c r="AR866" s="9" t="n"/>
      <c r="AS866" s="9" t="n"/>
      <c r="AT866" s="9" t="n"/>
      <c r="AU866" s="9" t="n"/>
      <c r="AV866" s="9" t="n"/>
      <c r="AW866" s="9" t="n"/>
      <c r="AX866" s="9" t="n"/>
      <c r="AY866" s="9" t="n"/>
      <c r="AZ866" s="9" t="n"/>
      <c r="BA866" s="9" t="n"/>
    </row>
    <row r="867" ht="15.75" customHeight="1" s="18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  <c r="AH867" s="9" t="n"/>
      <c r="AI867" s="9" t="n"/>
      <c r="AJ867" s="9" t="n"/>
      <c r="AK867" s="9" t="n"/>
      <c r="AL867" s="9" t="n"/>
      <c r="AM867" s="9" t="n"/>
      <c r="AN867" s="9" t="n"/>
      <c r="AO867" s="9" t="n"/>
      <c r="AP867" s="9" t="n"/>
      <c r="AQ867" s="9" t="n"/>
      <c r="AR867" s="9" t="n"/>
      <c r="AS867" s="9" t="n"/>
      <c r="AT867" s="9" t="n"/>
      <c r="AU867" s="9" t="n"/>
      <c r="AV867" s="9" t="n"/>
      <c r="AW867" s="9" t="n"/>
      <c r="AX867" s="9" t="n"/>
      <c r="AY867" s="9" t="n"/>
      <c r="AZ867" s="9" t="n"/>
      <c r="BA867" s="9" t="n"/>
    </row>
    <row r="868" ht="15.75" customHeight="1" s="1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  <c r="AH868" s="9" t="n"/>
      <c r="AI868" s="9" t="n"/>
      <c r="AJ868" s="9" t="n"/>
      <c r="AK868" s="9" t="n"/>
      <c r="AL868" s="9" t="n"/>
      <c r="AM868" s="9" t="n"/>
      <c r="AN868" s="9" t="n"/>
      <c r="AO868" s="9" t="n"/>
      <c r="AP868" s="9" t="n"/>
      <c r="AQ868" s="9" t="n"/>
      <c r="AR868" s="9" t="n"/>
      <c r="AS868" s="9" t="n"/>
      <c r="AT868" s="9" t="n"/>
      <c r="AU868" s="9" t="n"/>
      <c r="AV868" s="9" t="n"/>
      <c r="AW868" s="9" t="n"/>
      <c r="AX868" s="9" t="n"/>
      <c r="AY868" s="9" t="n"/>
      <c r="AZ868" s="9" t="n"/>
      <c r="BA868" s="9" t="n"/>
    </row>
    <row r="869" ht="15.75" customHeight="1" s="18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  <c r="AH869" s="9" t="n"/>
      <c r="AI869" s="9" t="n"/>
      <c r="AJ869" s="9" t="n"/>
      <c r="AK869" s="9" t="n"/>
      <c r="AL869" s="9" t="n"/>
      <c r="AM869" s="9" t="n"/>
      <c r="AN869" s="9" t="n"/>
      <c r="AO869" s="9" t="n"/>
      <c r="AP869" s="9" t="n"/>
      <c r="AQ869" s="9" t="n"/>
      <c r="AR869" s="9" t="n"/>
      <c r="AS869" s="9" t="n"/>
      <c r="AT869" s="9" t="n"/>
      <c r="AU869" s="9" t="n"/>
      <c r="AV869" s="9" t="n"/>
      <c r="AW869" s="9" t="n"/>
      <c r="AX869" s="9" t="n"/>
      <c r="AY869" s="9" t="n"/>
      <c r="AZ869" s="9" t="n"/>
      <c r="BA869" s="9" t="n"/>
    </row>
    <row r="870" ht="15.75" customHeight="1" s="18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  <c r="AH870" s="9" t="n"/>
      <c r="AI870" s="9" t="n"/>
      <c r="AJ870" s="9" t="n"/>
      <c r="AK870" s="9" t="n"/>
      <c r="AL870" s="9" t="n"/>
      <c r="AM870" s="9" t="n"/>
      <c r="AN870" s="9" t="n"/>
      <c r="AO870" s="9" t="n"/>
      <c r="AP870" s="9" t="n"/>
      <c r="AQ870" s="9" t="n"/>
      <c r="AR870" s="9" t="n"/>
      <c r="AS870" s="9" t="n"/>
      <c r="AT870" s="9" t="n"/>
      <c r="AU870" s="9" t="n"/>
      <c r="AV870" s="9" t="n"/>
      <c r="AW870" s="9" t="n"/>
      <c r="AX870" s="9" t="n"/>
      <c r="AY870" s="9" t="n"/>
      <c r="AZ870" s="9" t="n"/>
      <c r="BA870" s="9" t="n"/>
    </row>
    <row r="871" ht="15.75" customHeight="1" s="18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  <c r="AH871" s="9" t="n"/>
      <c r="AI871" s="9" t="n"/>
      <c r="AJ871" s="9" t="n"/>
      <c r="AK871" s="9" t="n"/>
      <c r="AL871" s="9" t="n"/>
      <c r="AM871" s="9" t="n"/>
      <c r="AN871" s="9" t="n"/>
      <c r="AO871" s="9" t="n"/>
      <c r="AP871" s="9" t="n"/>
      <c r="AQ871" s="9" t="n"/>
      <c r="AR871" s="9" t="n"/>
      <c r="AS871" s="9" t="n"/>
      <c r="AT871" s="9" t="n"/>
      <c r="AU871" s="9" t="n"/>
      <c r="AV871" s="9" t="n"/>
      <c r="AW871" s="9" t="n"/>
      <c r="AX871" s="9" t="n"/>
      <c r="AY871" s="9" t="n"/>
      <c r="AZ871" s="9" t="n"/>
      <c r="BA871" s="9" t="n"/>
    </row>
    <row r="872" ht="15.75" customHeight="1" s="18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  <c r="AH872" s="9" t="n"/>
      <c r="AI872" s="9" t="n"/>
      <c r="AJ872" s="9" t="n"/>
      <c r="AK872" s="9" t="n"/>
      <c r="AL872" s="9" t="n"/>
      <c r="AM872" s="9" t="n"/>
      <c r="AN872" s="9" t="n"/>
      <c r="AO872" s="9" t="n"/>
      <c r="AP872" s="9" t="n"/>
      <c r="AQ872" s="9" t="n"/>
      <c r="AR872" s="9" t="n"/>
      <c r="AS872" s="9" t="n"/>
      <c r="AT872" s="9" t="n"/>
      <c r="AU872" s="9" t="n"/>
      <c r="AV872" s="9" t="n"/>
      <c r="AW872" s="9" t="n"/>
      <c r="AX872" s="9" t="n"/>
      <c r="AY872" s="9" t="n"/>
      <c r="AZ872" s="9" t="n"/>
      <c r="BA872" s="9" t="n"/>
    </row>
    <row r="873" ht="15.75" customHeight="1" s="18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  <c r="AH873" s="9" t="n"/>
      <c r="AI873" s="9" t="n"/>
      <c r="AJ873" s="9" t="n"/>
      <c r="AK873" s="9" t="n"/>
      <c r="AL873" s="9" t="n"/>
      <c r="AM873" s="9" t="n"/>
      <c r="AN873" s="9" t="n"/>
      <c r="AO873" s="9" t="n"/>
      <c r="AP873" s="9" t="n"/>
      <c r="AQ873" s="9" t="n"/>
      <c r="AR873" s="9" t="n"/>
      <c r="AS873" s="9" t="n"/>
      <c r="AT873" s="9" t="n"/>
      <c r="AU873" s="9" t="n"/>
      <c r="AV873" s="9" t="n"/>
      <c r="AW873" s="9" t="n"/>
      <c r="AX873" s="9" t="n"/>
      <c r="AY873" s="9" t="n"/>
      <c r="AZ873" s="9" t="n"/>
      <c r="BA873" s="9" t="n"/>
    </row>
    <row r="874" ht="15.75" customHeight="1" s="18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  <c r="AH874" s="9" t="n"/>
      <c r="AI874" s="9" t="n"/>
      <c r="AJ874" s="9" t="n"/>
      <c r="AK874" s="9" t="n"/>
      <c r="AL874" s="9" t="n"/>
      <c r="AM874" s="9" t="n"/>
      <c r="AN874" s="9" t="n"/>
      <c r="AO874" s="9" t="n"/>
      <c r="AP874" s="9" t="n"/>
      <c r="AQ874" s="9" t="n"/>
      <c r="AR874" s="9" t="n"/>
      <c r="AS874" s="9" t="n"/>
      <c r="AT874" s="9" t="n"/>
      <c r="AU874" s="9" t="n"/>
      <c r="AV874" s="9" t="n"/>
      <c r="AW874" s="9" t="n"/>
      <c r="AX874" s="9" t="n"/>
      <c r="AY874" s="9" t="n"/>
      <c r="AZ874" s="9" t="n"/>
      <c r="BA874" s="9" t="n"/>
    </row>
    <row r="875" ht="15.75" customHeight="1" s="18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  <c r="AH875" s="9" t="n"/>
      <c r="AI875" s="9" t="n"/>
      <c r="AJ875" s="9" t="n"/>
      <c r="AK875" s="9" t="n"/>
      <c r="AL875" s="9" t="n"/>
      <c r="AM875" s="9" t="n"/>
      <c r="AN875" s="9" t="n"/>
      <c r="AO875" s="9" t="n"/>
      <c r="AP875" s="9" t="n"/>
      <c r="AQ875" s="9" t="n"/>
      <c r="AR875" s="9" t="n"/>
      <c r="AS875" s="9" t="n"/>
      <c r="AT875" s="9" t="n"/>
      <c r="AU875" s="9" t="n"/>
      <c r="AV875" s="9" t="n"/>
      <c r="AW875" s="9" t="n"/>
      <c r="AX875" s="9" t="n"/>
      <c r="AY875" s="9" t="n"/>
      <c r="AZ875" s="9" t="n"/>
      <c r="BA875" s="9" t="n"/>
    </row>
    <row r="876" ht="15.75" customHeight="1" s="18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  <c r="AH876" s="9" t="n"/>
      <c r="AI876" s="9" t="n"/>
      <c r="AJ876" s="9" t="n"/>
      <c r="AK876" s="9" t="n"/>
      <c r="AL876" s="9" t="n"/>
      <c r="AM876" s="9" t="n"/>
      <c r="AN876" s="9" t="n"/>
      <c r="AO876" s="9" t="n"/>
      <c r="AP876" s="9" t="n"/>
      <c r="AQ876" s="9" t="n"/>
      <c r="AR876" s="9" t="n"/>
      <c r="AS876" s="9" t="n"/>
      <c r="AT876" s="9" t="n"/>
      <c r="AU876" s="9" t="n"/>
      <c r="AV876" s="9" t="n"/>
      <c r="AW876" s="9" t="n"/>
      <c r="AX876" s="9" t="n"/>
      <c r="AY876" s="9" t="n"/>
      <c r="AZ876" s="9" t="n"/>
      <c r="BA876" s="9" t="n"/>
    </row>
    <row r="877" ht="15.75" customHeight="1" s="18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  <c r="AH877" s="9" t="n"/>
      <c r="AI877" s="9" t="n"/>
      <c r="AJ877" s="9" t="n"/>
      <c r="AK877" s="9" t="n"/>
      <c r="AL877" s="9" t="n"/>
      <c r="AM877" s="9" t="n"/>
      <c r="AN877" s="9" t="n"/>
      <c r="AO877" s="9" t="n"/>
      <c r="AP877" s="9" t="n"/>
      <c r="AQ877" s="9" t="n"/>
      <c r="AR877" s="9" t="n"/>
      <c r="AS877" s="9" t="n"/>
      <c r="AT877" s="9" t="n"/>
      <c r="AU877" s="9" t="n"/>
      <c r="AV877" s="9" t="n"/>
      <c r="AW877" s="9" t="n"/>
      <c r="AX877" s="9" t="n"/>
      <c r="AY877" s="9" t="n"/>
      <c r="AZ877" s="9" t="n"/>
      <c r="BA877" s="9" t="n"/>
    </row>
    <row r="878" ht="15.75" customHeight="1" s="1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  <c r="AH878" s="9" t="n"/>
      <c r="AI878" s="9" t="n"/>
      <c r="AJ878" s="9" t="n"/>
      <c r="AK878" s="9" t="n"/>
      <c r="AL878" s="9" t="n"/>
      <c r="AM878" s="9" t="n"/>
      <c r="AN878" s="9" t="n"/>
      <c r="AO878" s="9" t="n"/>
      <c r="AP878" s="9" t="n"/>
      <c r="AQ878" s="9" t="n"/>
      <c r="AR878" s="9" t="n"/>
      <c r="AS878" s="9" t="n"/>
      <c r="AT878" s="9" t="n"/>
      <c r="AU878" s="9" t="n"/>
      <c r="AV878" s="9" t="n"/>
      <c r="AW878" s="9" t="n"/>
      <c r="AX878" s="9" t="n"/>
      <c r="AY878" s="9" t="n"/>
      <c r="AZ878" s="9" t="n"/>
      <c r="BA878" s="9" t="n"/>
    </row>
    <row r="879" ht="15.75" customHeight="1" s="18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  <c r="AH879" s="9" t="n"/>
      <c r="AI879" s="9" t="n"/>
      <c r="AJ879" s="9" t="n"/>
      <c r="AK879" s="9" t="n"/>
      <c r="AL879" s="9" t="n"/>
      <c r="AM879" s="9" t="n"/>
      <c r="AN879" s="9" t="n"/>
      <c r="AO879" s="9" t="n"/>
      <c r="AP879" s="9" t="n"/>
      <c r="AQ879" s="9" t="n"/>
      <c r="AR879" s="9" t="n"/>
      <c r="AS879" s="9" t="n"/>
      <c r="AT879" s="9" t="n"/>
      <c r="AU879" s="9" t="n"/>
      <c r="AV879" s="9" t="n"/>
      <c r="AW879" s="9" t="n"/>
      <c r="AX879" s="9" t="n"/>
      <c r="AY879" s="9" t="n"/>
      <c r="AZ879" s="9" t="n"/>
      <c r="BA879" s="9" t="n"/>
    </row>
    <row r="880" ht="15.75" customHeight="1" s="18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  <c r="AH880" s="9" t="n"/>
      <c r="AI880" s="9" t="n"/>
      <c r="AJ880" s="9" t="n"/>
      <c r="AK880" s="9" t="n"/>
      <c r="AL880" s="9" t="n"/>
      <c r="AM880" s="9" t="n"/>
      <c r="AN880" s="9" t="n"/>
      <c r="AO880" s="9" t="n"/>
      <c r="AP880" s="9" t="n"/>
      <c r="AQ880" s="9" t="n"/>
      <c r="AR880" s="9" t="n"/>
      <c r="AS880" s="9" t="n"/>
      <c r="AT880" s="9" t="n"/>
      <c r="AU880" s="9" t="n"/>
      <c r="AV880" s="9" t="n"/>
      <c r="AW880" s="9" t="n"/>
      <c r="AX880" s="9" t="n"/>
      <c r="AY880" s="9" t="n"/>
      <c r="AZ880" s="9" t="n"/>
      <c r="BA880" s="9" t="n"/>
    </row>
    <row r="881" ht="15.75" customHeight="1" s="18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  <c r="AH881" s="9" t="n"/>
      <c r="AI881" s="9" t="n"/>
      <c r="AJ881" s="9" t="n"/>
      <c r="AK881" s="9" t="n"/>
      <c r="AL881" s="9" t="n"/>
      <c r="AM881" s="9" t="n"/>
      <c r="AN881" s="9" t="n"/>
      <c r="AO881" s="9" t="n"/>
      <c r="AP881" s="9" t="n"/>
      <c r="AQ881" s="9" t="n"/>
      <c r="AR881" s="9" t="n"/>
      <c r="AS881" s="9" t="n"/>
      <c r="AT881" s="9" t="n"/>
      <c r="AU881" s="9" t="n"/>
      <c r="AV881" s="9" t="n"/>
      <c r="AW881" s="9" t="n"/>
      <c r="AX881" s="9" t="n"/>
      <c r="AY881" s="9" t="n"/>
      <c r="AZ881" s="9" t="n"/>
      <c r="BA881" s="9" t="n"/>
    </row>
    <row r="882" ht="15.75" customHeight="1" s="18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  <c r="AH882" s="9" t="n"/>
      <c r="AI882" s="9" t="n"/>
      <c r="AJ882" s="9" t="n"/>
      <c r="AK882" s="9" t="n"/>
      <c r="AL882" s="9" t="n"/>
      <c r="AM882" s="9" t="n"/>
      <c r="AN882" s="9" t="n"/>
      <c r="AO882" s="9" t="n"/>
      <c r="AP882" s="9" t="n"/>
      <c r="AQ882" s="9" t="n"/>
      <c r="AR882" s="9" t="n"/>
      <c r="AS882" s="9" t="n"/>
      <c r="AT882" s="9" t="n"/>
      <c r="AU882" s="9" t="n"/>
      <c r="AV882" s="9" t="n"/>
      <c r="AW882" s="9" t="n"/>
      <c r="AX882" s="9" t="n"/>
      <c r="AY882" s="9" t="n"/>
      <c r="AZ882" s="9" t="n"/>
      <c r="BA882" s="9" t="n"/>
    </row>
    <row r="883" ht="15.75" customHeight="1" s="18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  <c r="AH883" s="9" t="n"/>
      <c r="AI883" s="9" t="n"/>
      <c r="AJ883" s="9" t="n"/>
      <c r="AK883" s="9" t="n"/>
      <c r="AL883" s="9" t="n"/>
      <c r="AM883" s="9" t="n"/>
      <c r="AN883" s="9" t="n"/>
      <c r="AO883" s="9" t="n"/>
      <c r="AP883" s="9" t="n"/>
      <c r="AQ883" s="9" t="n"/>
      <c r="AR883" s="9" t="n"/>
      <c r="AS883" s="9" t="n"/>
      <c r="AT883" s="9" t="n"/>
      <c r="AU883" s="9" t="n"/>
      <c r="AV883" s="9" t="n"/>
      <c r="AW883" s="9" t="n"/>
      <c r="AX883" s="9" t="n"/>
      <c r="AY883" s="9" t="n"/>
      <c r="AZ883" s="9" t="n"/>
      <c r="BA883" s="9" t="n"/>
    </row>
    <row r="884" ht="15.75" customHeight="1" s="18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  <c r="AH884" s="9" t="n"/>
      <c r="AI884" s="9" t="n"/>
      <c r="AJ884" s="9" t="n"/>
      <c r="AK884" s="9" t="n"/>
      <c r="AL884" s="9" t="n"/>
      <c r="AM884" s="9" t="n"/>
      <c r="AN884" s="9" t="n"/>
      <c r="AO884" s="9" t="n"/>
      <c r="AP884" s="9" t="n"/>
      <c r="AQ884" s="9" t="n"/>
      <c r="AR884" s="9" t="n"/>
      <c r="AS884" s="9" t="n"/>
      <c r="AT884" s="9" t="n"/>
      <c r="AU884" s="9" t="n"/>
      <c r="AV884" s="9" t="n"/>
      <c r="AW884" s="9" t="n"/>
      <c r="AX884" s="9" t="n"/>
      <c r="AY884" s="9" t="n"/>
      <c r="AZ884" s="9" t="n"/>
      <c r="BA884" s="9" t="n"/>
    </row>
    <row r="885" ht="15.75" customHeight="1" s="18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  <c r="AH885" s="9" t="n"/>
      <c r="AI885" s="9" t="n"/>
      <c r="AJ885" s="9" t="n"/>
      <c r="AK885" s="9" t="n"/>
      <c r="AL885" s="9" t="n"/>
      <c r="AM885" s="9" t="n"/>
      <c r="AN885" s="9" t="n"/>
      <c r="AO885" s="9" t="n"/>
      <c r="AP885" s="9" t="n"/>
      <c r="AQ885" s="9" t="n"/>
      <c r="AR885" s="9" t="n"/>
      <c r="AS885" s="9" t="n"/>
      <c r="AT885" s="9" t="n"/>
      <c r="AU885" s="9" t="n"/>
      <c r="AV885" s="9" t="n"/>
      <c r="AW885" s="9" t="n"/>
      <c r="AX885" s="9" t="n"/>
      <c r="AY885" s="9" t="n"/>
      <c r="AZ885" s="9" t="n"/>
      <c r="BA885" s="9" t="n"/>
    </row>
    <row r="886" ht="15.75" customHeight="1" s="18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  <c r="AH886" s="9" t="n"/>
      <c r="AI886" s="9" t="n"/>
      <c r="AJ886" s="9" t="n"/>
      <c r="AK886" s="9" t="n"/>
      <c r="AL886" s="9" t="n"/>
      <c r="AM886" s="9" t="n"/>
      <c r="AN886" s="9" t="n"/>
      <c r="AO886" s="9" t="n"/>
      <c r="AP886" s="9" t="n"/>
      <c r="AQ886" s="9" t="n"/>
      <c r="AR886" s="9" t="n"/>
      <c r="AS886" s="9" t="n"/>
      <c r="AT886" s="9" t="n"/>
      <c r="AU886" s="9" t="n"/>
      <c r="AV886" s="9" t="n"/>
      <c r="AW886" s="9" t="n"/>
      <c r="AX886" s="9" t="n"/>
      <c r="AY886" s="9" t="n"/>
      <c r="AZ886" s="9" t="n"/>
      <c r="BA886" s="9" t="n"/>
    </row>
    <row r="887" ht="15.75" customHeight="1" s="18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  <c r="AH887" s="9" t="n"/>
      <c r="AI887" s="9" t="n"/>
      <c r="AJ887" s="9" t="n"/>
      <c r="AK887" s="9" t="n"/>
      <c r="AL887" s="9" t="n"/>
      <c r="AM887" s="9" t="n"/>
      <c r="AN887" s="9" t="n"/>
      <c r="AO887" s="9" t="n"/>
      <c r="AP887" s="9" t="n"/>
      <c r="AQ887" s="9" t="n"/>
      <c r="AR887" s="9" t="n"/>
      <c r="AS887" s="9" t="n"/>
      <c r="AT887" s="9" t="n"/>
      <c r="AU887" s="9" t="n"/>
      <c r="AV887" s="9" t="n"/>
      <c r="AW887" s="9" t="n"/>
      <c r="AX887" s="9" t="n"/>
      <c r="AY887" s="9" t="n"/>
      <c r="AZ887" s="9" t="n"/>
      <c r="BA887" s="9" t="n"/>
    </row>
    <row r="888" ht="15.75" customHeight="1" s="1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  <c r="AH888" s="9" t="n"/>
      <c r="AI888" s="9" t="n"/>
      <c r="AJ888" s="9" t="n"/>
      <c r="AK888" s="9" t="n"/>
      <c r="AL888" s="9" t="n"/>
      <c r="AM888" s="9" t="n"/>
      <c r="AN888" s="9" t="n"/>
      <c r="AO888" s="9" t="n"/>
      <c r="AP888" s="9" t="n"/>
      <c r="AQ888" s="9" t="n"/>
      <c r="AR888" s="9" t="n"/>
      <c r="AS888" s="9" t="n"/>
      <c r="AT888" s="9" t="n"/>
      <c r="AU888" s="9" t="n"/>
      <c r="AV888" s="9" t="n"/>
      <c r="AW888" s="9" t="n"/>
      <c r="AX888" s="9" t="n"/>
      <c r="AY888" s="9" t="n"/>
      <c r="AZ888" s="9" t="n"/>
      <c r="BA888" s="9" t="n"/>
    </row>
    <row r="889" ht="15.75" customHeight="1" s="18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  <c r="AH889" s="9" t="n"/>
      <c r="AI889" s="9" t="n"/>
      <c r="AJ889" s="9" t="n"/>
      <c r="AK889" s="9" t="n"/>
      <c r="AL889" s="9" t="n"/>
      <c r="AM889" s="9" t="n"/>
      <c r="AN889" s="9" t="n"/>
      <c r="AO889" s="9" t="n"/>
      <c r="AP889" s="9" t="n"/>
      <c r="AQ889" s="9" t="n"/>
      <c r="AR889" s="9" t="n"/>
      <c r="AS889" s="9" t="n"/>
      <c r="AT889" s="9" t="n"/>
      <c r="AU889" s="9" t="n"/>
      <c r="AV889" s="9" t="n"/>
      <c r="AW889" s="9" t="n"/>
      <c r="AX889" s="9" t="n"/>
      <c r="AY889" s="9" t="n"/>
      <c r="AZ889" s="9" t="n"/>
      <c r="BA889" s="9" t="n"/>
    </row>
    <row r="890" ht="15.75" customHeight="1" s="18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  <c r="AH890" s="9" t="n"/>
      <c r="AI890" s="9" t="n"/>
      <c r="AJ890" s="9" t="n"/>
      <c r="AK890" s="9" t="n"/>
      <c r="AL890" s="9" t="n"/>
      <c r="AM890" s="9" t="n"/>
      <c r="AN890" s="9" t="n"/>
      <c r="AO890" s="9" t="n"/>
      <c r="AP890" s="9" t="n"/>
      <c r="AQ890" s="9" t="n"/>
      <c r="AR890" s="9" t="n"/>
      <c r="AS890" s="9" t="n"/>
      <c r="AT890" s="9" t="n"/>
      <c r="AU890" s="9" t="n"/>
      <c r="AV890" s="9" t="n"/>
      <c r="AW890" s="9" t="n"/>
      <c r="AX890" s="9" t="n"/>
      <c r="AY890" s="9" t="n"/>
      <c r="AZ890" s="9" t="n"/>
      <c r="BA890" s="9" t="n"/>
    </row>
    <row r="891" ht="15.75" customHeight="1" s="18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  <c r="AH891" s="9" t="n"/>
      <c r="AI891" s="9" t="n"/>
      <c r="AJ891" s="9" t="n"/>
      <c r="AK891" s="9" t="n"/>
      <c r="AL891" s="9" t="n"/>
      <c r="AM891" s="9" t="n"/>
      <c r="AN891" s="9" t="n"/>
      <c r="AO891" s="9" t="n"/>
      <c r="AP891" s="9" t="n"/>
      <c r="AQ891" s="9" t="n"/>
      <c r="AR891" s="9" t="n"/>
      <c r="AS891" s="9" t="n"/>
      <c r="AT891" s="9" t="n"/>
      <c r="AU891" s="9" t="n"/>
      <c r="AV891" s="9" t="n"/>
      <c r="AW891" s="9" t="n"/>
      <c r="AX891" s="9" t="n"/>
      <c r="AY891" s="9" t="n"/>
      <c r="AZ891" s="9" t="n"/>
      <c r="BA891" s="9" t="n"/>
    </row>
    <row r="892" ht="15.75" customHeight="1" s="18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  <c r="AH892" s="9" t="n"/>
      <c r="AI892" s="9" t="n"/>
      <c r="AJ892" s="9" t="n"/>
      <c r="AK892" s="9" t="n"/>
      <c r="AL892" s="9" t="n"/>
      <c r="AM892" s="9" t="n"/>
      <c r="AN892" s="9" t="n"/>
      <c r="AO892" s="9" t="n"/>
      <c r="AP892" s="9" t="n"/>
      <c r="AQ892" s="9" t="n"/>
      <c r="AR892" s="9" t="n"/>
      <c r="AS892" s="9" t="n"/>
      <c r="AT892" s="9" t="n"/>
      <c r="AU892" s="9" t="n"/>
      <c r="AV892" s="9" t="n"/>
      <c r="AW892" s="9" t="n"/>
      <c r="AX892" s="9" t="n"/>
      <c r="AY892" s="9" t="n"/>
      <c r="AZ892" s="9" t="n"/>
      <c r="BA892" s="9" t="n"/>
    </row>
    <row r="893" ht="15.75" customHeight="1" s="18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  <c r="AH893" s="9" t="n"/>
      <c r="AI893" s="9" t="n"/>
      <c r="AJ893" s="9" t="n"/>
      <c r="AK893" s="9" t="n"/>
      <c r="AL893" s="9" t="n"/>
      <c r="AM893" s="9" t="n"/>
      <c r="AN893" s="9" t="n"/>
      <c r="AO893" s="9" t="n"/>
      <c r="AP893" s="9" t="n"/>
      <c r="AQ893" s="9" t="n"/>
      <c r="AR893" s="9" t="n"/>
      <c r="AS893" s="9" t="n"/>
      <c r="AT893" s="9" t="n"/>
      <c r="AU893" s="9" t="n"/>
      <c r="AV893" s="9" t="n"/>
      <c r="AW893" s="9" t="n"/>
      <c r="AX893" s="9" t="n"/>
      <c r="AY893" s="9" t="n"/>
      <c r="AZ893" s="9" t="n"/>
      <c r="BA893" s="9" t="n"/>
    </row>
    <row r="894" ht="15.75" customHeight="1" s="18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  <c r="AH894" s="9" t="n"/>
      <c r="AI894" s="9" t="n"/>
      <c r="AJ894" s="9" t="n"/>
      <c r="AK894" s="9" t="n"/>
      <c r="AL894" s="9" t="n"/>
      <c r="AM894" s="9" t="n"/>
      <c r="AN894" s="9" t="n"/>
      <c r="AO894" s="9" t="n"/>
      <c r="AP894" s="9" t="n"/>
      <c r="AQ894" s="9" t="n"/>
      <c r="AR894" s="9" t="n"/>
      <c r="AS894" s="9" t="n"/>
      <c r="AT894" s="9" t="n"/>
      <c r="AU894" s="9" t="n"/>
      <c r="AV894" s="9" t="n"/>
      <c r="AW894" s="9" t="n"/>
      <c r="AX894" s="9" t="n"/>
      <c r="AY894" s="9" t="n"/>
      <c r="AZ894" s="9" t="n"/>
      <c r="BA894" s="9" t="n"/>
    </row>
    <row r="895" ht="15.75" customHeight="1" s="18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  <c r="AH895" s="9" t="n"/>
      <c r="AI895" s="9" t="n"/>
      <c r="AJ895" s="9" t="n"/>
      <c r="AK895" s="9" t="n"/>
      <c r="AL895" s="9" t="n"/>
      <c r="AM895" s="9" t="n"/>
      <c r="AN895" s="9" t="n"/>
      <c r="AO895" s="9" t="n"/>
      <c r="AP895" s="9" t="n"/>
      <c r="AQ895" s="9" t="n"/>
      <c r="AR895" s="9" t="n"/>
      <c r="AS895" s="9" t="n"/>
      <c r="AT895" s="9" t="n"/>
      <c r="AU895" s="9" t="n"/>
      <c r="AV895" s="9" t="n"/>
      <c r="AW895" s="9" t="n"/>
      <c r="AX895" s="9" t="n"/>
      <c r="AY895" s="9" t="n"/>
      <c r="AZ895" s="9" t="n"/>
      <c r="BA895" s="9" t="n"/>
    </row>
    <row r="896" ht="15.75" customHeight="1" s="18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  <c r="AH896" s="9" t="n"/>
      <c r="AI896" s="9" t="n"/>
      <c r="AJ896" s="9" t="n"/>
      <c r="AK896" s="9" t="n"/>
      <c r="AL896" s="9" t="n"/>
      <c r="AM896" s="9" t="n"/>
      <c r="AN896" s="9" t="n"/>
      <c r="AO896" s="9" t="n"/>
      <c r="AP896" s="9" t="n"/>
      <c r="AQ896" s="9" t="n"/>
      <c r="AR896" s="9" t="n"/>
      <c r="AS896" s="9" t="n"/>
      <c r="AT896" s="9" t="n"/>
      <c r="AU896" s="9" t="n"/>
      <c r="AV896" s="9" t="n"/>
      <c r="AW896" s="9" t="n"/>
      <c r="AX896" s="9" t="n"/>
      <c r="AY896" s="9" t="n"/>
      <c r="AZ896" s="9" t="n"/>
      <c r="BA896" s="9" t="n"/>
    </row>
    <row r="897" ht="15.75" customHeight="1" s="18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  <c r="AH897" s="9" t="n"/>
      <c r="AI897" s="9" t="n"/>
      <c r="AJ897" s="9" t="n"/>
      <c r="AK897" s="9" t="n"/>
      <c r="AL897" s="9" t="n"/>
      <c r="AM897" s="9" t="n"/>
      <c r="AN897" s="9" t="n"/>
      <c r="AO897" s="9" t="n"/>
      <c r="AP897" s="9" t="n"/>
      <c r="AQ897" s="9" t="n"/>
      <c r="AR897" s="9" t="n"/>
      <c r="AS897" s="9" t="n"/>
      <c r="AT897" s="9" t="n"/>
      <c r="AU897" s="9" t="n"/>
      <c r="AV897" s="9" t="n"/>
      <c r="AW897" s="9" t="n"/>
      <c r="AX897" s="9" t="n"/>
      <c r="AY897" s="9" t="n"/>
      <c r="AZ897" s="9" t="n"/>
      <c r="BA897" s="9" t="n"/>
    </row>
    <row r="898" ht="15.75" customHeight="1" s="1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  <c r="AH898" s="9" t="n"/>
      <c r="AI898" s="9" t="n"/>
      <c r="AJ898" s="9" t="n"/>
      <c r="AK898" s="9" t="n"/>
      <c r="AL898" s="9" t="n"/>
      <c r="AM898" s="9" t="n"/>
      <c r="AN898" s="9" t="n"/>
      <c r="AO898" s="9" t="n"/>
      <c r="AP898" s="9" t="n"/>
      <c r="AQ898" s="9" t="n"/>
      <c r="AR898" s="9" t="n"/>
      <c r="AS898" s="9" t="n"/>
      <c r="AT898" s="9" t="n"/>
      <c r="AU898" s="9" t="n"/>
      <c r="AV898" s="9" t="n"/>
      <c r="AW898" s="9" t="n"/>
      <c r="AX898" s="9" t="n"/>
      <c r="AY898" s="9" t="n"/>
      <c r="AZ898" s="9" t="n"/>
      <c r="BA898" s="9" t="n"/>
    </row>
    <row r="899" ht="15.75" customHeight="1" s="18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  <c r="AH899" s="9" t="n"/>
      <c r="AI899" s="9" t="n"/>
      <c r="AJ899" s="9" t="n"/>
      <c r="AK899" s="9" t="n"/>
      <c r="AL899" s="9" t="n"/>
      <c r="AM899" s="9" t="n"/>
      <c r="AN899" s="9" t="n"/>
      <c r="AO899" s="9" t="n"/>
      <c r="AP899" s="9" t="n"/>
      <c r="AQ899" s="9" t="n"/>
      <c r="AR899" s="9" t="n"/>
      <c r="AS899" s="9" t="n"/>
      <c r="AT899" s="9" t="n"/>
      <c r="AU899" s="9" t="n"/>
      <c r="AV899" s="9" t="n"/>
      <c r="AW899" s="9" t="n"/>
      <c r="AX899" s="9" t="n"/>
      <c r="AY899" s="9" t="n"/>
      <c r="AZ899" s="9" t="n"/>
      <c r="BA899" s="9" t="n"/>
    </row>
    <row r="900" ht="15.75" customHeight="1" s="18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  <c r="AH900" s="9" t="n"/>
      <c r="AI900" s="9" t="n"/>
      <c r="AJ900" s="9" t="n"/>
      <c r="AK900" s="9" t="n"/>
      <c r="AL900" s="9" t="n"/>
      <c r="AM900" s="9" t="n"/>
      <c r="AN900" s="9" t="n"/>
      <c r="AO900" s="9" t="n"/>
      <c r="AP900" s="9" t="n"/>
      <c r="AQ900" s="9" t="n"/>
      <c r="AR900" s="9" t="n"/>
      <c r="AS900" s="9" t="n"/>
      <c r="AT900" s="9" t="n"/>
      <c r="AU900" s="9" t="n"/>
      <c r="AV900" s="9" t="n"/>
      <c r="AW900" s="9" t="n"/>
      <c r="AX900" s="9" t="n"/>
      <c r="AY900" s="9" t="n"/>
      <c r="AZ900" s="9" t="n"/>
      <c r="BA900" s="9" t="n"/>
    </row>
    <row r="901" ht="15.75" customHeight="1" s="18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  <c r="AH901" s="9" t="n"/>
      <c r="AI901" s="9" t="n"/>
      <c r="AJ901" s="9" t="n"/>
      <c r="AK901" s="9" t="n"/>
      <c r="AL901" s="9" t="n"/>
      <c r="AM901" s="9" t="n"/>
      <c r="AN901" s="9" t="n"/>
      <c r="AO901" s="9" t="n"/>
      <c r="AP901" s="9" t="n"/>
      <c r="AQ901" s="9" t="n"/>
      <c r="AR901" s="9" t="n"/>
      <c r="AS901" s="9" t="n"/>
      <c r="AT901" s="9" t="n"/>
      <c r="AU901" s="9" t="n"/>
      <c r="AV901" s="9" t="n"/>
      <c r="AW901" s="9" t="n"/>
      <c r="AX901" s="9" t="n"/>
      <c r="AY901" s="9" t="n"/>
      <c r="AZ901" s="9" t="n"/>
      <c r="BA901" s="9" t="n"/>
    </row>
    <row r="902" ht="15.75" customHeight="1" s="18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  <c r="AH902" s="9" t="n"/>
      <c r="AI902" s="9" t="n"/>
      <c r="AJ902" s="9" t="n"/>
      <c r="AK902" s="9" t="n"/>
      <c r="AL902" s="9" t="n"/>
      <c r="AM902" s="9" t="n"/>
      <c r="AN902" s="9" t="n"/>
      <c r="AO902" s="9" t="n"/>
      <c r="AP902" s="9" t="n"/>
      <c r="AQ902" s="9" t="n"/>
      <c r="AR902" s="9" t="n"/>
      <c r="AS902" s="9" t="n"/>
      <c r="AT902" s="9" t="n"/>
      <c r="AU902" s="9" t="n"/>
      <c r="AV902" s="9" t="n"/>
      <c r="AW902" s="9" t="n"/>
      <c r="AX902" s="9" t="n"/>
      <c r="AY902" s="9" t="n"/>
      <c r="AZ902" s="9" t="n"/>
      <c r="BA902" s="9" t="n"/>
    </row>
    <row r="903" ht="15.75" customHeight="1" s="18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  <c r="AH903" s="9" t="n"/>
      <c r="AI903" s="9" t="n"/>
      <c r="AJ903" s="9" t="n"/>
      <c r="AK903" s="9" t="n"/>
      <c r="AL903" s="9" t="n"/>
      <c r="AM903" s="9" t="n"/>
      <c r="AN903" s="9" t="n"/>
      <c r="AO903" s="9" t="n"/>
      <c r="AP903" s="9" t="n"/>
      <c r="AQ903" s="9" t="n"/>
      <c r="AR903" s="9" t="n"/>
      <c r="AS903" s="9" t="n"/>
      <c r="AT903" s="9" t="n"/>
      <c r="AU903" s="9" t="n"/>
      <c r="AV903" s="9" t="n"/>
      <c r="AW903" s="9" t="n"/>
      <c r="AX903" s="9" t="n"/>
      <c r="AY903" s="9" t="n"/>
      <c r="AZ903" s="9" t="n"/>
      <c r="BA903" s="9" t="n"/>
    </row>
    <row r="904" ht="15.75" customHeight="1" s="18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  <c r="AH904" s="9" t="n"/>
      <c r="AI904" s="9" t="n"/>
      <c r="AJ904" s="9" t="n"/>
      <c r="AK904" s="9" t="n"/>
      <c r="AL904" s="9" t="n"/>
      <c r="AM904" s="9" t="n"/>
      <c r="AN904" s="9" t="n"/>
      <c r="AO904" s="9" t="n"/>
      <c r="AP904" s="9" t="n"/>
      <c r="AQ904" s="9" t="n"/>
      <c r="AR904" s="9" t="n"/>
      <c r="AS904" s="9" t="n"/>
      <c r="AT904" s="9" t="n"/>
      <c r="AU904" s="9" t="n"/>
      <c r="AV904" s="9" t="n"/>
      <c r="AW904" s="9" t="n"/>
      <c r="AX904" s="9" t="n"/>
      <c r="AY904" s="9" t="n"/>
      <c r="AZ904" s="9" t="n"/>
      <c r="BA904" s="9" t="n"/>
    </row>
    <row r="905" ht="15.75" customHeight="1" s="18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  <c r="AH905" s="9" t="n"/>
      <c r="AI905" s="9" t="n"/>
      <c r="AJ905" s="9" t="n"/>
      <c r="AK905" s="9" t="n"/>
      <c r="AL905" s="9" t="n"/>
      <c r="AM905" s="9" t="n"/>
      <c r="AN905" s="9" t="n"/>
      <c r="AO905" s="9" t="n"/>
      <c r="AP905" s="9" t="n"/>
      <c r="AQ905" s="9" t="n"/>
      <c r="AR905" s="9" t="n"/>
      <c r="AS905" s="9" t="n"/>
      <c r="AT905" s="9" t="n"/>
      <c r="AU905" s="9" t="n"/>
      <c r="AV905" s="9" t="n"/>
      <c r="AW905" s="9" t="n"/>
      <c r="AX905" s="9" t="n"/>
      <c r="AY905" s="9" t="n"/>
      <c r="AZ905" s="9" t="n"/>
      <c r="BA905" s="9" t="n"/>
    </row>
    <row r="906" ht="15.75" customHeight="1" s="18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  <c r="AH906" s="9" t="n"/>
      <c r="AI906" s="9" t="n"/>
      <c r="AJ906" s="9" t="n"/>
      <c r="AK906" s="9" t="n"/>
      <c r="AL906" s="9" t="n"/>
      <c r="AM906" s="9" t="n"/>
      <c r="AN906" s="9" t="n"/>
      <c r="AO906" s="9" t="n"/>
      <c r="AP906" s="9" t="n"/>
      <c r="AQ906" s="9" t="n"/>
      <c r="AR906" s="9" t="n"/>
      <c r="AS906" s="9" t="n"/>
      <c r="AT906" s="9" t="n"/>
      <c r="AU906" s="9" t="n"/>
      <c r="AV906" s="9" t="n"/>
      <c r="AW906" s="9" t="n"/>
      <c r="AX906" s="9" t="n"/>
      <c r="AY906" s="9" t="n"/>
      <c r="AZ906" s="9" t="n"/>
      <c r="BA906" s="9" t="n"/>
    </row>
    <row r="907" ht="15.75" customHeight="1" s="18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  <c r="AH907" s="9" t="n"/>
      <c r="AI907" s="9" t="n"/>
      <c r="AJ907" s="9" t="n"/>
      <c r="AK907" s="9" t="n"/>
      <c r="AL907" s="9" t="n"/>
      <c r="AM907" s="9" t="n"/>
      <c r="AN907" s="9" t="n"/>
      <c r="AO907" s="9" t="n"/>
      <c r="AP907" s="9" t="n"/>
      <c r="AQ907" s="9" t="n"/>
      <c r="AR907" s="9" t="n"/>
      <c r="AS907" s="9" t="n"/>
      <c r="AT907" s="9" t="n"/>
      <c r="AU907" s="9" t="n"/>
      <c r="AV907" s="9" t="n"/>
      <c r="AW907" s="9" t="n"/>
      <c r="AX907" s="9" t="n"/>
      <c r="AY907" s="9" t="n"/>
      <c r="AZ907" s="9" t="n"/>
      <c r="BA907" s="9" t="n"/>
    </row>
    <row r="908" ht="15.75" customHeight="1" s="1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  <c r="AH908" s="9" t="n"/>
      <c r="AI908" s="9" t="n"/>
      <c r="AJ908" s="9" t="n"/>
      <c r="AK908" s="9" t="n"/>
      <c r="AL908" s="9" t="n"/>
      <c r="AM908" s="9" t="n"/>
      <c r="AN908" s="9" t="n"/>
      <c r="AO908" s="9" t="n"/>
      <c r="AP908" s="9" t="n"/>
      <c r="AQ908" s="9" t="n"/>
      <c r="AR908" s="9" t="n"/>
      <c r="AS908" s="9" t="n"/>
      <c r="AT908" s="9" t="n"/>
      <c r="AU908" s="9" t="n"/>
      <c r="AV908" s="9" t="n"/>
      <c r="AW908" s="9" t="n"/>
      <c r="AX908" s="9" t="n"/>
      <c r="AY908" s="9" t="n"/>
      <c r="AZ908" s="9" t="n"/>
      <c r="BA908" s="9" t="n"/>
    </row>
    <row r="909" ht="15.75" customHeight="1" s="18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  <c r="AH909" s="9" t="n"/>
      <c r="AI909" s="9" t="n"/>
      <c r="AJ909" s="9" t="n"/>
      <c r="AK909" s="9" t="n"/>
      <c r="AL909" s="9" t="n"/>
      <c r="AM909" s="9" t="n"/>
      <c r="AN909" s="9" t="n"/>
      <c r="AO909" s="9" t="n"/>
      <c r="AP909" s="9" t="n"/>
      <c r="AQ909" s="9" t="n"/>
      <c r="AR909" s="9" t="n"/>
      <c r="AS909" s="9" t="n"/>
      <c r="AT909" s="9" t="n"/>
      <c r="AU909" s="9" t="n"/>
      <c r="AV909" s="9" t="n"/>
      <c r="AW909" s="9" t="n"/>
      <c r="AX909" s="9" t="n"/>
      <c r="AY909" s="9" t="n"/>
      <c r="AZ909" s="9" t="n"/>
      <c r="BA909" s="9" t="n"/>
    </row>
    <row r="910" ht="15.75" customHeight="1" s="18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  <c r="AH910" s="9" t="n"/>
      <c r="AI910" s="9" t="n"/>
      <c r="AJ910" s="9" t="n"/>
      <c r="AK910" s="9" t="n"/>
      <c r="AL910" s="9" t="n"/>
      <c r="AM910" s="9" t="n"/>
      <c r="AN910" s="9" t="n"/>
      <c r="AO910" s="9" t="n"/>
      <c r="AP910" s="9" t="n"/>
      <c r="AQ910" s="9" t="n"/>
      <c r="AR910" s="9" t="n"/>
      <c r="AS910" s="9" t="n"/>
      <c r="AT910" s="9" t="n"/>
      <c r="AU910" s="9" t="n"/>
      <c r="AV910" s="9" t="n"/>
      <c r="AW910" s="9" t="n"/>
      <c r="AX910" s="9" t="n"/>
      <c r="AY910" s="9" t="n"/>
      <c r="AZ910" s="9" t="n"/>
      <c r="BA910" s="9" t="n"/>
    </row>
    <row r="911" ht="15.75" customHeight="1" s="18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  <c r="AH911" s="9" t="n"/>
      <c r="AI911" s="9" t="n"/>
      <c r="AJ911" s="9" t="n"/>
      <c r="AK911" s="9" t="n"/>
      <c r="AL911" s="9" t="n"/>
      <c r="AM911" s="9" t="n"/>
      <c r="AN911" s="9" t="n"/>
      <c r="AO911" s="9" t="n"/>
      <c r="AP911" s="9" t="n"/>
      <c r="AQ911" s="9" t="n"/>
      <c r="AR911" s="9" t="n"/>
      <c r="AS911" s="9" t="n"/>
      <c r="AT911" s="9" t="n"/>
      <c r="AU911" s="9" t="n"/>
      <c r="AV911" s="9" t="n"/>
      <c r="AW911" s="9" t="n"/>
      <c r="AX911" s="9" t="n"/>
      <c r="AY911" s="9" t="n"/>
      <c r="AZ911" s="9" t="n"/>
      <c r="BA911" s="9" t="n"/>
    </row>
    <row r="912" ht="15.75" customHeight="1" s="18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  <c r="AH912" s="9" t="n"/>
      <c r="AI912" s="9" t="n"/>
      <c r="AJ912" s="9" t="n"/>
      <c r="AK912" s="9" t="n"/>
      <c r="AL912" s="9" t="n"/>
      <c r="AM912" s="9" t="n"/>
      <c r="AN912" s="9" t="n"/>
      <c r="AO912" s="9" t="n"/>
      <c r="AP912" s="9" t="n"/>
      <c r="AQ912" s="9" t="n"/>
      <c r="AR912" s="9" t="n"/>
      <c r="AS912" s="9" t="n"/>
      <c r="AT912" s="9" t="n"/>
      <c r="AU912" s="9" t="n"/>
      <c r="AV912" s="9" t="n"/>
      <c r="AW912" s="9" t="n"/>
      <c r="AX912" s="9" t="n"/>
      <c r="AY912" s="9" t="n"/>
      <c r="AZ912" s="9" t="n"/>
      <c r="BA912" s="9" t="n"/>
    </row>
    <row r="913" ht="15.75" customHeight="1" s="18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  <c r="AH913" s="9" t="n"/>
      <c r="AI913" s="9" t="n"/>
      <c r="AJ913" s="9" t="n"/>
      <c r="AK913" s="9" t="n"/>
      <c r="AL913" s="9" t="n"/>
      <c r="AM913" s="9" t="n"/>
      <c r="AN913" s="9" t="n"/>
      <c r="AO913" s="9" t="n"/>
      <c r="AP913" s="9" t="n"/>
      <c r="AQ913" s="9" t="n"/>
      <c r="AR913" s="9" t="n"/>
      <c r="AS913" s="9" t="n"/>
      <c r="AT913" s="9" t="n"/>
      <c r="AU913" s="9" t="n"/>
      <c r="AV913" s="9" t="n"/>
      <c r="AW913" s="9" t="n"/>
      <c r="AX913" s="9" t="n"/>
      <c r="AY913" s="9" t="n"/>
      <c r="AZ913" s="9" t="n"/>
      <c r="BA913" s="9" t="n"/>
    </row>
    <row r="914" ht="15.75" customHeight="1" s="18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  <c r="AH914" s="9" t="n"/>
      <c r="AI914" s="9" t="n"/>
      <c r="AJ914" s="9" t="n"/>
      <c r="AK914" s="9" t="n"/>
      <c r="AL914" s="9" t="n"/>
      <c r="AM914" s="9" t="n"/>
      <c r="AN914" s="9" t="n"/>
      <c r="AO914" s="9" t="n"/>
      <c r="AP914" s="9" t="n"/>
      <c r="AQ914" s="9" t="n"/>
      <c r="AR914" s="9" t="n"/>
      <c r="AS914" s="9" t="n"/>
      <c r="AT914" s="9" t="n"/>
      <c r="AU914" s="9" t="n"/>
      <c r="AV914" s="9" t="n"/>
      <c r="AW914" s="9" t="n"/>
      <c r="AX914" s="9" t="n"/>
      <c r="AY914" s="9" t="n"/>
      <c r="AZ914" s="9" t="n"/>
      <c r="BA914" s="9" t="n"/>
    </row>
    <row r="915" ht="15.75" customHeight="1" s="18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  <c r="AH915" s="9" t="n"/>
      <c r="AI915" s="9" t="n"/>
      <c r="AJ915" s="9" t="n"/>
      <c r="AK915" s="9" t="n"/>
      <c r="AL915" s="9" t="n"/>
      <c r="AM915" s="9" t="n"/>
      <c r="AN915" s="9" t="n"/>
      <c r="AO915" s="9" t="n"/>
      <c r="AP915" s="9" t="n"/>
      <c r="AQ915" s="9" t="n"/>
      <c r="AR915" s="9" t="n"/>
      <c r="AS915" s="9" t="n"/>
      <c r="AT915" s="9" t="n"/>
      <c r="AU915" s="9" t="n"/>
      <c r="AV915" s="9" t="n"/>
      <c r="AW915" s="9" t="n"/>
      <c r="AX915" s="9" t="n"/>
      <c r="AY915" s="9" t="n"/>
      <c r="AZ915" s="9" t="n"/>
      <c r="BA915" s="9" t="n"/>
    </row>
    <row r="916" ht="15.75" customHeight="1" s="18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  <c r="AH916" s="9" t="n"/>
      <c r="AI916" s="9" t="n"/>
      <c r="AJ916" s="9" t="n"/>
      <c r="AK916" s="9" t="n"/>
      <c r="AL916" s="9" t="n"/>
      <c r="AM916" s="9" t="n"/>
      <c r="AN916" s="9" t="n"/>
      <c r="AO916" s="9" t="n"/>
      <c r="AP916" s="9" t="n"/>
      <c r="AQ916" s="9" t="n"/>
      <c r="AR916" s="9" t="n"/>
      <c r="AS916" s="9" t="n"/>
      <c r="AT916" s="9" t="n"/>
      <c r="AU916" s="9" t="n"/>
      <c r="AV916" s="9" t="n"/>
      <c r="AW916" s="9" t="n"/>
      <c r="AX916" s="9" t="n"/>
      <c r="AY916" s="9" t="n"/>
      <c r="AZ916" s="9" t="n"/>
      <c r="BA916" s="9" t="n"/>
    </row>
    <row r="917" ht="15.75" customHeight="1" s="18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  <c r="AH917" s="9" t="n"/>
      <c r="AI917" s="9" t="n"/>
      <c r="AJ917" s="9" t="n"/>
      <c r="AK917" s="9" t="n"/>
      <c r="AL917" s="9" t="n"/>
      <c r="AM917" s="9" t="n"/>
      <c r="AN917" s="9" t="n"/>
      <c r="AO917" s="9" t="n"/>
      <c r="AP917" s="9" t="n"/>
      <c r="AQ917" s="9" t="n"/>
      <c r="AR917" s="9" t="n"/>
      <c r="AS917" s="9" t="n"/>
      <c r="AT917" s="9" t="n"/>
      <c r="AU917" s="9" t="n"/>
      <c r="AV917" s="9" t="n"/>
      <c r="AW917" s="9" t="n"/>
      <c r="AX917" s="9" t="n"/>
      <c r="AY917" s="9" t="n"/>
      <c r="AZ917" s="9" t="n"/>
      <c r="BA917" s="9" t="n"/>
    </row>
    <row r="918" ht="15.75" customHeight="1" s="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  <c r="AH918" s="9" t="n"/>
      <c r="AI918" s="9" t="n"/>
      <c r="AJ918" s="9" t="n"/>
      <c r="AK918" s="9" t="n"/>
      <c r="AL918" s="9" t="n"/>
      <c r="AM918" s="9" t="n"/>
      <c r="AN918" s="9" t="n"/>
      <c r="AO918" s="9" t="n"/>
      <c r="AP918" s="9" t="n"/>
      <c r="AQ918" s="9" t="n"/>
      <c r="AR918" s="9" t="n"/>
      <c r="AS918" s="9" t="n"/>
      <c r="AT918" s="9" t="n"/>
      <c r="AU918" s="9" t="n"/>
      <c r="AV918" s="9" t="n"/>
      <c r="AW918" s="9" t="n"/>
      <c r="AX918" s="9" t="n"/>
      <c r="AY918" s="9" t="n"/>
      <c r="AZ918" s="9" t="n"/>
      <c r="BA918" s="9" t="n"/>
    </row>
    <row r="919" ht="15.75" customHeight="1" s="18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  <c r="AH919" s="9" t="n"/>
      <c r="AI919" s="9" t="n"/>
      <c r="AJ919" s="9" t="n"/>
      <c r="AK919" s="9" t="n"/>
      <c r="AL919" s="9" t="n"/>
      <c r="AM919" s="9" t="n"/>
      <c r="AN919" s="9" t="n"/>
      <c r="AO919" s="9" t="n"/>
      <c r="AP919" s="9" t="n"/>
      <c r="AQ919" s="9" t="n"/>
      <c r="AR919" s="9" t="n"/>
      <c r="AS919" s="9" t="n"/>
      <c r="AT919" s="9" t="n"/>
      <c r="AU919" s="9" t="n"/>
      <c r="AV919" s="9" t="n"/>
      <c r="AW919" s="9" t="n"/>
      <c r="AX919" s="9" t="n"/>
      <c r="AY919" s="9" t="n"/>
      <c r="AZ919" s="9" t="n"/>
      <c r="BA919" s="9" t="n"/>
    </row>
    <row r="920" ht="15.75" customHeight="1" s="18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  <c r="AH920" s="9" t="n"/>
      <c r="AI920" s="9" t="n"/>
      <c r="AJ920" s="9" t="n"/>
      <c r="AK920" s="9" t="n"/>
      <c r="AL920" s="9" t="n"/>
      <c r="AM920" s="9" t="n"/>
      <c r="AN920" s="9" t="n"/>
      <c r="AO920" s="9" t="n"/>
      <c r="AP920" s="9" t="n"/>
      <c r="AQ920" s="9" t="n"/>
      <c r="AR920" s="9" t="n"/>
      <c r="AS920" s="9" t="n"/>
      <c r="AT920" s="9" t="n"/>
      <c r="AU920" s="9" t="n"/>
      <c r="AV920" s="9" t="n"/>
      <c r="AW920" s="9" t="n"/>
      <c r="AX920" s="9" t="n"/>
      <c r="AY920" s="9" t="n"/>
      <c r="AZ920" s="9" t="n"/>
      <c r="BA920" s="9" t="n"/>
    </row>
    <row r="921" ht="15.75" customHeight="1" s="18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  <c r="AH921" s="9" t="n"/>
      <c r="AI921" s="9" t="n"/>
      <c r="AJ921" s="9" t="n"/>
      <c r="AK921" s="9" t="n"/>
      <c r="AL921" s="9" t="n"/>
      <c r="AM921" s="9" t="n"/>
      <c r="AN921" s="9" t="n"/>
      <c r="AO921" s="9" t="n"/>
      <c r="AP921" s="9" t="n"/>
      <c r="AQ921" s="9" t="n"/>
      <c r="AR921" s="9" t="n"/>
      <c r="AS921" s="9" t="n"/>
      <c r="AT921" s="9" t="n"/>
      <c r="AU921" s="9" t="n"/>
      <c r="AV921" s="9" t="n"/>
      <c r="AW921" s="9" t="n"/>
      <c r="AX921" s="9" t="n"/>
      <c r="AY921" s="9" t="n"/>
      <c r="AZ921" s="9" t="n"/>
      <c r="BA921" s="9" t="n"/>
    </row>
    <row r="922" ht="15.75" customHeight="1" s="18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  <c r="AH922" s="9" t="n"/>
      <c r="AI922" s="9" t="n"/>
      <c r="AJ922" s="9" t="n"/>
      <c r="AK922" s="9" t="n"/>
      <c r="AL922" s="9" t="n"/>
      <c r="AM922" s="9" t="n"/>
      <c r="AN922" s="9" t="n"/>
      <c r="AO922" s="9" t="n"/>
      <c r="AP922" s="9" t="n"/>
      <c r="AQ922" s="9" t="n"/>
      <c r="AR922" s="9" t="n"/>
      <c r="AS922" s="9" t="n"/>
      <c r="AT922" s="9" t="n"/>
      <c r="AU922" s="9" t="n"/>
      <c r="AV922" s="9" t="n"/>
      <c r="AW922" s="9" t="n"/>
      <c r="AX922" s="9" t="n"/>
      <c r="AY922" s="9" t="n"/>
      <c r="AZ922" s="9" t="n"/>
      <c r="BA922" s="9" t="n"/>
    </row>
    <row r="923" ht="15.75" customHeight="1" s="18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  <c r="AH923" s="9" t="n"/>
      <c r="AI923" s="9" t="n"/>
      <c r="AJ923" s="9" t="n"/>
      <c r="AK923" s="9" t="n"/>
      <c r="AL923" s="9" t="n"/>
      <c r="AM923" s="9" t="n"/>
      <c r="AN923" s="9" t="n"/>
      <c r="AO923" s="9" t="n"/>
      <c r="AP923" s="9" t="n"/>
      <c r="AQ923" s="9" t="n"/>
      <c r="AR923" s="9" t="n"/>
      <c r="AS923" s="9" t="n"/>
      <c r="AT923" s="9" t="n"/>
      <c r="AU923" s="9" t="n"/>
      <c r="AV923" s="9" t="n"/>
      <c r="AW923" s="9" t="n"/>
      <c r="AX923" s="9" t="n"/>
      <c r="AY923" s="9" t="n"/>
      <c r="AZ923" s="9" t="n"/>
      <c r="BA923" s="9" t="n"/>
    </row>
    <row r="924" ht="15.75" customHeight="1" s="18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  <c r="AH924" s="9" t="n"/>
      <c r="AI924" s="9" t="n"/>
      <c r="AJ924" s="9" t="n"/>
      <c r="AK924" s="9" t="n"/>
      <c r="AL924" s="9" t="n"/>
      <c r="AM924" s="9" t="n"/>
      <c r="AN924" s="9" t="n"/>
      <c r="AO924" s="9" t="n"/>
      <c r="AP924" s="9" t="n"/>
      <c r="AQ924" s="9" t="n"/>
      <c r="AR924" s="9" t="n"/>
      <c r="AS924" s="9" t="n"/>
      <c r="AT924" s="9" t="n"/>
      <c r="AU924" s="9" t="n"/>
      <c r="AV924" s="9" t="n"/>
      <c r="AW924" s="9" t="n"/>
      <c r="AX924" s="9" t="n"/>
      <c r="AY924" s="9" t="n"/>
      <c r="AZ924" s="9" t="n"/>
      <c r="BA924" s="9" t="n"/>
    </row>
    <row r="925" ht="15.75" customHeight="1" s="18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  <c r="AH925" s="9" t="n"/>
      <c r="AI925" s="9" t="n"/>
      <c r="AJ925" s="9" t="n"/>
      <c r="AK925" s="9" t="n"/>
      <c r="AL925" s="9" t="n"/>
      <c r="AM925" s="9" t="n"/>
      <c r="AN925" s="9" t="n"/>
      <c r="AO925" s="9" t="n"/>
      <c r="AP925" s="9" t="n"/>
      <c r="AQ925" s="9" t="n"/>
      <c r="AR925" s="9" t="n"/>
      <c r="AS925" s="9" t="n"/>
      <c r="AT925" s="9" t="n"/>
      <c r="AU925" s="9" t="n"/>
      <c r="AV925" s="9" t="n"/>
      <c r="AW925" s="9" t="n"/>
      <c r="AX925" s="9" t="n"/>
      <c r="AY925" s="9" t="n"/>
      <c r="AZ925" s="9" t="n"/>
      <c r="BA925" s="9" t="n"/>
    </row>
    <row r="926" ht="15.75" customHeight="1" s="18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  <c r="AH926" s="9" t="n"/>
      <c r="AI926" s="9" t="n"/>
      <c r="AJ926" s="9" t="n"/>
      <c r="AK926" s="9" t="n"/>
      <c r="AL926" s="9" t="n"/>
      <c r="AM926" s="9" t="n"/>
      <c r="AN926" s="9" t="n"/>
      <c r="AO926" s="9" t="n"/>
      <c r="AP926" s="9" t="n"/>
      <c r="AQ926" s="9" t="n"/>
      <c r="AR926" s="9" t="n"/>
      <c r="AS926" s="9" t="n"/>
      <c r="AT926" s="9" t="n"/>
      <c r="AU926" s="9" t="n"/>
      <c r="AV926" s="9" t="n"/>
      <c r="AW926" s="9" t="n"/>
      <c r="AX926" s="9" t="n"/>
      <c r="AY926" s="9" t="n"/>
      <c r="AZ926" s="9" t="n"/>
      <c r="BA926" s="9" t="n"/>
    </row>
    <row r="927" ht="15.75" customHeight="1" s="18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  <c r="AH927" s="9" t="n"/>
      <c r="AI927" s="9" t="n"/>
      <c r="AJ927" s="9" t="n"/>
      <c r="AK927" s="9" t="n"/>
      <c r="AL927" s="9" t="n"/>
      <c r="AM927" s="9" t="n"/>
      <c r="AN927" s="9" t="n"/>
      <c r="AO927" s="9" t="n"/>
      <c r="AP927" s="9" t="n"/>
      <c r="AQ927" s="9" t="n"/>
      <c r="AR927" s="9" t="n"/>
      <c r="AS927" s="9" t="n"/>
      <c r="AT927" s="9" t="n"/>
      <c r="AU927" s="9" t="n"/>
      <c r="AV927" s="9" t="n"/>
      <c r="AW927" s="9" t="n"/>
      <c r="AX927" s="9" t="n"/>
      <c r="AY927" s="9" t="n"/>
      <c r="AZ927" s="9" t="n"/>
      <c r="BA927" s="9" t="n"/>
    </row>
    <row r="928" ht="15.75" customHeight="1" s="1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  <c r="AH928" s="9" t="n"/>
      <c r="AI928" s="9" t="n"/>
      <c r="AJ928" s="9" t="n"/>
      <c r="AK928" s="9" t="n"/>
      <c r="AL928" s="9" t="n"/>
      <c r="AM928" s="9" t="n"/>
      <c r="AN928" s="9" t="n"/>
      <c r="AO928" s="9" t="n"/>
      <c r="AP928" s="9" t="n"/>
      <c r="AQ928" s="9" t="n"/>
      <c r="AR928" s="9" t="n"/>
      <c r="AS928" s="9" t="n"/>
      <c r="AT928" s="9" t="n"/>
      <c r="AU928" s="9" t="n"/>
      <c r="AV928" s="9" t="n"/>
      <c r="AW928" s="9" t="n"/>
      <c r="AX928" s="9" t="n"/>
      <c r="AY928" s="9" t="n"/>
      <c r="AZ928" s="9" t="n"/>
      <c r="BA928" s="9" t="n"/>
    </row>
    <row r="929" ht="15.75" customHeight="1" s="18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  <c r="AH929" s="9" t="n"/>
      <c r="AI929" s="9" t="n"/>
      <c r="AJ929" s="9" t="n"/>
      <c r="AK929" s="9" t="n"/>
      <c r="AL929" s="9" t="n"/>
      <c r="AM929" s="9" t="n"/>
      <c r="AN929" s="9" t="n"/>
      <c r="AO929" s="9" t="n"/>
      <c r="AP929" s="9" t="n"/>
      <c r="AQ929" s="9" t="n"/>
      <c r="AR929" s="9" t="n"/>
      <c r="AS929" s="9" t="n"/>
      <c r="AT929" s="9" t="n"/>
      <c r="AU929" s="9" t="n"/>
      <c r="AV929" s="9" t="n"/>
      <c r="AW929" s="9" t="n"/>
      <c r="AX929" s="9" t="n"/>
      <c r="AY929" s="9" t="n"/>
      <c r="AZ929" s="9" t="n"/>
      <c r="BA929" s="9" t="n"/>
    </row>
    <row r="930" ht="15.75" customHeight="1" s="18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  <c r="AH930" s="9" t="n"/>
      <c r="AI930" s="9" t="n"/>
      <c r="AJ930" s="9" t="n"/>
      <c r="AK930" s="9" t="n"/>
      <c r="AL930" s="9" t="n"/>
      <c r="AM930" s="9" t="n"/>
      <c r="AN930" s="9" t="n"/>
      <c r="AO930" s="9" t="n"/>
      <c r="AP930" s="9" t="n"/>
      <c r="AQ930" s="9" t="n"/>
      <c r="AR930" s="9" t="n"/>
      <c r="AS930" s="9" t="n"/>
      <c r="AT930" s="9" t="n"/>
      <c r="AU930" s="9" t="n"/>
      <c r="AV930" s="9" t="n"/>
      <c r="AW930" s="9" t="n"/>
      <c r="AX930" s="9" t="n"/>
      <c r="AY930" s="9" t="n"/>
      <c r="AZ930" s="9" t="n"/>
      <c r="BA930" s="9" t="n"/>
    </row>
    <row r="931" ht="15.75" customHeight="1" s="18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  <c r="AH931" s="9" t="n"/>
      <c r="AI931" s="9" t="n"/>
      <c r="AJ931" s="9" t="n"/>
      <c r="AK931" s="9" t="n"/>
      <c r="AL931" s="9" t="n"/>
      <c r="AM931" s="9" t="n"/>
      <c r="AN931" s="9" t="n"/>
      <c r="AO931" s="9" t="n"/>
      <c r="AP931" s="9" t="n"/>
      <c r="AQ931" s="9" t="n"/>
      <c r="AR931" s="9" t="n"/>
      <c r="AS931" s="9" t="n"/>
      <c r="AT931" s="9" t="n"/>
      <c r="AU931" s="9" t="n"/>
      <c r="AV931" s="9" t="n"/>
      <c r="AW931" s="9" t="n"/>
      <c r="AX931" s="9" t="n"/>
      <c r="AY931" s="9" t="n"/>
      <c r="AZ931" s="9" t="n"/>
      <c r="BA931" s="9" t="n"/>
    </row>
    <row r="932" ht="15.75" customHeight="1" s="18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  <c r="AH932" s="9" t="n"/>
      <c r="AI932" s="9" t="n"/>
      <c r="AJ932" s="9" t="n"/>
      <c r="AK932" s="9" t="n"/>
      <c r="AL932" s="9" t="n"/>
      <c r="AM932" s="9" t="n"/>
      <c r="AN932" s="9" t="n"/>
      <c r="AO932" s="9" t="n"/>
      <c r="AP932" s="9" t="n"/>
      <c r="AQ932" s="9" t="n"/>
      <c r="AR932" s="9" t="n"/>
      <c r="AS932" s="9" t="n"/>
      <c r="AT932" s="9" t="n"/>
      <c r="AU932" s="9" t="n"/>
      <c r="AV932" s="9" t="n"/>
      <c r="AW932" s="9" t="n"/>
      <c r="AX932" s="9" t="n"/>
      <c r="AY932" s="9" t="n"/>
      <c r="AZ932" s="9" t="n"/>
      <c r="BA932" s="9" t="n"/>
    </row>
    <row r="933" ht="15.75" customHeight="1" s="18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  <c r="AH933" s="9" t="n"/>
      <c r="AI933" s="9" t="n"/>
      <c r="AJ933" s="9" t="n"/>
      <c r="AK933" s="9" t="n"/>
      <c r="AL933" s="9" t="n"/>
      <c r="AM933" s="9" t="n"/>
      <c r="AN933" s="9" t="n"/>
      <c r="AO933" s="9" t="n"/>
      <c r="AP933" s="9" t="n"/>
      <c r="AQ933" s="9" t="n"/>
      <c r="AR933" s="9" t="n"/>
      <c r="AS933" s="9" t="n"/>
      <c r="AT933" s="9" t="n"/>
      <c r="AU933" s="9" t="n"/>
      <c r="AV933" s="9" t="n"/>
      <c r="AW933" s="9" t="n"/>
      <c r="AX933" s="9" t="n"/>
      <c r="AY933" s="9" t="n"/>
      <c r="AZ933" s="9" t="n"/>
      <c r="BA933" s="9" t="n"/>
    </row>
    <row r="934" ht="15.75" customHeight="1" s="18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  <c r="AH934" s="9" t="n"/>
      <c r="AI934" s="9" t="n"/>
      <c r="AJ934" s="9" t="n"/>
      <c r="AK934" s="9" t="n"/>
      <c r="AL934" s="9" t="n"/>
      <c r="AM934" s="9" t="n"/>
      <c r="AN934" s="9" t="n"/>
      <c r="AO934" s="9" t="n"/>
      <c r="AP934" s="9" t="n"/>
      <c r="AQ934" s="9" t="n"/>
      <c r="AR934" s="9" t="n"/>
      <c r="AS934" s="9" t="n"/>
      <c r="AT934" s="9" t="n"/>
      <c r="AU934" s="9" t="n"/>
      <c r="AV934" s="9" t="n"/>
      <c r="AW934" s="9" t="n"/>
      <c r="AX934" s="9" t="n"/>
      <c r="AY934" s="9" t="n"/>
      <c r="AZ934" s="9" t="n"/>
      <c r="BA934" s="9" t="n"/>
    </row>
    <row r="935" ht="15.75" customHeight="1" s="18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  <c r="AH935" s="9" t="n"/>
      <c r="AI935" s="9" t="n"/>
      <c r="AJ935" s="9" t="n"/>
      <c r="AK935" s="9" t="n"/>
      <c r="AL935" s="9" t="n"/>
      <c r="AM935" s="9" t="n"/>
      <c r="AN935" s="9" t="n"/>
      <c r="AO935" s="9" t="n"/>
      <c r="AP935" s="9" t="n"/>
      <c r="AQ935" s="9" t="n"/>
      <c r="AR935" s="9" t="n"/>
      <c r="AS935" s="9" t="n"/>
      <c r="AT935" s="9" t="n"/>
      <c r="AU935" s="9" t="n"/>
      <c r="AV935" s="9" t="n"/>
      <c r="AW935" s="9" t="n"/>
      <c r="AX935" s="9" t="n"/>
      <c r="AY935" s="9" t="n"/>
      <c r="AZ935" s="9" t="n"/>
      <c r="BA935" s="9" t="n"/>
    </row>
    <row r="936" ht="15.75" customHeight="1" s="18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  <c r="AH936" s="9" t="n"/>
      <c r="AI936" s="9" t="n"/>
      <c r="AJ936" s="9" t="n"/>
      <c r="AK936" s="9" t="n"/>
      <c r="AL936" s="9" t="n"/>
      <c r="AM936" s="9" t="n"/>
      <c r="AN936" s="9" t="n"/>
      <c r="AO936" s="9" t="n"/>
      <c r="AP936" s="9" t="n"/>
      <c r="AQ936" s="9" t="n"/>
      <c r="AR936" s="9" t="n"/>
      <c r="AS936" s="9" t="n"/>
      <c r="AT936" s="9" t="n"/>
      <c r="AU936" s="9" t="n"/>
      <c r="AV936" s="9" t="n"/>
      <c r="AW936" s="9" t="n"/>
      <c r="AX936" s="9" t="n"/>
      <c r="AY936" s="9" t="n"/>
      <c r="AZ936" s="9" t="n"/>
      <c r="BA936" s="9" t="n"/>
    </row>
    <row r="937" ht="15.75" customHeight="1" s="18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  <c r="AH937" s="9" t="n"/>
      <c r="AI937" s="9" t="n"/>
      <c r="AJ937" s="9" t="n"/>
      <c r="AK937" s="9" t="n"/>
      <c r="AL937" s="9" t="n"/>
      <c r="AM937" s="9" t="n"/>
      <c r="AN937" s="9" t="n"/>
      <c r="AO937" s="9" t="n"/>
      <c r="AP937" s="9" t="n"/>
      <c r="AQ937" s="9" t="n"/>
      <c r="AR937" s="9" t="n"/>
      <c r="AS937" s="9" t="n"/>
      <c r="AT937" s="9" t="n"/>
      <c r="AU937" s="9" t="n"/>
      <c r="AV937" s="9" t="n"/>
      <c r="AW937" s="9" t="n"/>
      <c r="AX937" s="9" t="n"/>
      <c r="AY937" s="9" t="n"/>
      <c r="AZ937" s="9" t="n"/>
      <c r="BA937" s="9" t="n"/>
    </row>
    <row r="938" ht="15.75" customHeight="1" s="1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  <c r="AH938" s="9" t="n"/>
      <c r="AI938" s="9" t="n"/>
      <c r="AJ938" s="9" t="n"/>
      <c r="AK938" s="9" t="n"/>
      <c r="AL938" s="9" t="n"/>
      <c r="AM938" s="9" t="n"/>
      <c r="AN938" s="9" t="n"/>
      <c r="AO938" s="9" t="n"/>
      <c r="AP938" s="9" t="n"/>
      <c r="AQ938" s="9" t="n"/>
      <c r="AR938" s="9" t="n"/>
      <c r="AS938" s="9" t="n"/>
      <c r="AT938" s="9" t="n"/>
      <c r="AU938" s="9" t="n"/>
      <c r="AV938" s="9" t="n"/>
      <c r="AW938" s="9" t="n"/>
      <c r="AX938" s="9" t="n"/>
      <c r="AY938" s="9" t="n"/>
      <c r="AZ938" s="9" t="n"/>
      <c r="BA938" s="9" t="n"/>
    </row>
    <row r="939" ht="15.75" customHeight="1" s="18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  <c r="AH939" s="9" t="n"/>
      <c r="AI939" s="9" t="n"/>
      <c r="AJ939" s="9" t="n"/>
      <c r="AK939" s="9" t="n"/>
      <c r="AL939" s="9" t="n"/>
      <c r="AM939" s="9" t="n"/>
      <c r="AN939" s="9" t="n"/>
      <c r="AO939" s="9" t="n"/>
      <c r="AP939" s="9" t="n"/>
      <c r="AQ939" s="9" t="n"/>
      <c r="AR939" s="9" t="n"/>
      <c r="AS939" s="9" t="n"/>
      <c r="AT939" s="9" t="n"/>
      <c r="AU939" s="9" t="n"/>
      <c r="AV939" s="9" t="n"/>
      <c r="AW939" s="9" t="n"/>
      <c r="AX939" s="9" t="n"/>
      <c r="AY939" s="9" t="n"/>
      <c r="AZ939" s="9" t="n"/>
      <c r="BA939" s="9" t="n"/>
    </row>
    <row r="940" ht="15.75" customHeight="1" s="18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  <c r="AH940" s="9" t="n"/>
      <c r="AI940" s="9" t="n"/>
      <c r="AJ940" s="9" t="n"/>
      <c r="AK940" s="9" t="n"/>
      <c r="AL940" s="9" t="n"/>
      <c r="AM940" s="9" t="n"/>
      <c r="AN940" s="9" t="n"/>
      <c r="AO940" s="9" t="n"/>
      <c r="AP940" s="9" t="n"/>
      <c r="AQ940" s="9" t="n"/>
      <c r="AR940" s="9" t="n"/>
      <c r="AS940" s="9" t="n"/>
      <c r="AT940" s="9" t="n"/>
      <c r="AU940" s="9" t="n"/>
      <c r="AV940" s="9" t="n"/>
      <c r="AW940" s="9" t="n"/>
      <c r="AX940" s="9" t="n"/>
      <c r="AY940" s="9" t="n"/>
      <c r="AZ940" s="9" t="n"/>
      <c r="BA940" s="9" t="n"/>
    </row>
    <row r="941" ht="15.75" customHeight="1" s="18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  <c r="AH941" s="9" t="n"/>
      <c r="AI941" s="9" t="n"/>
      <c r="AJ941" s="9" t="n"/>
      <c r="AK941" s="9" t="n"/>
      <c r="AL941" s="9" t="n"/>
      <c r="AM941" s="9" t="n"/>
      <c r="AN941" s="9" t="n"/>
      <c r="AO941" s="9" t="n"/>
      <c r="AP941" s="9" t="n"/>
      <c r="AQ941" s="9" t="n"/>
      <c r="AR941" s="9" t="n"/>
      <c r="AS941" s="9" t="n"/>
      <c r="AT941" s="9" t="n"/>
      <c r="AU941" s="9" t="n"/>
      <c r="AV941" s="9" t="n"/>
      <c r="AW941" s="9" t="n"/>
      <c r="AX941" s="9" t="n"/>
      <c r="AY941" s="9" t="n"/>
      <c r="AZ941" s="9" t="n"/>
      <c r="BA941" s="9" t="n"/>
    </row>
    <row r="942" ht="15.75" customHeight="1" s="18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  <c r="AH942" s="9" t="n"/>
      <c r="AI942" s="9" t="n"/>
      <c r="AJ942" s="9" t="n"/>
      <c r="AK942" s="9" t="n"/>
      <c r="AL942" s="9" t="n"/>
      <c r="AM942" s="9" t="n"/>
      <c r="AN942" s="9" t="n"/>
      <c r="AO942" s="9" t="n"/>
      <c r="AP942" s="9" t="n"/>
      <c r="AQ942" s="9" t="n"/>
      <c r="AR942" s="9" t="n"/>
      <c r="AS942" s="9" t="n"/>
      <c r="AT942" s="9" t="n"/>
      <c r="AU942" s="9" t="n"/>
      <c r="AV942" s="9" t="n"/>
      <c r="AW942" s="9" t="n"/>
      <c r="AX942" s="9" t="n"/>
      <c r="AY942" s="9" t="n"/>
      <c r="AZ942" s="9" t="n"/>
      <c r="BA942" s="9" t="n"/>
    </row>
    <row r="943" ht="15.75" customHeight="1" s="18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  <c r="AH943" s="9" t="n"/>
      <c r="AI943" s="9" t="n"/>
      <c r="AJ943" s="9" t="n"/>
      <c r="AK943" s="9" t="n"/>
      <c r="AL943" s="9" t="n"/>
      <c r="AM943" s="9" t="n"/>
      <c r="AN943" s="9" t="n"/>
      <c r="AO943" s="9" t="n"/>
      <c r="AP943" s="9" t="n"/>
      <c r="AQ943" s="9" t="n"/>
      <c r="AR943" s="9" t="n"/>
      <c r="AS943" s="9" t="n"/>
      <c r="AT943" s="9" t="n"/>
      <c r="AU943" s="9" t="n"/>
      <c r="AV943" s="9" t="n"/>
      <c r="AW943" s="9" t="n"/>
      <c r="AX943" s="9" t="n"/>
      <c r="AY943" s="9" t="n"/>
      <c r="AZ943" s="9" t="n"/>
      <c r="BA943" s="9" t="n"/>
    </row>
    <row r="944" ht="15.75" customHeight="1" s="18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  <c r="AH944" s="9" t="n"/>
      <c r="AI944" s="9" t="n"/>
      <c r="AJ944" s="9" t="n"/>
      <c r="AK944" s="9" t="n"/>
      <c r="AL944" s="9" t="n"/>
      <c r="AM944" s="9" t="n"/>
      <c r="AN944" s="9" t="n"/>
      <c r="AO944" s="9" t="n"/>
      <c r="AP944" s="9" t="n"/>
      <c r="AQ944" s="9" t="n"/>
      <c r="AR944" s="9" t="n"/>
      <c r="AS944" s="9" t="n"/>
      <c r="AT944" s="9" t="n"/>
      <c r="AU944" s="9" t="n"/>
      <c r="AV944" s="9" t="n"/>
      <c r="AW944" s="9" t="n"/>
      <c r="AX944" s="9" t="n"/>
      <c r="AY944" s="9" t="n"/>
      <c r="AZ944" s="9" t="n"/>
      <c r="BA944" s="9" t="n"/>
    </row>
    <row r="945" ht="15.75" customHeight="1" s="18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  <c r="AH945" s="9" t="n"/>
      <c r="AI945" s="9" t="n"/>
      <c r="AJ945" s="9" t="n"/>
      <c r="AK945" s="9" t="n"/>
      <c r="AL945" s="9" t="n"/>
      <c r="AM945" s="9" t="n"/>
      <c r="AN945" s="9" t="n"/>
      <c r="AO945" s="9" t="n"/>
      <c r="AP945" s="9" t="n"/>
      <c r="AQ945" s="9" t="n"/>
      <c r="AR945" s="9" t="n"/>
      <c r="AS945" s="9" t="n"/>
      <c r="AT945" s="9" t="n"/>
      <c r="AU945" s="9" t="n"/>
      <c r="AV945" s="9" t="n"/>
      <c r="AW945" s="9" t="n"/>
      <c r="AX945" s="9" t="n"/>
      <c r="AY945" s="9" t="n"/>
      <c r="AZ945" s="9" t="n"/>
      <c r="BA945" s="9" t="n"/>
    </row>
    <row r="946" ht="15.75" customHeight="1" s="18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  <c r="AH946" s="9" t="n"/>
      <c r="AI946" s="9" t="n"/>
      <c r="AJ946" s="9" t="n"/>
      <c r="AK946" s="9" t="n"/>
      <c r="AL946" s="9" t="n"/>
      <c r="AM946" s="9" t="n"/>
      <c r="AN946" s="9" t="n"/>
      <c r="AO946" s="9" t="n"/>
      <c r="AP946" s="9" t="n"/>
      <c r="AQ946" s="9" t="n"/>
      <c r="AR946" s="9" t="n"/>
      <c r="AS946" s="9" t="n"/>
      <c r="AT946" s="9" t="n"/>
      <c r="AU946" s="9" t="n"/>
      <c r="AV946" s="9" t="n"/>
      <c r="AW946" s="9" t="n"/>
      <c r="AX946" s="9" t="n"/>
      <c r="AY946" s="9" t="n"/>
      <c r="AZ946" s="9" t="n"/>
      <c r="BA946" s="9" t="n"/>
    </row>
    <row r="947" ht="15.75" customHeight="1" s="18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  <c r="AH947" s="9" t="n"/>
      <c r="AI947" s="9" t="n"/>
      <c r="AJ947" s="9" t="n"/>
      <c r="AK947" s="9" t="n"/>
      <c r="AL947" s="9" t="n"/>
      <c r="AM947" s="9" t="n"/>
      <c r="AN947" s="9" t="n"/>
      <c r="AO947" s="9" t="n"/>
      <c r="AP947" s="9" t="n"/>
      <c r="AQ947" s="9" t="n"/>
      <c r="AR947" s="9" t="n"/>
      <c r="AS947" s="9" t="n"/>
      <c r="AT947" s="9" t="n"/>
      <c r="AU947" s="9" t="n"/>
      <c r="AV947" s="9" t="n"/>
      <c r="AW947" s="9" t="n"/>
      <c r="AX947" s="9" t="n"/>
      <c r="AY947" s="9" t="n"/>
      <c r="AZ947" s="9" t="n"/>
      <c r="BA947" s="9" t="n"/>
    </row>
    <row r="948" ht="15.75" customHeight="1" s="1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  <c r="AH948" s="9" t="n"/>
      <c r="AI948" s="9" t="n"/>
      <c r="AJ948" s="9" t="n"/>
      <c r="AK948" s="9" t="n"/>
      <c r="AL948" s="9" t="n"/>
      <c r="AM948" s="9" t="n"/>
      <c r="AN948" s="9" t="n"/>
      <c r="AO948" s="9" t="n"/>
      <c r="AP948" s="9" t="n"/>
      <c r="AQ948" s="9" t="n"/>
      <c r="AR948" s="9" t="n"/>
      <c r="AS948" s="9" t="n"/>
      <c r="AT948" s="9" t="n"/>
      <c r="AU948" s="9" t="n"/>
      <c r="AV948" s="9" t="n"/>
      <c r="AW948" s="9" t="n"/>
      <c r="AX948" s="9" t="n"/>
      <c r="AY948" s="9" t="n"/>
      <c r="AZ948" s="9" t="n"/>
      <c r="BA948" s="9" t="n"/>
    </row>
    <row r="949" ht="15.75" customHeight="1" s="18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  <c r="AH949" s="9" t="n"/>
      <c r="AI949" s="9" t="n"/>
      <c r="AJ949" s="9" t="n"/>
      <c r="AK949" s="9" t="n"/>
      <c r="AL949" s="9" t="n"/>
      <c r="AM949" s="9" t="n"/>
      <c r="AN949" s="9" t="n"/>
      <c r="AO949" s="9" t="n"/>
      <c r="AP949" s="9" t="n"/>
      <c r="AQ949" s="9" t="n"/>
      <c r="AR949" s="9" t="n"/>
      <c r="AS949" s="9" t="n"/>
      <c r="AT949" s="9" t="n"/>
      <c r="AU949" s="9" t="n"/>
      <c r="AV949" s="9" t="n"/>
      <c r="AW949" s="9" t="n"/>
      <c r="AX949" s="9" t="n"/>
      <c r="AY949" s="9" t="n"/>
      <c r="AZ949" s="9" t="n"/>
      <c r="BA949" s="9" t="n"/>
    </row>
    <row r="950" ht="15.75" customHeight="1" s="18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  <c r="AH950" s="9" t="n"/>
      <c r="AI950" s="9" t="n"/>
      <c r="AJ950" s="9" t="n"/>
      <c r="AK950" s="9" t="n"/>
      <c r="AL950" s="9" t="n"/>
      <c r="AM950" s="9" t="n"/>
      <c r="AN950" s="9" t="n"/>
      <c r="AO950" s="9" t="n"/>
      <c r="AP950" s="9" t="n"/>
      <c r="AQ950" s="9" t="n"/>
      <c r="AR950" s="9" t="n"/>
      <c r="AS950" s="9" t="n"/>
      <c r="AT950" s="9" t="n"/>
      <c r="AU950" s="9" t="n"/>
      <c r="AV950" s="9" t="n"/>
      <c r="AW950" s="9" t="n"/>
      <c r="AX950" s="9" t="n"/>
      <c r="AY950" s="9" t="n"/>
      <c r="AZ950" s="9" t="n"/>
      <c r="BA950" s="9" t="n"/>
    </row>
    <row r="951" ht="15.75" customHeight="1" s="18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  <c r="AH951" s="9" t="n"/>
      <c r="AI951" s="9" t="n"/>
      <c r="AJ951" s="9" t="n"/>
      <c r="AK951" s="9" t="n"/>
      <c r="AL951" s="9" t="n"/>
      <c r="AM951" s="9" t="n"/>
      <c r="AN951" s="9" t="n"/>
      <c r="AO951" s="9" t="n"/>
      <c r="AP951" s="9" t="n"/>
      <c r="AQ951" s="9" t="n"/>
      <c r="AR951" s="9" t="n"/>
      <c r="AS951" s="9" t="n"/>
      <c r="AT951" s="9" t="n"/>
      <c r="AU951" s="9" t="n"/>
      <c r="AV951" s="9" t="n"/>
      <c r="AW951" s="9" t="n"/>
      <c r="AX951" s="9" t="n"/>
      <c r="AY951" s="9" t="n"/>
      <c r="AZ951" s="9" t="n"/>
      <c r="BA951" s="9" t="n"/>
    </row>
    <row r="952" ht="15.75" customHeight="1" s="18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  <c r="AH952" s="9" t="n"/>
      <c r="AI952" s="9" t="n"/>
      <c r="AJ952" s="9" t="n"/>
      <c r="AK952" s="9" t="n"/>
      <c r="AL952" s="9" t="n"/>
      <c r="AM952" s="9" t="n"/>
      <c r="AN952" s="9" t="n"/>
      <c r="AO952" s="9" t="n"/>
      <c r="AP952" s="9" t="n"/>
      <c r="AQ952" s="9" t="n"/>
      <c r="AR952" s="9" t="n"/>
      <c r="AS952" s="9" t="n"/>
      <c r="AT952" s="9" t="n"/>
      <c r="AU952" s="9" t="n"/>
      <c r="AV952" s="9" t="n"/>
      <c r="AW952" s="9" t="n"/>
      <c r="AX952" s="9" t="n"/>
      <c r="AY952" s="9" t="n"/>
      <c r="AZ952" s="9" t="n"/>
      <c r="BA952" s="9" t="n"/>
    </row>
    <row r="953" ht="15.75" customHeight="1" s="18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  <c r="AH953" s="9" t="n"/>
      <c r="AI953" s="9" t="n"/>
      <c r="AJ953" s="9" t="n"/>
      <c r="AK953" s="9" t="n"/>
      <c r="AL953" s="9" t="n"/>
      <c r="AM953" s="9" t="n"/>
      <c r="AN953" s="9" t="n"/>
      <c r="AO953" s="9" t="n"/>
      <c r="AP953" s="9" t="n"/>
      <c r="AQ953" s="9" t="n"/>
      <c r="AR953" s="9" t="n"/>
      <c r="AS953" s="9" t="n"/>
      <c r="AT953" s="9" t="n"/>
      <c r="AU953" s="9" t="n"/>
      <c r="AV953" s="9" t="n"/>
      <c r="AW953" s="9" t="n"/>
      <c r="AX953" s="9" t="n"/>
      <c r="AY953" s="9" t="n"/>
      <c r="AZ953" s="9" t="n"/>
      <c r="BA953" s="9" t="n"/>
    </row>
    <row r="954" ht="15.75" customHeight="1" s="18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  <c r="AH954" s="9" t="n"/>
      <c r="AI954" s="9" t="n"/>
      <c r="AJ954" s="9" t="n"/>
      <c r="AK954" s="9" t="n"/>
      <c r="AL954" s="9" t="n"/>
      <c r="AM954" s="9" t="n"/>
      <c r="AN954" s="9" t="n"/>
      <c r="AO954" s="9" t="n"/>
      <c r="AP954" s="9" t="n"/>
      <c r="AQ954" s="9" t="n"/>
      <c r="AR954" s="9" t="n"/>
      <c r="AS954" s="9" t="n"/>
      <c r="AT954" s="9" t="n"/>
      <c r="AU954" s="9" t="n"/>
      <c r="AV954" s="9" t="n"/>
      <c r="AW954" s="9" t="n"/>
      <c r="AX954" s="9" t="n"/>
      <c r="AY954" s="9" t="n"/>
      <c r="AZ954" s="9" t="n"/>
      <c r="BA954" s="9" t="n"/>
    </row>
    <row r="955" ht="15.75" customHeight="1" s="18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  <c r="AH955" s="9" t="n"/>
      <c r="AI955" s="9" t="n"/>
      <c r="AJ955" s="9" t="n"/>
      <c r="AK955" s="9" t="n"/>
      <c r="AL955" s="9" t="n"/>
      <c r="AM955" s="9" t="n"/>
      <c r="AN955" s="9" t="n"/>
      <c r="AO955" s="9" t="n"/>
      <c r="AP955" s="9" t="n"/>
      <c r="AQ955" s="9" t="n"/>
      <c r="AR955" s="9" t="n"/>
      <c r="AS955" s="9" t="n"/>
      <c r="AT955" s="9" t="n"/>
      <c r="AU955" s="9" t="n"/>
      <c r="AV955" s="9" t="n"/>
      <c r="AW955" s="9" t="n"/>
      <c r="AX955" s="9" t="n"/>
      <c r="AY955" s="9" t="n"/>
      <c r="AZ955" s="9" t="n"/>
      <c r="BA955" s="9" t="n"/>
    </row>
    <row r="956" ht="15.75" customHeight="1" s="18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  <c r="AH956" s="9" t="n"/>
      <c r="AI956" s="9" t="n"/>
      <c r="AJ956" s="9" t="n"/>
      <c r="AK956" s="9" t="n"/>
      <c r="AL956" s="9" t="n"/>
      <c r="AM956" s="9" t="n"/>
      <c r="AN956" s="9" t="n"/>
      <c r="AO956" s="9" t="n"/>
      <c r="AP956" s="9" t="n"/>
      <c r="AQ956" s="9" t="n"/>
      <c r="AR956" s="9" t="n"/>
      <c r="AS956" s="9" t="n"/>
      <c r="AT956" s="9" t="n"/>
      <c r="AU956" s="9" t="n"/>
      <c r="AV956" s="9" t="n"/>
      <c r="AW956" s="9" t="n"/>
      <c r="AX956" s="9" t="n"/>
      <c r="AY956" s="9" t="n"/>
      <c r="AZ956" s="9" t="n"/>
      <c r="BA956" s="9" t="n"/>
    </row>
    <row r="957" ht="15.75" customHeight="1" s="18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  <c r="AH957" s="9" t="n"/>
      <c r="AI957" s="9" t="n"/>
      <c r="AJ957" s="9" t="n"/>
      <c r="AK957" s="9" t="n"/>
      <c r="AL957" s="9" t="n"/>
      <c r="AM957" s="9" t="n"/>
      <c r="AN957" s="9" t="n"/>
      <c r="AO957" s="9" t="n"/>
      <c r="AP957" s="9" t="n"/>
      <c r="AQ957" s="9" t="n"/>
      <c r="AR957" s="9" t="n"/>
      <c r="AS957" s="9" t="n"/>
      <c r="AT957" s="9" t="n"/>
      <c r="AU957" s="9" t="n"/>
      <c r="AV957" s="9" t="n"/>
      <c r="AW957" s="9" t="n"/>
      <c r="AX957" s="9" t="n"/>
      <c r="AY957" s="9" t="n"/>
      <c r="AZ957" s="9" t="n"/>
      <c r="BA957" s="9" t="n"/>
    </row>
    <row r="958" ht="15.75" customHeight="1" s="1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  <c r="AH958" s="9" t="n"/>
      <c r="AI958" s="9" t="n"/>
      <c r="AJ958" s="9" t="n"/>
      <c r="AK958" s="9" t="n"/>
      <c r="AL958" s="9" t="n"/>
      <c r="AM958" s="9" t="n"/>
      <c r="AN958" s="9" t="n"/>
      <c r="AO958" s="9" t="n"/>
      <c r="AP958" s="9" t="n"/>
      <c r="AQ958" s="9" t="n"/>
      <c r="AR958" s="9" t="n"/>
      <c r="AS958" s="9" t="n"/>
      <c r="AT958" s="9" t="n"/>
      <c r="AU958" s="9" t="n"/>
      <c r="AV958" s="9" t="n"/>
      <c r="AW958" s="9" t="n"/>
      <c r="AX958" s="9" t="n"/>
      <c r="AY958" s="9" t="n"/>
      <c r="AZ958" s="9" t="n"/>
      <c r="BA958" s="9" t="n"/>
    </row>
    <row r="959" ht="15.75" customHeight="1" s="18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  <c r="AH959" s="9" t="n"/>
      <c r="AI959" s="9" t="n"/>
      <c r="AJ959" s="9" t="n"/>
      <c r="AK959" s="9" t="n"/>
      <c r="AL959" s="9" t="n"/>
      <c r="AM959" s="9" t="n"/>
      <c r="AN959" s="9" t="n"/>
      <c r="AO959" s="9" t="n"/>
      <c r="AP959" s="9" t="n"/>
      <c r="AQ959" s="9" t="n"/>
      <c r="AR959" s="9" t="n"/>
      <c r="AS959" s="9" t="n"/>
      <c r="AT959" s="9" t="n"/>
      <c r="AU959" s="9" t="n"/>
      <c r="AV959" s="9" t="n"/>
      <c r="AW959" s="9" t="n"/>
      <c r="AX959" s="9" t="n"/>
      <c r="AY959" s="9" t="n"/>
      <c r="AZ959" s="9" t="n"/>
      <c r="BA959" s="9" t="n"/>
    </row>
    <row r="960" ht="15.75" customHeight="1" s="18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  <c r="AH960" s="9" t="n"/>
      <c r="AI960" s="9" t="n"/>
      <c r="AJ960" s="9" t="n"/>
      <c r="AK960" s="9" t="n"/>
      <c r="AL960" s="9" t="n"/>
      <c r="AM960" s="9" t="n"/>
      <c r="AN960" s="9" t="n"/>
      <c r="AO960" s="9" t="n"/>
      <c r="AP960" s="9" t="n"/>
      <c r="AQ960" s="9" t="n"/>
      <c r="AR960" s="9" t="n"/>
      <c r="AS960" s="9" t="n"/>
      <c r="AT960" s="9" t="n"/>
      <c r="AU960" s="9" t="n"/>
      <c r="AV960" s="9" t="n"/>
      <c r="AW960" s="9" t="n"/>
      <c r="AX960" s="9" t="n"/>
      <c r="AY960" s="9" t="n"/>
      <c r="AZ960" s="9" t="n"/>
      <c r="BA960" s="9" t="n"/>
    </row>
    <row r="961" ht="15.75" customHeight="1" s="18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  <c r="AH961" s="9" t="n"/>
      <c r="AI961" s="9" t="n"/>
      <c r="AJ961" s="9" t="n"/>
      <c r="AK961" s="9" t="n"/>
      <c r="AL961" s="9" t="n"/>
      <c r="AM961" s="9" t="n"/>
      <c r="AN961" s="9" t="n"/>
      <c r="AO961" s="9" t="n"/>
      <c r="AP961" s="9" t="n"/>
      <c r="AQ961" s="9" t="n"/>
      <c r="AR961" s="9" t="n"/>
      <c r="AS961" s="9" t="n"/>
      <c r="AT961" s="9" t="n"/>
      <c r="AU961" s="9" t="n"/>
      <c r="AV961" s="9" t="n"/>
      <c r="AW961" s="9" t="n"/>
      <c r="AX961" s="9" t="n"/>
      <c r="AY961" s="9" t="n"/>
      <c r="AZ961" s="9" t="n"/>
      <c r="BA961" s="9" t="n"/>
    </row>
    <row r="962" ht="15.75" customHeight="1" s="18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  <c r="AH962" s="9" t="n"/>
      <c r="AI962" s="9" t="n"/>
      <c r="AJ962" s="9" t="n"/>
      <c r="AK962" s="9" t="n"/>
      <c r="AL962" s="9" t="n"/>
      <c r="AM962" s="9" t="n"/>
      <c r="AN962" s="9" t="n"/>
      <c r="AO962" s="9" t="n"/>
      <c r="AP962" s="9" t="n"/>
      <c r="AQ962" s="9" t="n"/>
      <c r="AR962" s="9" t="n"/>
      <c r="AS962" s="9" t="n"/>
      <c r="AT962" s="9" t="n"/>
      <c r="AU962" s="9" t="n"/>
      <c r="AV962" s="9" t="n"/>
      <c r="AW962" s="9" t="n"/>
      <c r="AX962" s="9" t="n"/>
      <c r="AY962" s="9" t="n"/>
      <c r="AZ962" s="9" t="n"/>
      <c r="BA962" s="9" t="n"/>
    </row>
    <row r="963" ht="15.75" customHeight="1" s="18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  <c r="AH963" s="9" t="n"/>
      <c r="AI963" s="9" t="n"/>
      <c r="AJ963" s="9" t="n"/>
      <c r="AK963" s="9" t="n"/>
      <c r="AL963" s="9" t="n"/>
      <c r="AM963" s="9" t="n"/>
      <c r="AN963" s="9" t="n"/>
      <c r="AO963" s="9" t="n"/>
      <c r="AP963" s="9" t="n"/>
      <c r="AQ963" s="9" t="n"/>
      <c r="AR963" s="9" t="n"/>
      <c r="AS963" s="9" t="n"/>
      <c r="AT963" s="9" t="n"/>
      <c r="AU963" s="9" t="n"/>
      <c r="AV963" s="9" t="n"/>
      <c r="AW963" s="9" t="n"/>
      <c r="AX963" s="9" t="n"/>
      <c r="AY963" s="9" t="n"/>
      <c r="AZ963" s="9" t="n"/>
      <c r="BA963" s="9" t="n"/>
    </row>
    <row r="964" ht="15.75" customHeight="1" s="18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  <c r="AH964" s="9" t="n"/>
      <c r="AI964" s="9" t="n"/>
      <c r="AJ964" s="9" t="n"/>
      <c r="AK964" s="9" t="n"/>
      <c r="AL964" s="9" t="n"/>
      <c r="AM964" s="9" t="n"/>
      <c r="AN964" s="9" t="n"/>
      <c r="AO964" s="9" t="n"/>
      <c r="AP964" s="9" t="n"/>
      <c r="AQ964" s="9" t="n"/>
      <c r="AR964" s="9" t="n"/>
      <c r="AS964" s="9" t="n"/>
      <c r="AT964" s="9" t="n"/>
      <c r="AU964" s="9" t="n"/>
      <c r="AV964" s="9" t="n"/>
      <c r="AW964" s="9" t="n"/>
      <c r="AX964" s="9" t="n"/>
      <c r="AY964" s="9" t="n"/>
      <c r="AZ964" s="9" t="n"/>
      <c r="BA964" s="9" t="n"/>
    </row>
    <row r="965" ht="15.75" customHeight="1" s="18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  <c r="AH965" s="9" t="n"/>
      <c r="AI965" s="9" t="n"/>
      <c r="AJ965" s="9" t="n"/>
      <c r="AK965" s="9" t="n"/>
      <c r="AL965" s="9" t="n"/>
      <c r="AM965" s="9" t="n"/>
      <c r="AN965" s="9" t="n"/>
      <c r="AO965" s="9" t="n"/>
      <c r="AP965" s="9" t="n"/>
      <c r="AQ965" s="9" t="n"/>
      <c r="AR965" s="9" t="n"/>
      <c r="AS965" s="9" t="n"/>
      <c r="AT965" s="9" t="n"/>
      <c r="AU965" s="9" t="n"/>
      <c r="AV965" s="9" t="n"/>
      <c r="AW965" s="9" t="n"/>
      <c r="AX965" s="9" t="n"/>
      <c r="AY965" s="9" t="n"/>
      <c r="AZ965" s="9" t="n"/>
      <c r="BA965" s="9" t="n"/>
    </row>
    <row r="966" ht="15.75" customHeight="1" s="18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  <c r="AH966" s="9" t="n"/>
      <c r="AI966" s="9" t="n"/>
      <c r="AJ966" s="9" t="n"/>
      <c r="AK966" s="9" t="n"/>
      <c r="AL966" s="9" t="n"/>
      <c r="AM966" s="9" t="n"/>
      <c r="AN966" s="9" t="n"/>
      <c r="AO966" s="9" t="n"/>
      <c r="AP966" s="9" t="n"/>
      <c r="AQ966" s="9" t="n"/>
      <c r="AR966" s="9" t="n"/>
      <c r="AS966" s="9" t="n"/>
      <c r="AT966" s="9" t="n"/>
      <c r="AU966" s="9" t="n"/>
      <c r="AV966" s="9" t="n"/>
      <c r="AW966" s="9" t="n"/>
      <c r="AX966" s="9" t="n"/>
      <c r="AY966" s="9" t="n"/>
      <c r="AZ966" s="9" t="n"/>
      <c r="BA966" s="9" t="n"/>
    </row>
    <row r="967" ht="15.75" customHeight="1" s="18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  <c r="AH967" s="9" t="n"/>
      <c r="AI967" s="9" t="n"/>
      <c r="AJ967" s="9" t="n"/>
      <c r="AK967" s="9" t="n"/>
      <c r="AL967" s="9" t="n"/>
      <c r="AM967" s="9" t="n"/>
      <c r="AN967" s="9" t="n"/>
      <c r="AO967" s="9" t="n"/>
      <c r="AP967" s="9" t="n"/>
      <c r="AQ967" s="9" t="n"/>
      <c r="AR967" s="9" t="n"/>
      <c r="AS967" s="9" t="n"/>
      <c r="AT967" s="9" t="n"/>
      <c r="AU967" s="9" t="n"/>
      <c r="AV967" s="9" t="n"/>
      <c r="AW967" s="9" t="n"/>
      <c r="AX967" s="9" t="n"/>
      <c r="AY967" s="9" t="n"/>
      <c r="AZ967" s="9" t="n"/>
      <c r="BA967" s="9" t="n"/>
    </row>
    <row r="968" ht="15.75" customHeight="1" s="1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  <c r="AH968" s="9" t="n"/>
      <c r="AI968" s="9" t="n"/>
      <c r="AJ968" s="9" t="n"/>
      <c r="AK968" s="9" t="n"/>
      <c r="AL968" s="9" t="n"/>
      <c r="AM968" s="9" t="n"/>
      <c r="AN968" s="9" t="n"/>
      <c r="AO968" s="9" t="n"/>
      <c r="AP968" s="9" t="n"/>
      <c r="AQ968" s="9" t="n"/>
      <c r="AR968" s="9" t="n"/>
      <c r="AS968" s="9" t="n"/>
      <c r="AT968" s="9" t="n"/>
      <c r="AU968" s="9" t="n"/>
      <c r="AV968" s="9" t="n"/>
      <c r="AW968" s="9" t="n"/>
      <c r="AX968" s="9" t="n"/>
      <c r="AY968" s="9" t="n"/>
      <c r="AZ968" s="9" t="n"/>
      <c r="BA968" s="9" t="n"/>
    </row>
    <row r="969" ht="15.75" customHeight="1" s="18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  <c r="AH969" s="9" t="n"/>
      <c r="AI969" s="9" t="n"/>
      <c r="AJ969" s="9" t="n"/>
      <c r="AK969" s="9" t="n"/>
      <c r="AL969" s="9" t="n"/>
      <c r="AM969" s="9" t="n"/>
      <c r="AN969" s="9" t="n"/>
      <c r="AO969" s="9" t="n"/>
      <c r="AP969" s="9" t="n"/>
      <c r="AQ969" s="9" t="n"/>
      <c r="AR969" s="9" t="n"/>
      <c r="AS969" s="9" t="n"/>
      <c r="AT969" s="9" t="n"/>
      <c r="AU969" s="9" t="n"/>
      <c r="AV969" s="9" t="n"/>
      <c r="AW969" s="9" t="n"/>
      <c r="AX969" s="9" t="n"/>
      <c r="AY969" s="9" t="n"/>
      <c r="AZ969" s="9" t="n"/>
      <c r="BA969" s="9" t="n"/>
    </row>
    <row r="970" ht="15.75" customHeight="1" s="18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  <c r="AG970" s="9" t="n"/>
      <c r="AH970" s="9" t="n"/>
      <c r="AI970" s="9" t="n"/>
      <c r="AJ970" s="9" t="n"/>
      <c r="AK970" s="9" t="n"/>
      <c r="AL970" s="9" t="n"/>
      <c r="AM970" s="9" t="n"/>
      <c r="AN970" s="9" t="n"/>
      <c r="AO970" s="9" t="n"/>
      <c r="AP970" s="9" t="n"/>
      <c r="AQ970" s="9" t="n"/>
      <c r="AR970" s="9" t="n"/>
      <c r="AS970" s="9" t="n"/>
      <c r="AT970" s="9" t="n"/>
      <c r="AU970" s="9" t="n"/>
      <c r="AV970" s="9" t="n"/>
      <c r="AW970" s="9" t="n"/>
      <c r="AX970" s="9" t="n"/>
      <c r="AY970" s="9" t="n"/>
      <c r="AZ970" s="9" t="n"/>
      <c r="BA970" s="9" t="n"/>
    </row>
    <row r="971" ht="15.75" customHeight="1" s="18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  <c r="AG971" s="9" t="n"/>
      <c r="AH971" s="9" t="n"/>
      <c r="AI971" s="9" t="n"/>
      <c r="AJ971" s="9" t="n"/>
      <c r="AK971" s="9" t="n"/>
      <c r="AL971" s="9" t="n"/>
      <c r="AM971" s="9" t="n"/>
      <c r="AN971" s="9" t="n"/>
      <c r="AO971" s="9" t="n"/>
      <c r="AP971" s="9" t="n"/>
      <c r="AQ971" s="9" t="n"/>
      <c r="AR971" s="9" t="n"/>
      <c r="AS971" s="9" t="n"/>
      <c r="AT971" s="9" t="n"/>
      <c r="AU971" s="9" t="n"/>
      <c r="AV971" s="9" t="n"/>
      <c r="AW971" s="9" t="n"/>
      <c r="AX971" s="9" t="n"/>
      <c r="AY971" s="9" t="n"/>
      <c r="AZ971" s="9" t="n"/>
      <c r="BA971" s="9" t="n"/>
    </row>
    <row r="972" ht="15.75" customHeight="1" s="18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  <c r="AG972" s="9" t="n"/>
      <c r="AH972" s="9" t="n"/>
      <c r="AI972" s="9" t="n"/>
      <c r="AJ972" s="9" t="n"/>
      <c r="AK972" s="9" t="n"/>
      <c r="AL972" s="9" t="n"/>
      <c r="AM972" s="9" t="n"/>
      <c r="AN972" s="9" t="n"/>
      <c r="AO972" s="9" t="n"/>
      <c r="AP972" s="9" t="n"/>
      <c r="AQ972" s="9" t="n"/>
      <c r="AR972" s="9" t="n"/>
      <c r="AS972" s="9" t="n"/>
      <c r="AT972" s="9" t="n"/>
      <c r="AU972" s="9" t="n"/>
      <c r="AV972" s="9" t="n"/>
      <c r="AW972" s="9" t="n"/>
      <c r="AX972" s="9" t="n"/>
      <c r="AY972" s="9" t="n"/>
      <c r="AZ972" s="9" t="n"/>
      <c r="BA972" s="9" t="n"/>
    </row>
    <row r="973" ht="15.75" customHeight="1" s="18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  <c r="AG973" s="9" t="n"/>
      <c r="AH973" s="9" t="n"/>
      <c r="AI973" s="9" t="n"/>
      <c r="AJ973" s="9" t="n"/>
      <c r="AK973" s="9" t="n"/>
      <c r="AL973" s="9" t="n"/>
      <c r="AM973" s="9" t="n"/>
      <c r="AN973" s="9" t="n"/>
      <c r="AO973" s="9" t="n"/>
      <c r="AP973" s="9" t="n"/>
      <c r="AQ973" s="9" t="n"/>
      <c r="AR973" s="9" t="n"/>
      <c r="AS973" s="9" t="n"/>
      <c r="AT973" s="9" t="n"/>
      <c r="AU973" s="9" t="n"/>
      <c r="AV973" s="9" t="n"/>
      <c r="AW973" s="9" t="n"/>
      <c r="AX973" s="9" t="n"/>
      <c r="AY973" s="9" t="n"/>
      <c r="AZ973" s="9" t="n"/>
      <c r="BA973" s="9" t="n"/>
    </row>
    <row r="974" ht="15.75" customHeight="1" s="18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  <c r="AG974" s="9" t="n"/>
      <c r="AH974" s="9" t="n"/>
      <c r="AI974" s="9" t="n"/>
      <c r="AJ974" s="9" t="n"/>
      <c r="AK974" s="9" t="n"/>
      <c r="AL974" s="9" t="n"/>
      <c r="AM974" s="9" t="n"/>
      <c r="AN974" s="9" t="n"/>
      <c r="AO974" s="9" t="n"/>
      <c r="AP974" s="9" t="n"/>
      <c r="AQ974" s="9" t="n"/>
      <c r="AR974" s="9" t="n"/>
      <c r="AS974" s="9" t="n"/>
      <c r="AT974" s="9" t="n"/>
      <c r="AU974" s="9" t="n"/>
      <c r="AV974" s="9" t="n"/>
      <c r="AW974" s="9" t="n"/>
      <c r="AX974" s="9" t="n"/>
      <c r="AY974" s="9" t="n"/>
      <c r="AZ974" s="9" t="n"/>
      <c r="BA974" s="9" t="n"/>
    </row>
    <row r="975" ht="15.75" customHeight="1" s="18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  <c r="AG975" s="9" t="n"/>
      <c r="AH975" s="9" t="n"/>
      <c r="AI975" s="9" t="n"/>
      <c r="AJ975" s="9" t="n"/>
      <c r="AK975" s="9" t="n"/>
      <c r="AL975" s="9" t="n"/>
      <c r="AM975" s="9" t="n"/>
      <c r="AN975" s="9" t="n"/>
      <c r="AO975" s="9" t="n"/>
      <c r="AP975" s="9" t="n"/>
      <c r="AQ975" s="9" t="n"/>
      <c r="AR975" s="9" t="n"/>
      <c r="AS975" s="9" t="n"/>
      <c r="AT975" s="9" t="n"/>
      <c r="AU975" s="9" t="n"/>
      <c r="AV975" s="9" t="n"/>
      <c r="AW975" s="9" t="n"/>
      <c r="AX975" s="9" t="n"/>
      <c r="AY975" s="9" t="n"/>
      <c r="AZ975" s="9" t="n"/>
      <c r="BA975" s="9" t="n"/>
    </row>
    <row r="976" ht="15.75" customHeight="1" s="18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  <c r="AG976" s="9" t="n"/>
      <c r="AH976" s="9" t="n"/>
      <c r="AI976" s="9" t="n"/>
      <c r="AJ976" s="9" t="n"/>
      <c r="AK976" s="9" t="n"/>
      <c r="AL976" s="9" t="n"/>
      <c r="AM976" s="9" t="n"/>
      <c r="AN976" s="9" t="n"/>
      <c r="AO976" s="9" t="n"/>
      <c r="AP976" s="9" t="n"/>
      <c r="AQ976" s="9" t="n"/>
      <c r="AR976" s="9" t="n"/>
      <c r="AS976" s="9" t="n"/>
      <c r="AT976" s="9" t="n"/>
      <c r="AU976" s="9" t="n"/>
      <c r="AV976" s="9" t="n"/>
      <c r="AW976" s="9" t="n"/>
      <c r="AX976" s="9" t="n"/>
      <c r="AY976" s="9" t="n"/>
      <c r="AZ976" s="9" t="n"/>
      <c r="BA976" s="9" t="n"/>
    </row>
    <row r="977" ht="15.75" customHeight="1" s="18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  <c r="AG977" s="9" t="n"/>
      <c r="AH977" s="9" t="n"/>
      <c r="AI977" s="9" t="n"/>
      <c r="AJ977" s="9" t="n"/>
      <c r="AK977" s="9" t="n"/>
      <c r="AL977" s="9" t="n"/>
      <c r="AM977" s="9" t="n"/>
      <c r="AN977" s="9" t="n"/>
      <c r="AO977" s="9" t="n"/>
      <c r="AP977" s="9" t="n"/>
      <c r="AQ977" s="9" t="n"/>
      <c r="AR977" s="9" t="n"/>
      <c r="AS977" s="9" t="n"/>
      <c r="AT977" s="9" t="n"/>
      <c r="AU977" s="9" t="n"/>
      <c r="AV977" s="9" t="n"/>
      <c r="AW977" s="9" t="n"/>
      <c r="AX977" s="9" t="n"/>
      <c r="AY977" s="9" t="n"/>
      <c r="AZ977" s="9" t="n"/>
      <c r="BA977" s="9" t="n"/>
    </row>
    <row r="978" ht="15.75" customHeight="1" s="1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  <c r="AG978" s="9" t="n"/>
      <c r="AH978" s="9" t="n"/>
      <c r="AI978" s="9" t="n"/>
      <c r="AJ978" s="9" t="n"/>
      <c r="AK978" s="9" t="n"/>
      <c r="AL978" s="9" t="n"/>
      <c r="AM978" s="9" t="n"/>
      <c r="AN978" s="9" t="n"/>
      <c r="AO978" s="9" t="n"/>
      <c r="AP978" s="9" t="n"/>
      <c r="AQ978" s="9" t="n"/>
      <c r="AR978" s="9" t="n"/>
      <c r="AS978" s="9" t="n"/>
      <c r="AT978" s="9" t="n"/>
      <c r="AU978" s="9" t="n"/>
      <c r="AV978" s="9" t="n"/>
      <c r="AW978" s="9" t="n"/>
      <c r="AX978" s="9" t="n"/>
      <c r="AY978" s="9" t="n"/>
      <c r="AZ978" s="9" t="n"/>
      <c r="BA978" s="9" t="n"/>
    </row>
    <row r="979" ht="15.75" customHeight="1" s="18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  <c r="AG979" s="9" t="n"/>
      <c r="AH979" s="9" t="n"/>
      <c r="AI979" s="9" t="n"/>
      <c r="AJ979" s="9" t="n"/>
      <c r="AK979" s="9" t="n"/>
      <c r="AL979" s="9" t="n"/>
      <c r="AM979" s="9" t="n"/>
      <c r="AN979" s="9" t="n"/>
      <c r="AO979" s="9" t="n"/>
      <c r="AP979" s="9" t="n"/>
      <c r="AQ979" s="9" t="n"/>
      <c r="AR979" s="9" t="n"/>
      <c r="AS979" s="9" t="n"/>
      <c r="AT979" s="9" t="n"/>
      <c r="AU979" s="9" t="n"/>
      <c r="AV979" s="9" t="n"/>
      <c r="AW979" s="9" t="n"/>
      <c r="AX979" s="9" t="n"/>
      <c r="AY979" s="9" t="n"/>
      <c r="AZ979" s="9" t="n"/>
      <c r="BA979" s="9" t="n"/>
    </row>
    <row r="980" ht="15.75" customHeight="1" s="18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  <c r="AG980" s="9" t="n"/>
      <c r="AH980" s="9" t="n"/>
      <c r="AI980" s="9" t="n"/>
      <c r="AJ980" s="9" t="n"/>
      <c r="AK980" s="9" t="n"/>
      <c r="AL980" s="9" t="n"/>
      <c r="AM980" s="9" t="n"/>
      <c r="AN980" s="9" t="n"/>
      <c r="AO980" s="9" t="n"/>
      <c r="AP980" s="9" t="n"/>
      <c r="AQ980" s="9" t="n"/>
      <c r="AR980" s="9" t="n"/>
      <c r="AS980" s="9" t="n"/>
      <c r="AT980" s="9" t="n"/>
      <c r="AU980" s="9" t="n"/>
      <c r="AV980" s="9" t="n"/>
      <c r="AW980" s="9" t="n"/>
      <c r="AX980" s="9" t="n"/>
      <c r="AY980" s="9" t="n"/>
      <c r="AZ980" s="9" t="n"/>
      <c r="BA980" s="9" t="n"/>
    </row>
    <row r="981" ht="15.75" customHeight="1" s="18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  <c r="AF981" s="9" t="n"/>
      <c r="AG981" s="9" t="n"/>
      <c r="AH981" s="9" t="n"/>
      <c r="AI981" s="9" t="n"/>
      <c r="AJ981" s="9" t="n"/>
      <c r="AK981" s="9" t="n"/>
      <c r="AL981" s="9" t="n"/>
      <c r="AM981" s="9" t="n"/>
      <c r="AN981" s="9" t="n"/>
      <c r="AO981" s="9" t="n"/>
      <c r="AP981" s="9" t="n"/>
      <c r="AQ981" s="9" t="n"/>
      <c r="AR981" s="9" t="n"/>
      <c r="AS981" s="9" t="n"/>
      <c r="AT981" s="9" t="n"/>
      <c r="AU981" s="9" t="n"/>
      <c r="AV981" s="9" t="n"/>
      <c r="AW981" s="9" t="n"/>
      <c r="AX981" s="9" t="n"/>
      <c r="AY981" s="9" t="n"/>
      <c r="AZ981" s="9" t="n"/>
      <c r="BA981" s="9" t="n"/>
    </row>
    <row r="982" ht="15.75" customHeight="1" s="18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  <c r="AF982" s="9" t="n"/>
      <c r="AG982" s="9" t="n"/>
      <c r="AH982" s="9" t="n"/>
      <c r="AI982" s="9" t="n"/>
      <c r="AJ982" s="9" t="n"/>
      <c r="AK982" s="9" t="n"/>
      <c r="AL982" s="9" t="n"/>
      <c r="AM982" s="9" t="n"/>
      <c r="AN982" s="9" t="n"/>
      <c r="AO982" s="9" t="n"/>
      <c r="AP982" s="9" t="n"/>
      <c r="AQ982" s="9" t="n"/>
      <c r="AR982" s="9" t="n"/>
      <c r="AS982" s="9" t="n"/>
      <c r="AT982" s="9" t="n"/>
      <c r="AU982" s="9" t="n"/>
      <c r="AV982" s="9" t="n"/>
      <c r="AW982" s="9" t="n"/>
      <c r="AX982" s="9" t="n"/>
      <c r="AY982" s="9" t="n"/>
      <c r="AZ982" s="9" t="n"/>
      <c r="BA982" s="9" t="n"/>
    </row>
    <row r="983" ht="15.75" customHeight="1" s="18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  <c r="AF983" s="9" t="n"/>
      <c r="AG983" s="9" t="n"/>
      <c r="AH983" s="9" t="n"/>
      <c r="AI983" s="9" t="n"/>
      <c r="AJ983" s="9" t="n"/>
      <c r="AK983" s="9" t="n"/>
      <c r="AL983" s="9" t="n"/>
      <c r="AM983" s="9" t="n"/>
      <c r="AN983" s="9" t="n"/>
      <c r="AO983" s="9" t="n"/>
      <c r="AP983" s="9" t="n"/>
      <c r="AQ983" s="9" t="n"/>
      <c r="AR983" s="9" t="n"/>
      <c r="AS983" s="9" t="n"/>
      <c r="AT983" s="9" t="n"/>
      <c r="AU983" s="9" t="n"/>
      <c r="AV983" s="9" t="n"/>
      <c r="AW983" s="9" t="n"/>
      <c r="AX983" s="9" t="n"/>
      <c r="AY983" s="9" t="n"/>
      <c r="AZ983" s="9" t="n"/>
      <c r="BA983" s="9" t="n"/>
    </row>
    <row r="984" ht="15.75" customHeight="1" s="18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  <c r="AF984" s="9" t="n"/>
      <c r="AG984" s="9" t="n"/>
      <c r="AH984" s="9" t="n"/>
      <c r="AI984" s="9" t="n"/>
      <c r="AJ984" s="9" t="n"/>
      <c r="AK984" s="9" t="n"/>
      <c r="AL984" s="9" t="n"/>
      <c r="AM984" s="9" t="n"/>
      <c r="AN984" s="9" t="n"/>
      <c r="AO984" s="9" t="n"/>
      <c r="AP984" s="9" t="n"/>
      <c r="AQ984" s="9" t="n"/>
      <c r="AR984" s="9" t="n"/>
      <c r="AS984" s="9" t="n"/>
      <c r="AT984" s="9" t="n"/>
      <c r="AU984" s="9" t="n"/>
      <c r="AV984" s="9" t="n"/>
      <c r="AW984" s="9" t="n"/>
      <c r="AX984" s="9" t="n"/>
      <c r="AY984" s="9" t="n"/>
      <c r="AZ984" s="9" t="n"/>
      <c r="BA984" s="9" t="n"/>
    </row>
    <row r="985" ht="15.75" customHeight="1" s="18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  <c r="AF985" s="9" t="n"/>
      <c r="AG985" s="9" t="n"/>
      <c r="AH985" s="9" t="n"/>
      <c r="AI985" s="9" t="n"/>
      <c r="AJ985" s="9" t="n"/>
      <c r="AK985" s="9" t="n"/>
      <c r="AL985" s="9" t="n"/>
      <c r="AM985" s="9" t="n"/>
      <c r="AN985" s="9" t="n"/>
      <c r="AO985" s="9" t="n"/>
      <c r="AP985" s="9" t="n"/>
      <c r="AQ985" s="9" t="n"/>
      <c r="AR985" s="9" t="n"/>
      <c r="AS985" s="9" t="n"/>
      <c r="AT985" s="9" t="n"/>
      <c r="AU985" s="9" t="n"/>
      <c r="AV985" s="9" t="n"/>
      <c r="AW985" s="9" t="n"/>
      <c r="AX985" s="9" t="n"/>
      <c r="AY985" s="9" t="n"/>
      <c r="AZ985" s="9" t="n"/>
      <c r="BA985" s="9" t="n"/>
    </row>
    <row r="986" ht="15.75" customHeight="1" s="18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  <c r="AF986" s="9" t="n"/>
      <c r="AG986" s="9" t="n"/>
      <c r="AH986" s="9" t="n"/>
      <c r="AI986" s="9" t="n"/>
      <c r="AJ986" s="9" t="n"/>
      <c r="AK986" s="9" t="n"/>
      <c r="AL986" s="9" t="n"/>
      <c r="AM986" s="9" t="n"/>
      <c r="AN986" s="9" t="n"/>
      <c r="AO986" s="9" t="n"/>
      <c r="AP986" s="9" t="n"/>
      <c r="AQ986" s="9" t="n"/>
      <c r="AR986" s="9" t="n"/>
      <c r="AS986" s="9" t="n"/>
      <c r="AT986" s="9" t="n"/>
      <c r="AU986" s="9" t="n"/>
      <c r="AV986" s="9" t="n"/>
      <c r="AW986" s="9" t="n"/>
      <c r="AX986" s="9" t="n"/>
      <c r="AY986" s="9" t="n"/>
      <c r="AZ986" s="9" t="n"/>
      <c r="BA986" s="9" t="n"/>
    </row>
    <row r="987" ht="15.75" customHeight="1" s="18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  <c r="AF987" s="9" t="n"/>
      <c r="AG987" s="9" t="n"/>
      <c r="AH987" s="9" t="n"/>
      <c r="AI987" s="9" t="n"/>
      <c r="AJ987" s="9" t="n"/>
      <c r="AK987" s="9" t="n"/>
      <c r="AL987" s="9" t="n"/>
      <c r="AM987" s="9" t="n"/>
      <c r="AN987" s="9" t="n"/>
      <c r="AO987" s="9" t="n"/>
      <c r="AP987" s="9" t="n"/>
      <c r="AQ987" s="9" t="n"/>
      <c r="AR987" s="9" t="n"/>
      <c r="AS987" s="9" t="n"/>
      <c r="AT987" s="9" t="n"/>
      <c r="AU987" s="9" t="n"/>
      <c r="AV987" s="9" t="n"/>
      <c r="AW987" s="9" t="n"/>
      <c r="AX987" s="9" t="n"/>
      <c r="AY987" s="9" t="n"/>
      <c r="AZ987" s="9" t="n"/>
      <c r="BA987" s="9" t="n"/>
    </row>
    <row r="988" ht="15.75" customHeight="1" s="1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  <c r="AF988" s="9" t="n"/>
      <c r="AG988" s="9" t="n"/>
      <c r="AH988" s="9" t="n"/>
      <c r="AI988" s="9" t="n"/>
      <c r="AJ988" s="9" t="n"/>
      <c r="AK988" s="9" t="n"/>
      <c r="AL988" s="9" t="n"/>
      <c r="AM988" s="9" t="n"/>
      <c r="AN988" s="9" t="n"/>
      <c r="AO988" s="9" t="n"/>
      <c r="AP988" s="9" t="n"/>
      <c r="AQ988" s="9" t="n"/>
      <c r="AR988" s="9" t="n"/>
      <c r="AS988" s="9" t="n"/>
      <c r="AT988" s="9" t="n"/>
      <c r="AU988" s="9" t="n"/>
      <c r="AV988" s="9" t="n"/>
      <c r="AW988" s="9" t="n"/>
      <c r="AX988" s="9" t="n"/>
      <c r="AY988" s="9" t="n"/>
      <c r="AZ988" s="9" t="n"/>
      <c r="BA988" s="9" t="n"/>
    </row>
    <row r="989" ht="15.75" customHeight="1" s="18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  <c r="AF989" s="9" t="n"/>
      <c r="AG989" s="9" t="n"/>
      <c r="AH989" s="9" t="n"/>
      <c r="AI989" s="9" t="n"/>
      <c r="AJ989" s="9" t="n"/>
      <c r="AK989" s="9" t="n"/>
      <c r="AL989" s="9" t="n"/>
      <c r="AM989" s="9" t="n"/>
      <c r="AN989" s="9" t="n"/>
      <c r="AO989" s="9" t="n"/>
      <c r="AP989" s="9" t="n"/>
      <c r="AQ989" s="9" t="n"/>
      <c r="AR989" s="9" t="n"/>
      <c r="AS989" s="9" t="n"/>
      <c r="AT989" s="9" t="n"/>
      <c r="AU989" s="9" t="n"/>
      <c r="AV989" s="9" t="n"/>
      <c r="AW989" s="9" t="n"/>
      <c r="AX989" s="9" t="n"/>
      <c r="AY989" s="9" t="n"/>
      <c r="AZ989" s="9" t="n"/>
      <c r="BA989" s="9" t="n"/>
    </row>
    <row r="990" ht="15.75" customHeight="1" s="18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  <c r="AF990" s="9" t="n"/>
      <c r="AG990" s="9" t="n"/>
      <c r="AH990" s="9" t="n"/>
      <c r="AI990" s="9" t="n"/>
      <c r="AJ990" s="9" t="n"/>
      <c r="AK990" s="9" t="n"/>
      <c r="AL990" s="9" t="n"/>
      <c r="AM990" s="9" t="n"/>
      <c r="AN990" s="9" t="n"/>
      <c r="AO990" s="9" t="n"/>
      <c r="AP990" s="9" t="n"/>
      <c r="AQ990" s="9" t="n"/>
      <c r="AR990" s="9" t="n"/>
      <c r="AS990" s="9" t="n"/>
      <c r="AT990" s="9" t="n"/>
      <c r="AU990" s="9" t="n"/>
      <c r="AV990" s="9" t="n"/>
      <c r="AW990" s="9" t="n"/>
      <c r="AX990" s="9" t="n"/>
      <c r="AY990" s="9" t="n"/>
      <c r="AZ990" s="9" t="n"/>
      <c r="BA990" s="9" t="n"/>
    </row>
    <row r="991" ht="15.75" customHeight="1" s="18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  <c r="AF991" s="9" t="n"/>
      <c r="AG991" s="9" t="n"/>
      <c r="AH991" s="9" t="n"/>
      <c r="AI991" s="9" t="n"/>
      <c r="AJ991" s="9" t="n"/>
      <c r="AK991" s="9" t="n"/>
      <c r="AL991" s="9" t="n"/>
      <c r="AM991" s="9" t="n"/>
      <c r="AN991" s="9" t="n"/>
      <c r="AO991" s="9" t="n"/>
      <c r="AP991" s="9" t="n"/>
      <c r="AQ991" s="9" t="n"/>
      <c r="AR991" s="9" t="n"/>
      <c r="AS991" s="9" t="n"/>
      <c r="AT991" s="9" t="n"/>
      <c r="AU991" s="9" t="n"/>
      <c r="AV991" s="9" t="n"/>
      <c r="AW991" s="9" t="n"/>
      <c r="AX991" s="9" t="n"/>
      <c r="AY991" s="9" t="n"/>
      <c r="AZ991" s="9" t="n"/>
      <c r="BA991" s="9" t="n"/>
    </row>
    <row r="992" ht="15.75" customHeight="1" s="18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  <c r="AF992" s="9" t="n"/>
      <c r="AG992" s="9" t="n"/>
      <c r="AH992" s="9" t="n"/>
      <c r="AI992" s="9" t="n"/>
      <c r="AJ992" s="9" t="n"/>
      <c r="AK992" s="9" t="n"/>
      <c r="AL992" s="9" t="n"/>
      <c r="AM992" s="9" t="n"/>
      <c r="AN992" s="9" t="n"/>
      <c r="AO992" s="9" t="n"/>
      <c r="AP992" s="9" t="n"/>
      <c r="AQ992" s="9" t="n"/>
      <c r="AR992" s="9" t="n"/>
      <c r="AS992" s="9" t="n"/>
      <c r="AT992" s="9" t="n"/>
      <c r="AU992" s="9" t="n"/>
      <c r="AV992" s="9" t="n"/>
      <c r="AW992" s="9" t="n"/>
      <c r="AX992" s="9" t="n"/>
      <c r="AY992" s="9" t="n"/>
      <c r="AZ992" s="9" t="n"/>
      <c r="BA992" s="9" t="n"/>
    </row>
    <row r="993" ht="15.75" customHeight="1" s="18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  <c r="AF993" s="9" t="n"/>
      <c r="AG993" s="9" t="n"/>
      <c r="AH993" s="9" t="n"/>
      <c r="AI993" s="9" t="n"/>
      <c r="AJ993" s="9" t="n"/>
      <c r="AK993" s="9" t="n"/>
      <c r="AL993" s="9" t="n"/>
      <c r="AM993" s="9" t="n"/>
      <c r="AN993" s="9" t="n"/>
      <c r="AO993" s="9" t="n"/>
      <c r="AP993" s="9" t="n"/>
      <c r="AQ993" s="9" t="n"/>
      <c r="AR993" s="9" t="n"/>
      <c r="AS993" s="9" t="n"/>
      <c r="AT993" s="9" t="n"/>
      <c r="AU993" s="9" t="n"/>
      <c r="AV993" s="9" t="n"/>
      <c r="AW993" s="9" t="n"/>
      <c r="AX993" s="9" t="n"/>
      <c r="AY993" s="9" t="n"/>
      <c r="AZ993" s="9" t="n"/>
      <c r="BA993" s="9" t="n"/>
    </row>
    <row r="994" ht="15.75" customHeight="1" s="18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  <c r="AF994" s="9" t="n"/>
      <c r="AG994" s="9" t="n"/>
      <c r="AH994" s="9" t="n"/>
      <c r="AI994" s="9" t="n"/>
      <c r="AJ994" s="9" t="n"/>
      <c r="AK994" s="9" t="n"/>
      <c r="AL994" s="9" t="n"/>
      <c r="AM994" s="9" t="n"/>
      <c r="AN994" s="9" t="n"/>
      <c r="AO994" s="9" t="n"/>
      <c r="AP994" s="9" t="n"/>
      <c r="AQ994" s="9" t="n"/>
      <c r="AR994" s="9" t="n"/>
      <c r="AS994" s="9" t="n"/>
      <c r="AT994" s="9" t="n"/>
      <c r="AU994" s="9" t="n"/>
      <c r="AV994" s="9" t="n"/>
      <c r="AW994" s="9" t="n"/>
      <c r="AX994" s="9" t="n"/>
      <c r="AY994" s="9" t="n"/>
      <c r="AZ994" s="9" t="n"/>
      <c r="BA994" s="9" t="n"/>
    </row>
    <row r="995" ht="15.75" customHeight="1" s="18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  <c r="AF995" s="9" t="n"/>
      <c r="AG995" s="9" t="n"/>
      <c r="AH995" s="9" t="n"/>
      <c r="AI995" s="9" t="n"/>
      <c r="AJ995" s="9" t="n"/>
      <c r="AK995" s="9" t="n"/>
      <c r="AL995" s="9" t="n"/>
      <c r="AM995" s="9" t="n"/>
      <c r="AN995" s="9" t="n"/>
      <c r="AO995" s="9" t="n"/>
      <c r="AP995" s="9" t="n"/>
      <c r="AQ995" s="9" t="n"/>
      <c r="AR995" s="9" t="n"/>
      <c r="AS995" s="9" t="n"/>
      <c r="AT995" s="9" t="n"/>
      <c r="AU995" s="9" t="n"/>
      <c r="AV995" s="9" t="n"/>
      <c r="AW995" s="9" t="n"/>
      <c r="AX995" s="9" t="n"/>
      <c r="AY995" s="9" t="n"/>
      <c r="AZ995" s="9" t="n"/>
      <c r="BA995" s="9" t="n"/>
    </row>
    <row r="996" ht="15.75" customHeight="1" s="18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  <c r="AF996" s="9" t="n"/>
      <c r="AG996" s="9" t="n"/>
      <c r="AH996" s="9" t="n"/>
      <c r="AI996" s="9" t="n"/>
      <c r="AJ996" s="9" t="n"/>
      <c r="AK996" s="9" t="n"/>
      <c r="AL996" s="9" t="n"/>
      <c r="AM996" s="9" t="n"/>
      <c r="AN996" s="9" t="n"/>
      <c r="AO996" s="9" t="n"/>
      <c r="AP996" s="9" t="n"/>
      <c r="AQ996" s="9" t="n"/>
      <c r="AR996" s="9" t="n"/>
      <c r="AS996" s="9" t="n"/>
      <c r="AT996" s="9" t="n"/>
      <c r="AU996" s="9" t="n"/>
      <c r="AV996" s="9" t="n"/>
      <c r="AW996" s="9" t="n"/>
      <c r="AX996" s="9" t="n"/>
      <c r="AY996" s="9" t="n"/>
      <c r="AZ996" s="9" t="n"/>
      <c r="BA996" s="9" t="n"/>
    </row>
    <row r="997" ht="15.75" customHeight="1" s="18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  <c r="AF997" s="9" t="n"/>
      <c r="AG997" s="9" t="n"/>
      <c r="AH997" s="9" t="n"/>
      <c r="AI997" s="9" t="n"/>
      <c r="AJ997" s="9" t="n"/>
      <c r="AK997" s="9" t="n"/>
      <c r="AL997" s="9" t="n"/>
      <c r="AM997" s="9" t="n"/>
      <c r="AN997" s="9" t="n"/>
      <c r="AO997" s="9" t="n"/>
      <c r="AP997" s="9" t="n"/>
      <c r="AQ997" s="9" t="n"/>
      <c r="AR997" s="9" t="n"/>
      <c r="AS997" s="9" t="n"/>
      <c r="AT997" s="9" t="n"/>
      <c r="AU997" s="9" t="n"/>
      <c r="AV997" s="9" t="n"/>
      <c r="AW997" s="9" t="n"/>
      <c r="AX997" s="9" t="n"/>
      <c r="AY997" s="9" t="n"/>
      <c r="AZ997" s="9" t="n"/>
      <c r="BA997" s="9" t="n"/>
    </row>
    <row r="998" ht="15.75" customHeight="1" s="1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  <c r="AF998" s="9" t="n"/>
      <c r="AG998" s="9" t="n"/>
      <c r="AH998" s="9" t="n"/>
      <c r="AI998" s="9" t="n"/>
      <c r="AJ998" s="9" t="n"/>
      <c r="AK998" s="9" t="n"/>
      <c r="AL998" s="9" t="n"/>
      <c r="AM998" s="9" t="n"/>
      <c r="AN998" s="9" t="n"/>
      <c r="AO998" s="9" t="n"/>
      <c r="AP998" s="9" t="n"/>
      <c r="AQ998" s="9" t="n"/>
      <c r="AR998" s="9" t="n"/>
      <c r="AS998" s="9" t="n"/>
      <c r="AT998" s="9" t="n"/>
      <c r="AU998" s="9" t="n"/>
      <c r="AV998" s="9" t="n"/>
      <c r="AW998" s="9" t="n"/>
      <c r="AX998" s="9" t="n"/>
      <c r="AY998" s="9" t="n"/>
      <c r="AZ998" s="9" t="n"/>
      <c r="BA998" s="9" t="n"/>
    </row>
    <row r="999" ht="15.75" customHeight="1" s="18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  <c r="AF999" s="9" t="n"/>
      <c r="AG999" s="9" t="n"/>
      <c r="AH999" s="9" t="n"/>
      <c r="AI999" s="9" t="n"/>
      <c r="AJ999" s="9" t="n"/>
      <c r="AK999" s="9" t="n"/>
      <c r="AL999" s="9" t="n"/>
      <c r="AM999" s="9" t="n"/>
      <c r="AN999" s="9" t="n"/>
      <c r="AO999" s="9" t="n"/>
      <c r="AP999" s="9" t="n"/>
      <c r="AQ999" s="9" t="n"/>
      <c r="AR999" s="9" t="n"/>
      <c r="AS999" s="9" t="n"/>
      <c r="AT999" s="9" t="n"/>
      <c r="AU999" s="9" t="n"/>
      <c r="AV999" s="9" t="n"/>
      <c r="AW999" s="9" t="n"/>
      <c r="AX999" s="9" t="n"/>
      <c r="AY999" s="9" t="n"/>
      <c r="AZ999" s="9" t="n"/>
      <c r="BA999" s="9" t="n"/>
    </row>
    <row r="1000" ht="15.75" customHeight="1" s="18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  <c r="AF1000" s="9" t="n"/>
      <c r="AG1000" s="9" t="n"/>
      <c r="AH1000" s="9" t="n"/>
      <c r="AI1000" s="9" t="n"/>
      <c r="AJ1000" s="9" t="n"/>
      <c r="AK1000" s="9" t="n"/>
      <c r="AL1000" s="9" t="n"/>
      <c r="AM1000" s="9" t="n"/>
      <c r="AN1000" s="9" t="n"/>
      <c r="AO1000" s="9" t="n"/>
      <c r="AP1000" s="9" t="n"/>
      <c r="AQ1000" s="9" t="n"/>
      <c r="AR1000" s="9" t="n"/>
      <c r="AS1000" s="9" t="n"/>
      <c r="AT1000" s="9" t="n"/>
      <c r="AU1000" s="9" t="n"/>
      <c r="AV1000" s="9" t="n"/>
      <c r="AW1000" s="9" t="n"/>
      <c r="AX1000" s="9" t="n"/>
      <c r="AY1000" s="9" t="n"/>
      <c r="AZ1000" s="9" t="n"/>
      <c r="BA1000" s="9" t="n"/>
    </row>
  </sheetData>
  <conditionalFormatting sqref="D2:BA100">
    <cfRule type="expression" priority="1" dxfId="0">
      <formula>D2="R"</formula>
    </cfRule>
    <cfRule type="expression" priority="2" dxfId="1">
      <formula>D2="A"</formula>
    </cfRule>
    <cfRule type="expression" priority="3" dxfId="2">
      <formula>D2="S"</formula>
    </cfRule>
    <cfRule type="expression" priority="4" dxfId="3">
      <formula>D2="C"</formula>
    </cfRule>
    <cfRule type="expression" priority="5" dxfId="4">
      <formula>D2="I"</formula>
    </cfRule>
  </conditionalFormatting>
  <dataValidations count="1">
    <dataValidation sqref="D2:BA100" showDropDown="0" showInputMessage="0" showErrorMessage="0" allowBlank="1" type="list">
      <formula1>"R,A,S,C,I"</formula1>
    </dataValidation>
  </dataValidations>
  <pageMargins left="0.7" right="0.7" top="0.75" bottom="0.75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00FF0000"/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14.43" defaultRowHeight="15" customHeight="1"/>
  <cols>
    <col width="6" customWidth="1" style="18" min="1" max="1"/>
    <col width="25" customWidth="1" style="18" min="2" max="2"/>
    <col width="12" customWidth="1" style="18" min="3" max="3"/>
    <col width="18" customWidth="1" style="18" min="4" max="4"/>
    <col width="25" customWidth="1" style="18" min="5" max="5"/>
    <col width="18" customWidth="1" style="18" min="6" max="6"/>
    <col width="14" customWidth="1" style="18" min="7" max="7"/>
    <col width="14" customWidth="1" style="18" min="8" max="8"/>
    <col width="25.57" customWidth="1" style="18" min="9" max="9"/>
    <col width="9.140000000000001" customWidth="1" style="18" min="10" max="26"/>
  </cols>
  <sheetData>
    <row r="1" ht="15" customHeight="1" s="18">
      <c r="A1" s="19" t="inlineStr">
        <is>
          <t>No</t>
        </is>
      </c>
      <c r="B1" s="19" t="inlineStr">
        <is>
          <t>Name</t>
        </is>
      </c>
      <c r="C1" s="19" t="inlineStr">
        <is>
          <t>Code</t>
        </is>
      </c>
      <c r="D1" s="19" t="inlineStr">
        <is>
          <t>Position</t>
        </is>
      </c>
      <c r="E1" s="19" t="inlineStr">
        <is>
          <t>Skills</t>
        </is>
      </c>
      <c r="F1" s="19" t="inlineStr">
        <is>
          <t>Current Projects</t>
        </is>
      </c>
      <c r="G1" s="19" t="inlineStr">
        <is>
          <t>Active Tasks</t>
        </is>
      </c>
      <c r="H1" s="19" t="inlineStr">
        <is>
          <t>Active Issues</t>
        </is>
      </c>
      <c r="I1" s="14" t="n"/>
      <c r="J1" s="15" t="n"/>
      <c r="K1" s="15" t="n"/>
      <c r="L1" s="15" t="n"/>
      <c r="M1" s="15" t="n"/>
      <c r="N1" s="15" t="n"/>
      <c r="O1" s="15" t="n"/>
      <c r="P1" s="15" t="n"/>
      <c r="Q1" s="15" t="n"/>
      <c r="R1" s="15" t="n"/>
      <c r="S1" s="15" t="n"/>
      <c r="T1" s="15" t="n"/>
      <c r="U1" s="15" t="n"/>
      <c r="V1" s="15" t="n"/>
      <c r="W1" s="15" t="n"/>
      <c r="X1" s="15" t="n"/>
      <c r="Y1" s="15" t="n"/>
      <c r="Z1" s="15" t="n"/>
    </row>
    <row r="2" ht="15" customHeight="1" s="18">
      <c r="A2" s="20" t="n">
        <v>1</v>
      </c>
      <c r="B2" s="21" t="inlineStr">
        <is>
          <t>Đinh Hoàng Phú</t>
        </is>
      </c>
      <c r="C2" s="20" t="inlineStr">
        <is>
          <t>phudh2</t>
        </is>
      </c>
      <c r="D2" s="21" t="n"/>
      <c r="E2" s="21" t="n"/>
      <c r="F2" s="20">
        <f>IF(C2="","",SUMPRODUCT((Projects!$B$2:$B$100&lt;&gt;"")*--(COUNTIFS(Tasks!$B$2:$B$501,Projects!$B$2:$B$100,Tasks!$E$2:$E$501,C2)&gt;0)))</f>
        <v/>
      </c>
      <c r="G2" s="20">
        <f>IF(C2="","",COUNTIFS(Tasks!$E$2:$E$501,C2,Tasks!$G$2:$G$501,"&lt;&gt;Done",Tasks!$D$2:$D$501,"&lt;&gt;"))</f>
        <v/>
      </c>
      <c r="H2" s="20">
        <f>IF(C2="","",COUNTIFS(Tasks!$E$2:$E$501,C2,Tasks!$G$2:$G$501,"Bug"))</f>
        <v/>
      </c>
      <c r="I2" s="15" t="n"/>
      <c r="J2" s="15" t="n"/>
      <c r="K2" s="15" t="n"/>
      <c r="L2" s="15" t="n"/>
      <c r="M2" s="15" t="n"/>
      <c r="N2" s="15" t="n"/>
      <c r="O2" s="15" t="n"/>
      <c r="P2" s="15" t="n"/>
      <c r="Q2" s="15" t="n"/>
      <c r="R2" s="15" t="n"/>
      <c r="S2" s="15" t="n"/>
      <c r="T2" s="15" t="n"/>
      <c r="U2" s="15" t="n"/>
      <c r="V2" s="15" t="n"/>
      <c r="W2" s="15" t="n"/>
      <c r="X2" s="15" t="n"/>
      <c r="Y2" s="15" t="n"/>
      <c r="Z2" s="15" t="n"/>
    </row>
    <row r="3" ht="15" customHeight="1" s="18">
      <c r="A3" s="20" t="n">
        <v>2</v>
      </c>
      <c r="B3" s="21" t="inlineStr">
        <is>
          <t>Lê Trí Kiên</t>
        </is>
      </c>
      <c r="C3" s="20" t="inlineStr">
        <is>
          <t>kienlt44</t>
        </is>
      </c>
      <c r="D3" s="21" t="n"/>
      <c r="E3" s="21" t="n"/>
      <c r="F3" s="20">
        <f>IF(C3="","",SUMPRODUCT((Projects!$B$2:$B$100&lt;&gt;"")*--(COUNTIFS(Tasks!$B$2:$B$501,Projects!$B$2:$B$100,Tasks!$E$2:$E$501,C3)&gt;0)))</f>
        <v/>
      </c>
      <c r="G3" s="20">
        <f>IF(C3="","",COUNTIFS(Tasks!$E$2:$E$501,C3,Tasks!$G$2:$G$501,"&lt;&gt;Done",Tasks!$D$2:$D$501,"&lt;&gt;"))</f>
        <v/>
      </c>
      <c r="H3" s="20">
        <f>IF(C3="","",COUNTIFS(Tasks!$E$2:$E$501,C3,Tasks!$G$2:$G$501,"Bug"))</f>
        <v/>
      </c>
      <c r="I3" s="15" t="n"/>
      <c r="J3" s="15" t="n"/>
      <c r="K3" s="15" t="n"/>
      <c r="L3" s="15" t="n"/>
      <c r="M3" s="15" t="n"/>
      <c r="N3" s="15" t="n"/>
      <c r="O3" s="15" t="n"/>
      <c r="P3" s="15" t="n"/>
      <c r="Q3" s="15" t="n"/>
      <c r="R3" s="15" t="n"/>
      <c r="S3" s="15" t="n"/>
      <c r="T3" s="15" t="n"/>
      <c r="U3" s="15" t="n"/>
      <c r="V3" s="15" t="n"/>
      <c r="W3" s="15" t="n"/>
      <c r="X3" s="15" t="n"/>
      <c r="Y3" s="15" t="n"/>
      <c r="Z3" s="15" t="n"/>
    </row>
    <row r="4" ht="15" customHeight="1" s="18">
      <c r="A4" s="20" t="n">
        <v>3</v>
      </c>
      <c r="B4" s="21" t="inlineStr">
        <is>
          <t>Phạm Nam Hiền</t>
        </is>
      </c>
      <c r="C4" s="20" t="inlineStr">
        <is>
          <t>hienpn2</t>
        </is>
      </c>
      <c r="D4" s="21" t="n"/>
      <c r="E4" s="21" t="n"/>
      <c r="F4" s="20">
        <f>IF(C4="","",SUMPRODUCT((Projects!$B$2:$B$100&lt;&gt;"")*--(COUNTIFS(Tasks!$B$2:$B$501,Projects!$B$2:$B$100,Tasks!$E$2:$E$501,C4)&gt;0)))</f>
        <v/>
      </c>
      <c r="G4" s="20">
        <f>IF(C4="","",COUNTIFS(Tasks!$E$2:$E$501,C4,Tasks!$G$2:$G$501,"&lt;&gt;Done",Tasks!$D$2:$D$501,"&lt;&gt;"))</f>
        <v/>
      </c>
      <c r="H4" s="20">
        <f>IF(C4="","",COUNTIFS(Tasks!$E$2:$E$501,C4,Tasks!$G$2:$G$501,"Bug"))</f>
        <v/>
      </c>
      <c r="I4" s="15" t="n"/>
      <c r="J4" s="15" t="n"/>
      <c r="K4" s="15" t="n"/>
      <c r="L4" s="15" t="n"/>
      <c r="M4" s="15" t="n"/>
      <c r="N4" s="15" t="n"/>
      <c r="O4" s="15" t="n"/>
      <c r="P4" s="15" t="n"/>
      <c r="Q4" s="15" t="n"/>
      <c r="R4" s="15" t="n"/>
      <c r="S4" s="15" t="n"/>
      <c r="T4" s="15" t="n"/>
      <c r="U4" s="15" t="n"/>
      <c r="V4" s="15" t="n"/>
      <c r="W4" s="15" t="n"/>
      <c r="X4" s="15" t="n"/>
      <c r="Y4" s="15" t="n"/>
      <c r="Z4" s="15" t="n"/>
    </row>
    <row r="5" ht="15" customHeight="1" s="18">
      <c r="A5" s="20" t="n">
        <v>4</v>
      </c>
      <c r="B5" s="21" t="inlineStr">
        <is>
          <t>Vũ Đăng Khoa</t>
        </is>
      </c>
      <c r="C5" s="20" t="inlineStr">
        <is>
          <t>khoavd11</t>
        </is>
      </c>
      <c r="D5" s="21" t="n"/>
      <c r="E5" s="21" t="n"/>
      <c r="F5" s="20">
        <f>IF(C5="","",SUMPRODUCT((Projects!$B$2:$B$100&lt;&gt;"")*--(COUNTIFS(Tasks!$B$2:$B$501,Projects!$B$2:$B$100,Tasks!$E$2:$E$501,C5)&gt;0)))</f>
        <v/>
      </c>
      <c r="G5" s="20">
        <f>IF(C5="","",COUNTIFS(Tasks!$E$2:$E$501,C5,Tasks!$G$2:$G$501,"&lt;&gt;Done",Tasks!$D$2:$D$501,"&lt;&gt;"))</f>
        <v/>
      </c>
      <c r="H5" s="20">
        <f>IF(C5="","",COUNTIFS(Tasks!$E$2:$E$501,C5,Tasks!$G$2:$G$501,"Bug"))</f>
        <v/>
      </c>
      <c r="I5" s="15" t="n"/>
      <c r="J5" s="15" t="n"/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  <c r="Z5" s="15" t="n"/>
    </row>
    <row r="6" ht="15" customHeight="1" s="18">
      <c r="A6" s="20" t="n">
        <v>5</v>
      </c>
      <c r="B6" s="21" t="inlineStr">
        <is>
          <t>Lê Tiến Anh</t>
        </is>
      </c>
      <c r="C6" s="20" t="inlineStr">
        <is>
          <t>anhlt25</t>
        </is>
      </c>
      <c r="D6" s="21" t="n"/>
      <c r="E6" s="21" t="n"/>
      <c r="F6" s="20">
        <f>IF(C6="","",SUMPRODUCT((Projects!$B$2:$B$100&lt;&gt;"")*--(COUNTIFS(Tasks!$B$2:$B$501,Projects!$B$2:$B$100,Tasks!$E$2:$E$501,C6)&gt;0)))</f>
        <v/>
      </c>
      <c r="G6" s="20">
        <f>IF(C6="","",COUNTIFS(Tasks!$E$2:$E$501,C6,Tasks!$G$2:$G$501,"&lt;&gt;Done",Tasks!$D$2:$D$501,"&lt;&gt;"))</f>
        <v/>
      </c>
      <c r="H6" s="20">
        <f>IF(C6="","",COUNTIFS(Tasks!$E$2:$E$501,C6,Tasks!$G$2:$G$501,"Bug"))</f>
        <v/>
      </c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</row>
    <row r="7" ht="15" customHeight="1" s="18">
      <c r="A7" s="20" t="n">
        <v>6</v>
      </c>
      <c r="B7" s="21" t="inlineStr">
        <is>
          <t>Lê Dương Khánh Huy</t>
        </is>
      </c>
      <c r="C7" s="20" t="inlineStr">
        <is>
          <t>huyldk</t>
        </is>
      </c>
      <c r="D7" s="21" t="n"/>
      <c r="E7" s="21" t="n"/>
      <c r="F7" s="20">
        <f>IF(C7="","",SUMPRODUCT((Projects!$B$2:$B$100&lt;&gt;"")*--(COUNTIFS(Tasks!$B$2:$B$501,Projects!$B$2:$B$100,Tasks!$E$2:$E$501,C7)&gt;0)))</f>
        <v/>
      </c>
      <c r="G7" s="20">
        <f>IF(C7="","",COUNTIFS(Tasks!$E$2:$E$501,C7,Tasks!$G$2:$G$501,"&lt;&gt;Done",Tasks!$D$2:$D$501,"&lt;&gt;"))</f>
        <v/>
      </c>
      <c r="H7" s="20">
        <f>IF(C7="","",COUNTIFS(Tasks!$E$2:$E$501,C7,Tasks!$G$2:$G$501,"Bug"))</f>
        <v/>
      </c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</row>
    <row r="8" ht="15" customHeight="1" s="18">
      <c r="A8" s="20" t="n">
        <v>7</v>
      </c>
      <c r="B8" s="21" t="inlineStr">
        <is>
          <t>Tôn Thất Phúc Khánh</t>
        </is>
      </c>
      <c r="C8" s="20" t="inlineStr">
        <is>
          <t>khanhttp</t>
        </is>
      </c>
      <c r="D8" s="21" t="n"/>
      <c r="E8" s="21" t="n"/>
      <c r="F8" s="20">
        <f>IF(C8="","",SUMPRODUCT((Projects!$B$2:$B$100&lt;&gt;"")*--(COUNTIFS(Tasks!$B$2:$B$501,Projects!$B$2:$B$100,Tasks!$E$2:$E$501,C8)&gt;0)))</f>
        <v/>
      </c>
      <c r="G8" s="20">
        <f>IF(C8="","",COUNTIFS(Tasks!$E$2:$E$501,C8,Tasks!$G$2:$G$501,"&lt;&gt;Done",Tasks!$D$2:$D$501,"&lt;&gt;"))</f>
        <v/>
      </c>
      <c r="H8" s="20">
        <f>IF(C8="","",COUNTIFS(Tasks!$E$2:$E$501,C8,Tasks!$G$2:$G$501,"Bug"))</f>
        <v/>
      </c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  <c r="Z8" s="15" t="n"/>
    </row>
    <row r="9" ht="15" customHeight="1" s="18">
      <c r="A9" s="20" t="n"/>
      <c r="B9" s="21" t="n"/>
      <c r="C9" s="20" t="n"/>
      <c r="D9" s="21" t="n"/>
      <c r="E9" s="21" t="n"/>
      <c r="F9" s="20">
        <f>IF(C9="","",SUMPRODUCT((Projects!$B$2:$B$100&lt;&gt;"")*--(COUNTIFS(Tasks!$B$2:$B$501,Projects!$B$2:$B$100,Tasks!$E$2:$E$501,C9)&gt;0)))</f>
        <v/>
      </c>
      <c r="G9" s="20">
        <f>IF(C9="","",COUNTIFS(Tasks!$E$2:$E$501,C9,Tasks!$G$2:$G$501,"&lt;&gt;Done",Tasks!$D$2:$D$501,"&lt;&gt;"))</f>
        <v/>
      </c>
      <c r="H9" s="20">
        <f>IF(C9="","",COUNTIFS(Tasks!$E$2:$E$501,C9,Tasks!$G$2:$G$501,"Bug"))</f>
        <v/>
      </c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  <c r="Z9" s="15" t="n"/>
    </row>
    <row r="10" ht="15" customHeight="1" s="18">
      <c r="A10" s="20" t="n"/>
      <c r="B10" s="21" t="n"/>
      <c r="C10" s="20" t="n"/>
      <c r="D10" s="21" t="n"/>
      <c r="E10" s="21" t="n"/>
      <c r="F10" s="20">
        <f>IF(C10="","",SUMPRODUCT((Projects!$B$2:$B$100&lt;&gt;"")*--(COUNTIFS(Tasks!$B$2:$B$501,Projects!$B$2:$B$100,Tasks!$E$2:$E$501,C10)&gt;0)))</f>
        <v/>
      </c>
      <c r="G10" s="20">
        <f>IF(C10="","",COUNTIFS(Tasks!$E$2:$E$501,C10,Tasks!$G$2:$G$501,"&lt;&gt;Done",Tasks!$D$2:$D$501,"&lt;&gt;"))</f>
        <v/>
      </c>
      <c r="H10" s="20">
        <f>IF(C10="","",COUNTIFS(Tasks!$E$2:$E$501,C10,Tasks!$G$2:$G$501,"Bug"))</f>
        <v/>
      </c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  <c r="Z10" s="15" t="n"/>
    </row>
    <row r="11" ht="15" customHeight="1" s="18">
      <c r="A11" s="20" t="n"/>
      <c r="B11" s="21" t="n"/>
      <c r="C11" s="20" t="n"/>
      <c r="D11" s="21" t="n"/>
      <c r="E11" s="21" t="n"/>
      <c r="F11" s="20">
        <f>IF(C11="","",SUMPRODUCT((Projects!$B$2:$B$100&lt;&gt;"")*--(COUNTIFS(Tasks!$B$2:$B$501,Projects!$B$2:$B$100,Tasks!$E$2:$E$501,C11)&gt;0)))</f>
        <v/>
      </c>
      <c r="G11" s="20">
        <f>IF(C11="","",COUNTIFS(Tasks!$E$2:$E$501,C11,Tasks!$G$2:$G$501,"&lt;&gt;Done",Tasks!$D$2:$D$501,"&lt;&gt;"))</f>
        <v/>
      </c>
      <c r="H11" s="20">
        <f>IF(C11="","",COUNTIFS(Tasks!$E$2:$E$501,C11,Tasks!$G$2:$G$501,"Bug"))</f>
        <v/>
      </c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  <c r="Z11" s="15" t="n"/>
    </row>
    <row r="12" ht="15" customHeight="1" s="18">
      <c r="A12" s="20" t="n"/>
      <c r="B12" s="21" t="n"/>
      <c r="C12" s="20" t="n"/>
      <c r="D12" s="21" t="n"/>
      <c r="E12" s="21" t="n"/>
      <c r="F12" s="20">
        <f>IF(C12="","",SUMPRODUCT((Projects!$B$2:$B$100&lt;&gt;"")*--(COUNTIFS(Tasks!$B$2:$B$501,Projects!$B$2:$B$100,Tasks!$E$2:$E$501,C12)&gt;0)))</f>
        <v/>
      </c>
      <c r="G12" s="20">
        <f>IF(C12="","",COUNTIFS(Tasks!$E$2:$E$501,C12,Tasks!$G$2:$G$501,"&lt;&gt;Done",Tasks!$D$2:$D$501,"&lt;&gt;"))</f>
        <v/>
      </c>
      <c r="H12" s="20">
        <f>IF(C12="","",COUNTIFS(Tasks!$E$2:$E$501,C12,Tasks!$G$2:$G$501,"Bug"))</f>
        <v/>
      </c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</row>
    <row r="13" ht="15" customHeight="1" s="18">
      <c r="A13" s="20" t="n"/>
      <c r="B13" s="21" t="n"/>
      <c r="C13" s="20" t="n"/>
      <c r="D13" s="21" t="n"/>
      <c r="E13" s="21" t="n"/>
      <c r="F13" s="20">
        <f>IF(C13="","",SUMPRODUCT((Projects!$B$2:$B$100&lt;&gt;"")*--(COUNTIFS(Tasks!$B$2:$B$501,Projects!$B$2:$B$100,Tasks!$E$2:$E$501,C13)&gt;0)))</f>
        <v/>
      </c>
      <c r="G13" s="20">
        <f>IF(C13="","",COUNTIFS(Tasks!$E$2:$E$501,C13,Tasks!$G$2:$G$501,"&lt;&gt;Done",Tasks!$D$2:$D$501,"&lt;&gt;"))</f>
        <v/>
      </c>
      <c r="H13" s="20">
        <f>IF(C13="","",COUNTIFS(Tasks!$E$2:$E$501,C13,Tasks!$G$2:$G$501,"Bug"))</f>
        <v/>
      </c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</row>
    <row r="14" ht="15" customHeight="1" s="18">
      <c r="A14" s="20" t="n"/>
      <c r="B14" s="21" t="n"/>
      <c r="C14" s="20" t="n"/>
      <c r="D14" s="21" t="n"/>
      <c r="E14" s="21" t="n"/>
      <c r="F14" s="20">
        <f>IF(C14="","",SUMPRODUCT((Projects!$B$2:$B$100&lt;&gt;"")*--(COUNTIFS(Tasks!$B$2:$B$501,Projects!$B$2:$B$100,Tasks!$E$2:$E$501,C14)&gt;0)))</f>
        <v/>
      </c>
      <c r="G14" s="20">
        <f>IF(C14="","",COUNTIFS(Tasks!$E$2:$E$501,C14,Tasks!$G$2:$G$501,"&lt;&gt;Done",Tasks!$D$2:$D$501,"&lt;&gt;"))</f>
        <v/>
      </c>
      <c r="H14" s="20">
        <f>IF(C14="","",COUNTIFS(Tasks!$E$2:$E$501,C14,Tasks!$G$2:$G$501,"Bug"))</f>
        <v/>
      </c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</row>
    <row r="15" ht="15" customHeight="1" s="18">
      <c r="A15" s="20" t="n"/>
      <c r="B15" s="21" t="n"/>
      <c r="C15" s="20" t="n"/>
      <c r="D15" s="21" t="n"/>
      <c r="E15" s="21" t="n"/>
      <c r="F15" s="20">
        <f>IF(C15="","",SUMPRODUCT((Projects!$B$2:$B$100&lt;&gt;"")*--(COUNTIFS(Tasks!$B$2:$B$501,Projects!$B$2:$B$100,Tasks!$E$2:$E$501,C15)&gt;0)))</f>
        <v/>
      </c>
      <c r="G15" s="20">
        <f>IF(C15="","",COUNTIFS(Tasks!$E$2:$E$501,C15,Tasks!$G$2:$G$501,"&lt;&gt;Done",Tasks!$D$2:$D$501,"&lt;&gt;"))</f>
        <v/>
      </c>
      <c r="H15" s="20">
        <f>IF(C15="","",COUNTIFS(Tasks!$E$2:$E$501,C15,Tasks!$G$2:$G$501,"Bug"))</f>
        <v/>
      </c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</row>
    <row r="16" ht="15" customHeight="1" s="18">
      <c r="A16" s="20" t="n"/>
      <c r="B16" s="21" t="n"/>
      <c r="C16" s="20" t="n"/>
      <c r="D16" s="21" t="n"/>
      <c r="E16" s="21" t="n"/>
      <c r="F16" s="20">
        <f>IF(C16="","",SUMPRODUCT((Projects!$B$2:$B$100&lt;&gt;"")*--(COUNTIFS(Tasks!$B$2:$B$501,Projects!$B$2:$B$100,Tasks!$E$2:$E$501,C16)&gt;0)))</f>
        <v/>
      </c>
      <c r="G16" s="20">
        <f>IF(C16="","",COUNTIFS(Tasks!$E$2:$E$501,C16,Tasks!$G$2:$G$501,"&lt;&gt;Done",Tasks!$D$2:$D$501,"&lt;&gt;"))</f>
        <v/>
      </c>
      <c r="H16" s="20">
        <f>IF(C16="","",COUNTIFS(Tasks!$E$2:$E$501,C16,Tasks!$G$2:$G$501,"Bug"))</f>
        <v/>
      </c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</row>
    <row r="17" ht="15" customHeight="1" s="18">
      <c r="A17" s="20" t="n"/>
      <c r="B17" s="21" t="n"/>
      <c r="C17" s="20" t="n"/>
      <c r="D17" s="21" t="n"/>
      <c r="E17" s="21" t="n"/>
      <c r="F17" s="20">
        <f>IF(C17="","",SUMPRODUCT((Projects!$B$2:$B$100&lt;&gt;"")*--(COUNTIFS(Tasks!$B$2:$B$501,Projects!$B$2:$B$100,Tasks!$E$2:$E$501,C17)&gt;0)))</f>
        <v/>
      </c>
      <c r="G17" s="20">
        <f>IF(C17="","",COUNTIFS(Tasks!$E$2:$E$501,C17,Tasks!$G$2:$G$501,"&lt;&gt;Done",Tasks!$D$2:$D$501,"&lt;&gt;"))</f>
        <v/>
      </c>
      <c r="H17" s="20">
        <f>IF(C17="","",COUNTIFS(Tasks!$E$2:$E$501,C17,Tasks!$G$2:$G$501,"Bug"))</f>
        <v/>
      </c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</row>
    <row r="18" ht="15" customHeight="1" s="18">
      <c r="A18" s="20" t="n"/>
      <c r="B18" s="21" t="n"/>
      <c r="C18" s="20" t="n"/>
      <c r="D18" s="21" t="n"/>
      <c r="E18" s="21" t="n"/>
      <c r="F18" s="20">
        <f>IF(C18="","",SUMPRODUCT((Projects!$B$2:$B$100&lt;&gt;"")*--(COUNTIFS(Tasks!$B$2:$B$501,Projects!$B$2:$B$100,Tasks!$E$2:$E$501,C18)&gt;0)))</f>
        <v/>
      </c>
      <c r="G18" s="20">
        <f>IF(C18="","",COUNTIFS(Tasks!$E$2:$E$501,C18,Tasks!$G$2:$G$501,"&lt;&gt;Done",Tasks!$D$2:$D$501,"&lt;&gt;"))</f>
        <v/>
      </c>
      <c r="H18" s="20">
        <f>IF(C18="","",COUNTIFS(Tasks!$E$2:$E$501,C18,Tasks!$G$2:$G$501,"Bug"))</f>
        <v/>
      </c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</row>
    <row r="19" ht="15" customHeight="1" s="18">
      <c r="A19" s="20" t="n"/>
      <c r="B19" s="21" t="n"/>
      <c r="C19" s="20" t="n"/>
      <c r="D19" s="21" t="n"/>
      <c r="E19" s="21" t="n"/>
      <c r="F19" s="20">
        <f>IF(C19="","",SUMPRODUCT((Projects!$B$2:$B$100&lt;&gt;"")*--(COUNTIFS(Tasks!$B$2:$B$501,Projects!$B$2:$B$100,Tasks!$E$2:$E$501,C19)&gt;0)))</f>
        <v/>
      </c>
      <c r="G19" s="20">
        <f>IF(C19="","",COUNTIFS(Tasks!$E$2:$E$501,C19,Tasks!$G$2:$G$501,"&lt;&gt;Done",Tasks!$D$2:$D$501,"&lt;&gt;"))</f>
        <v/>
      </c>
      <c r="H19" s="20">
        <f>IF(C19="","",COUNTIFS(Tasks!$E$2:$E$501,C19,Tasks!$G$2:$G$501,"Bug"))</f>
        <v/>
      </c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</row>
    <row r="20" ht="15" customHeight="1" s="18">
      <c r="A20" s="20" t="n"/>
      <c r="B20" s="21" t="n"/>
      <c r="C20" s="20" t="n"/>
      <c r="D20" s="21" t="n"/>
      <c r="E20" s="21" t="n"/>
      <c r="F20" s="20">
        <f>IF(C20="","",SUMPRODUCT((Projects!$B$2:$B$100&lt;&gt;"")*--(COUNTIFS(Tasks!$B$2:$B$501,Projects!$B$2:$B$100,Tasks!$E$2:$E$501,C20)&gt;0)))</f>
        <v/>
      </c>
      <c r="G20" s="20">
        <f>IF(C20="","",COUNTIFS(Tasks!$E$2:$E$501,C20,Tasks!$G$2:$G$501,"&lt;&gt;Done",Tasks!$D$2:$D$501,"&lt;&gt;"))</f>
        <v/>
      </c>
      <c r="H20" s="20">
        <f>IF(C20="","",COUNTIFS(Tasks!$E$2:$E$501,C20,Tasks!$G$2:$G$501,"Bug"))</f>
        <v/>
      </c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</row>
    <row r="21" ht="15.75" customHeight="1" s="18">
      <c r="A21" s="20" t="n"/>
      <c r="B21" s="21" t="n"/>
      <c r="C21" s="20" t="n"/>
      <c r="D21" s="21" t="n"/>
      <c r="E21" s="21" t="n"/>
      <c r="F21" s="20">
        <f>IF(C21="","",SUMPRODUCT((Projects!$B$2:$B$100&lt;&gt;"")*--(COUNTIFS(Tasks!$B$2:$B$501,Projects!$B$2:$B$100,Tasks!$E$2:$E$501,C21)&gt;0)))</f>
        <v/>
      </c>
      <c r="G21" s="20">
        <f>IF(C21="","",COUNTIFS(Tasks!$E$2:$E$501,C21,Tasks!$G$2:$G$501,"&lt;&gt;Done",Tasks!$D$2:$D$501,"&lt;&gt;"))</f>
        <v/>
      </c>
      <c r="H21" s="20">
        <f>IF(C21="","",COUNTIFS(Tasks!$E$2:$E$501,C21,Tasks!$G$2:$G$501,"Bug"))</f>
        <v/>
      </c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</row>
    <row r="22" ht="15.75" customHeight="1" s="18">
      <c r="A22" s="20" t="n"/>
      <c r="B22" s="21" t="n"/>
      <c r="C22" s="20" t="n"/>
      <c r="D22" s="21" t="n"/>
      <c r="E22" s="21" t="n"/>
      <c r="F22" s="20">
        <f>IF(C22="","",SUMPRODUCT((Projects!$B$2:$B$100&lt;&gt;"")*--(COUNTIFS(Tasks!$B$2:$B$501,Projects!$B$2:$B$100,Tasks!$E$2:$E$501,C22)&gt;0)))</f>
        <v/>
      </c>
      <c r="G22" s="20">
        <f>IF(C22="","",COUNTIFS(Tasks!$E$2:$E$501,C22,Tasks!$G$2:$G$501,"&lt;&gt;Done",Tasks!$D$2:$D$501,"&lt;&gt;"))</f>
        <v/>
      </c>
      <c r="H22" s="20">
        <f>IF(C22="","",COUNTIFS(Tasks!$E$2:$E$501,C22,Tasks!$G$2:$G$501,"Bug"))</f>
        <v/>
      </c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</row>
    <row r="23" ht="15.75" customHeight="1" s="18">
      <c r="A23" s="20" t="n"/>
      <c r="B23" s="21" t="n"/>
      <c r="C23" s="20" t="n"/>
      <c r="D23" s="21" t="n"/>
      <c r="E23" s="21" t="n"/>
      <c r="F23" s="20">
        <f>IF(C23="","",SUMPRODUCT((Projects!$B$2:$B$100&lt;&gt;"")*--(COUNTIFS(Tasks!$B$2:$B$501,Projects!$B$2:$B$100,Tasks!$E$2:$E$501,C23)&gt;0)))</f>
        <v/>
      </c>
      <c r="G23" s="20">
        <f>IF(C23="","",COUNTIFS(Tasks!$E$2:$E$501,C23,Tasks!$G$2:$G$501,"&lt;&gt;Done",Tasks!$D$2:$D$501,"&lt;&gt;"))</f>
        <v/>
      </c>
      <c r="H23" s="20">
        <f>IF(C23="","",COUNTIFS(Tasks!$E$2:$E$501,C23,Tasks!$G$2:$G$501,"Bug"))</f>
        <v/>
      </c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</row>
    <row r="24" ht="15.75" customHeight="1" s="18">
      <c r="A24" s="20" t="n"/>
      <c r="B24" s="21" t="n"/>
      <c r="C24" s="20" t="n"/>
      <c r="D24" s="21" t="n"/>
      <c r="E24" s="21" t="n"/>
      <c r="F24" s="20">
        <f>IF(C24="","",SUMPRODUCT((Projects!$B$2:$B$100&lt;&gt;"")*--(COUNTIFS(Tasks!$B$2:$B$501,Projects!$B$2:$B$100,Tasks!$E$2:$E$501,C24)&gt;0)))</f>
        <v/>
      </c>
      <c r="G24" s="20">
        <f>IF(C24="","",COUNTIFS(Tasks!$E$2:$E$501,C24,Tasks!$G$2:$G$501,"&lt;&gt;Done",Tasks!$D$2:$D$501,"&lt;&gt;"))</f>
        <v/>
      </c>
      <c r="H24" s="20">
        <f>IF(C24="","",COUNTIFS(Tasks!$E$2:$E$501,C24,Tasks!$G$2:$G$501,"Bug"))</f>
        <v/>
      </c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</row>
    <row r="25" ht="15.75" customHeight="1" s="18">
      <c r="A25" s="20" t="n"/>
      <c r="B25" s="21" t="n"/>
      <c r="C25" s="20" t="n"/>
      <c r="D25" s="21" t="n"/>
      <c r="E25" s="21" t="n"/>
      <c r="F25" s="20">
        <f>IF(C25="","",SUMPRODUCT((Projects!$B$2:$B$100&lt;&gt;"")*--(COUNTIFS(Tasks!$B$2:$B$501,Projects!$B$2:$B$100,Tasks!$E$2:$E$501,C25)&gt;0)))</f>
        <v/>
      </c>
      <c r="G25" s="20">
        <f>IF(C25="","",COUNTIFS(Tasks!$E$2:$E$501,C25,Tasks!$G$2:$G$501,"&lt;&gt;Done",Tasks!$D$2:$D$501,"&lt;&gt;"))</f>
        <v/>
      </c>
      <c r="H25" s="20">
        <f>IF(C25="","",COUNTIFS(Tasks!$E$2:$E$501,C25,Tasks!$G$2:$G$501,"Bug"))</f>
        <v/>
      </c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</row>
    <row r="26" ht="15.75" customHeight="1" s="18">
      <c r="A26" s="20" t="n"/>
      <c r="B26" s="21" t="n"/>
      <c r="C26" s="20" t="n"/>
      <c r="D26" s="21" t="n"/>
      <c r="E26" s="21" t="n"/>
      <c r="F26" s="20">
        <f>IF(C26="","",SUMPRODUCT((Projects!$B$2:$B$100&lt;&gt;"")*--(COUNTIFS(Tasks!$B$2:$B$501,Projects!$B$2:$B$100,Tasks!$E$2:$E$501,C26)&gt;0)))</f>
        <v/>
      </c>
      <c r="G26" s="20">
        <f>IF(C26="","",COUNTIFS(Tasks!$E$2:$E$501,C26,Tasks!$G$2:$G$501,"&lt;&gt;Done",Tasks!$D$2:$D$501,"&lt;&gt;"))</f>
        <v/>
      </c>
      <c r="H26" s="20">
        <f>IF(C26="","",COUNTIFS(Tasks!$E$2:$E$501,C26,Tasks!$G$2:$G$501,"Bug"))</f>
        <v/>
      </c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</row>
    <row r="27" ht="15.75" customHeight="1" s="18">
      <c r="A27" s="20" t="n"/>
      <c r="B27" s="21" t="n"/>
      <c r="C27" s="20" t="n"/>
      <c r="D27" s="21" t="n"/>
      <c r="E27" s="21" t="n"/>
      <c r="F27" s="20">
        <f>IF(C27="","",SUMPRODUCT((Projects!$B$2:$B$100&lt;&gt;"")*--(COUNTIFS(Tasks!$B$2:$B$501,Projects!$B$2:$B$100,Tasks!$E$2:$E$501,C27)&gt;0)))</f>
        <v/>
      </c>
      <c r="G27" s="20">
        <f>IF(C27="","",COUNTIFS(Tasks!$E$2:$E$501,C27,Tasks!$G$2:$G$501,"&lt;&gt;Done",Tasks!$D$2:$D$501,"&lt;&gt;"))</f>
        <v/>
      </c>
      <c r="H27" s="20">
        <f>IF(C27="","",COUNTIFS(Tasks!$E$2:$E$501,C27,Tasks!$G$2:$G$501,"Bug"))</f>
        <v/>
      </c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</row>
    <row r="28" ht="15.75" customHeight="1" s="18">
      <c r="A28" s="20" t="n"/>
      <c r="B28" s="21" t="n"/>
      <c r="C28" s="20" t="n"/>
      <c r="D28" s="21" t="n"/>
      <c r="E28" s="21" t="n"/>
      <c r="F28" s="20">
        <f>IF(C28="","",SUMPRODUCT((Projects!$B$2:$B$100&lt;&gt;"")*--(COUNTIFS(Tasks!$B$2:$B$501,Projects!$B$2:$B$100,Tasks!$E$2:$E$501,C28)&gt;0)))</f>
        <v/>
      </c>
      <c r="G28" s="20">
        <f>IF(C28="","",COUNTIFS(Tasks!$E$2:$E$501,C28,Tasks!$G$2:$G$501,"&lt;&gt;Done",Tasks!$D$2:$D$501,"&lt;&gt;"))</f>
        <v/>
      </c>
      <c r="H28" s="20">
        <f>IF(C28="","",COUNTIFS(Tasks!$E$2:$E$501,C28,Tasks!$G$2:$G$501,"Bug"))</f>
        <v/>
      </c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</row>
    <row r="29" ht="15.75" customHeight="1" s="18">
      <c r="A29" s="20" t="n"/>
      <c r="B29" s="21" t="n"/>
      <c r="C29" s="20" t="n"/>
      <c r="D29" s="21" t="n"/>
      <c r="E29" s="21" t="n"/>
      <c r="F29" s="20">
        <f>IF(C29="","",SUMPRODUCT((Projects!$B$2:$B$100&lt;&gt;"")*--(COUNTIFS(Tasks!$B$2:$B$501,Projects!$B$2:$B$100,Tasks!$E$2:$E$501,C29)&gt;0)))</f>
        <v/>
      </c>
      <c r="G29" s="20">
        <f>IF(C29="","",COUNTIFS(Tasks!$E$2:$E$501,C29,Tasks!$G$2:$G$501,"&lt;&gt;Done",Tasks!$D$2:$D$501,"&lt;&gt;"))</f>
        <v/>
      </c>
      <c r="H29" s="20">
        <f>IF(C29="","",COUNTIFS(Tasks!$E$2:$E$501,C29,Tasks!$G$2:$G$501,"Bug"))</f>
        <v/>
      </c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</row>
    <row r="30" ht="15.75" customHeight="1" s="18">
      <c r="A30" s="20" t="n"/>
      <c r="B30" s="21" t="n"/>
      <c r="C30" s="20" t="n"/>
      <c r="D30" s="21" t="n"/>
      <c r="E30" s="21" t="n"/>
      <c r="F30" s="20">
        <f>IF(C30="","",SUMPRODUCT((Projects!$B$2:$B$100&lt;&gt;"")*--(COUNTIFS(Tasks!$B$2:$B$501,Projects!$B$2:$B$100,Tasks!$E$2:$E$501,C30)&gt;0)))</f>
        <v/>
      </c>
      <c r="G30" s="20">
        <f>IF(C30="","",COUNTIFS(Tasks!$E$2:$E$501,C30,Tasks!$G$2:$G$501,"&lt;&gt;Done",Tasks!$D$2:$D$501,"&lt;&gt;"))</f>
        <v/>
      </c>
      <c r="H30" s="20">
        <f>IF(C30="","",COUNTIFS(Tasks!$E$2:$E$501,C30,Tasks!$G$2:$G$501,"Bug"))</f>
        <v/>
      </c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</row>
    <row r="31" ht="15.75" customHeight="1" s="18">
      <c r="A31" s="20" t="n"/>
      <c r="B31" s="21" t="n"/>
      <c r="C31" s="20" t="n"/>
      <c r="D31" s="21" t="n"/>
      <c r="E31" s="21" t="n"/>
      <c r="F31" s="20">
        <f>IF(C31="","",SUMPRODUCT((Projects!$B$2:$B$100&lt;&gt;"")*--(COUNTIFS(Tasks!$B$2:$B$501,Projects!$B$2:$B$100,Tasks!$E$2:$E$501,C31)&gt;0)))</f>
        <v/>
      </c>
      <c r="G31" s="20">
        <f>IF(C31="","",COUNTIFS(Tasks!$E$2:$E$501,C31,Tasks!$G$2:$G$501,"&lt;&gt;Done",Tasks!$D$2:$D$501,"&lt;&gt;"))</f>
        <v/>
      </c>
      <c r="H31" s="20">
        <f>IF(C31="","",COUNTIFS(Tasks!$E$2:$E$501,C31,Tasks!$G$2:$G$501,"Bug"))</f>
        <v/>
      </c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</row>
    <row r="32" ht="15.75" customHeight="1" s="18">
      <c r="A32" s="20" t="n"/>
      <c r="B32" s="21" t="n"/>
      <c r="C32" s="20" t="n"/>
      <c r="D32" s="21" t="n"/>
      <c r="E32" s="21" t="n"/>
      <c r="F32" s="20">
        <f>IF(C32="","",SUMPRODUCT((Projects!$B$2:$B$100&lt;&gt;"")*--(COUNTIFS(Tasks!$B$2:$B$501,Projects!$B$2:$B$100,Tasks!$E$2:$E$501,C32)&gt;0)))</f>
        <v/>
      </c>
      <c r="G32" s="20">
        <f>IF(C32="","",COUNTIFS(Tasks!$E$2:$E$501,C32,Tasks!$G$2:$G$501,"&lt;&gt;Done",Tasks!$D$2:$D$501,"&lt;&gt;"))</f>
        <v/>
      </c>
      <c r="H32" s="20">
        <f>IF(C32="","",COUNTIFS(Tasks!$E$2:$E$501,C32,Tasks!$G$2:$G$501,"Bug"))</f>
        <v/>
      </c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</row>
    <row r="33" ht="15.75" customHeight="1" s="18">
      <c r="A33" s="20" t="n"/>
      <c r="B33" s="21" t="n"/>
      <c r="C33" s="20" t="n"/>
      <c r="D33" s="21" t="n"/>
      <c r="E33" s="21" t="n"/>
      <c r="F33" s="20">
        <f>IF(C33="","",SUMPRODUCT((Projects!$B$2:$B$100&lt;&gt;"")*--(COUNTIFS(Tasks!$B$2:$B$501,Projects!$B$2:$B$100,Tasks!$E$2:$E$501,C33)&gt;0)))</f>
        <v/>
      </c>
      <c r="G33" s="20">
        <f>IF(C33="","",COUNTIFS(Tasks!$E$2:$E$501,C33,Tasks!$G$2:$G$501,"&lt;&gt;Done",Tasks!$D$2:$D$501,"&lt;&gt;"))</f>
        <v/>
      </c>
      <c r="H33" s="20">
        <f>IF(C33="","",COUNTIFS(Tasks!$E$2:$E$501,C33,Tasks!$G$2:$G$501,"Bug"))</f>
        <v/>
      </c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</row>
    <row r="34" ht="15.75" customHeight="1" s="18">
      <c r="A34" s="20" t="n"/>
      <c r="B34" s="21" t="n"/>
      <c r="C34" s="20" t="n"/>
      <c r="D34" s="21" t="n"/>
      <c r="E34" s="21" t="n"/>
      <c r="F34" s="20">
        <f>IF(C34="","",SUMPRODUCT((Projects!$B$2:$B$100&lt;&gt;"")*--(COUNTIFS(Tasks!$B$2:$B$501,Projects!$B$2:$B$100,Tasks!$E$2:$E$501,C34)&gt;0)))</f>
        <v/>
      </c>
      <c r="G34" s="20">
        <f>IF(C34="","",COUNTIFS(Tasks!$E$2:$E$501,C34,Tasks!$G$2:$G$501,"&lt;&gt;Done",Tasks!$D$2:$D$501,"&lt;&gt;"))</f>
        <v/>
      </c>
      <c r="H34" s="20">
        <f>IF(C34="","",COUNTIFS(Tasks!$E$2:$E$501,C34,Tasks!$G$2:$G$501,"Bug"))</f>
        <v/>
      </c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</row>
    <row r="35" ht="15.75" customHeight="1" s="18">
      <c r="A35" s="20" t="n"/>
      <c r="B35" s="21" t="n"/>
      <c r="C35" s="20" t="n"/>
      <c r="D35" s="21" t="n"/>
      <c r="E35" s="21" t="n"/>
      <c r="F35" s="20">
        <f>IF(C35="","",SUMPRODUCT((Projects!$B$2:$B$100&lt;&gt;"")*--(COUNTIFS(Tasks!$B$2:$B$501,Projects!$B$2:$B$100,Tasks!$E$2:$E$501,C35)&gt;0)))</f>
        <v/>
      </c>
      <c r="G35" s="20">
        <f>IF(C35="","",COUNTIFS(Tasks!$E$2:$E$501,C35,Tasks!$G$2:$G$501,"&lt;&gt;Done",Tasks!$D$2:$D$501,"&lt;&gt;"))</f>
        <v/>
      </c>
      <c r="H35" s="20">
        <f>IF(C35="","",COUNTIFS(Tasks!$E$2:$E$501,C35,Tasks!$G$2:$G$501,"Bug"))</f>
        <v/>
      </c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</row>
    <row r="36" ht="15.75" customHeight="1" s="18">
      <c r="A36" s="20" t="n"/>
      <c r="B36" s="21" t="n"/>
      <c r="C36" s="20" t="n"/>
      <c r="D36" s="21" t="n"/>
      <c r="E36" s="21" t="n"/>
      <c r="F36" s="20">
        <f>IF(C36="","",SUMPRODUCT((Projects!$B$2:$B$100&lt;&gt;"")*--(COUNTIFS(Tasks!$B$2:$B$501,Projects!$B$2:$B$100,Tasks!$E$2:$E$501,C36)&gt;0)))</f>
        <v/>
      </c>
      <c r="G36" s="20">
        <f>IF(C36="","",COUNTIFS(Tasks!$E$2:$E$501,C36,Tasks!$G$2:$G$501,"&lt;&gt;Done",Tasks!$D$2:$D$501,"&lt;&gt;"))</f>
        <v/>
      </c>
      <c r="H36" s="20">
        <f>IF(C36="","",COUNTIFS(Tasks!$E$2:$E$501,C36,Tasks!$G$2:$G$501,"Bug"))</f>
        <v/>
      </c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</row>
    <row r="37" ht="15.75" customHeight="1" s="18">
      <c r="A37" s="20" t="n"/>
      <c r="B37" s="21" t="n"/>
      <c r="C37" s="20" t="n"/>
      <c r="D37" s="21" t="n"/>
      <c r="E37" s="21" t="n"/>
      <c r="F37" s="20">
        <f>IF(C37="","",SUMPRODUCT((Projects!$B$2:$B$100&lt;&gt;"")*--(COUNTIFS(Tasks!$B$2:$B$501,Projects!$B$2:$B$100,Tasks!$E$2:$E$501,C37)&gt;0)))</f>
        <v/>
      </c>
      <c r="G37" s="20">
        <f>IF(C37="","",COUNTIFS(Tasks!$E$2:$E$501,C37,Tasks!$G$2:$G$501,"&lt;&gt;Done",Tasks!$D$2:$D$501,"&lt;&gt;"))</f>
        <v/>
      </c>
      <c r="H37" s="20">
        <f>IF(C37="","",COUNTIFS(Tasks!$E$2:$E$501,C37,Tasks!$G$2:$G$501,"Bug"))</f>
        <v/>
      </c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15" t="n"/>
    </row>
    <row r="38" ht="15.75" customHeight="1" s="18">
      <c r="A38" s="20" t="n"/>
      <c r="B38" s="21" t="n"/>
      <c r="C38" s="20" t="n"/>
      <c r="D38" s="21" t="n"/>
      <c r="E38" s="21" t="n"/>
      <c r="F38" s="20">
        <f>IF(C38="","",SUMPRODUCT((Projects!$B$2:$B$100&lt;&gt;"")*--(COUNTIFS(Tasks!$B$2:$B$501,Projects!$B$2:$B$100,Tasks!$E$2:$E$501,C38)&gt;0)))</f>
        <v/>
      </c>
      <c r="G38" s="20">
        <f>IF(C38="","",COUNTIFS(Tasks!$E$2:$E$501,C38,Tasks!$G$2:$G$501,"&lt;&gt;Done",Tasks!$D$2:$D$501,"&lt;&gt;"))</f>
        <v/>
      </c>
      <c r="H38" s="20">
        <f>IF(C38="","",COUNTIFS(Tasks!$E$2:$E$501,C38,Tasks!$G$2:$G$501,"Bug"))</f>
        <v/>
      </c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</row>
    <row r="39" ht="15.75" customHeight="1" s="18">
      <c r="A39" s="20" t="n"/>
      <c r="B39" s="21" t="n"/>
      <c r="C39" s="20" t="n"/>
      <c r="D39" s="21" t="n"/>
      <c r="E39" s="21" t="n"/>
      <c r="F39" s="20">
        <f>IF(C39="","",SUMPRODUCT((Projects!$B$2:$B$100&lt;&gt;"")*--(COUNTIFS(Tasks!$B$2:$B$501,Projects!$B$2:$B$100,Tasks!$E$2:$E$501,C39)&gt;0)))</f>
        <v/>
      </c>
      <c r="G39" s="20">
        <f>IF(C39="","",COUNTIFS(Tasks!$E$2:$E$501,C39,Tasks!$G$2:$G$501,"&lt;&gt;Done",Tasks!$D$2:$D$501,"&lt;&gt;"))</f>
        <v/>
      </c>
      <c r="H39" s="20">
        <f>IF(C39="","",COUNTIFS(Tasks!$E$2:$E$501,C39,Tasks!$G$2:$G$501,"Bug"))</f>
        <v/>
      </c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</row>
    <row r="40" ht="15.75" customHeight="1" s="18">
      <c r="A40" s="20" t="n"/>
      <c r="B40" s="21" t="n"/>
      <c r="C40" s="20" t="n"/>
      <c r="D40" s="21" t="n"/>
      <c r="E40" s="21" t="n"/>
      <c r="F40" s="20">
        <f>IF(C40="","",SUMPRODUCT((Projects!$B$2:$B$100&lt;&gt;"")*--(COUNTIFS(Tasks!$B$2:$B$501,Projects!$B$2:$B$100,Tasks!$E$2:$E$501,C40)&gt;0)))</f>
        <v/>
      </c>
      <c r="G40" s="20">
        <f>IF(C40="","",COUNTIFS(Tasks!$E$2:$E$501,C40,Tasks!$G$2:$G$501,"&lt;&gt;Done",Tasks!$D$2:$D$501,"&lt;&gt;"))</f>
        <v/>
      </c>
      <c r="H40" s="20">
        <f>IF(C40="","",COUNTIFS(Tasks!$E$2:$E$501,C40,Tasks!$G$2:$G$501,"Bug"))</f>
        <v/>
      </c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</row>
    <row r="41" ht="15.75" customHeight="1" s="18">
      <c r="A41" s="20" t="n"/>
      <c r="B41" s="21" t="n"/>
      <c r="C41" s="20" t="n"/>
      <c r="D41" s="21" t="n"/>
      <c r="E41" s="21" t="n"/>
      <c r="F41" s="20">
        <f>IF(C41="","",SUMPRODUCT((Projects!$B$2:$B$100&lt;&gt;"")*--(COUNTIFS(Tasks!$B$2:$B$501,Projects!$B$2:$B$100,Tasks!$E$2:$E$501,C41)&gt;0)))</f>
        <v/>
      </c>
      <c r="G41" s="20">
        <f>IF(C41="","",COUNTIFS(Tasks!$E$2:$E$501,C41,Tasks!$G$2:$G$501,"&lt;&gt;Done",Tasks!$D$2:$D$501,"&lt;&gt;"))</f>
        <v/>
      </c>
      <c r="H41" s="20">
        <f>IF(C41="","",COUNTIFS(Tasks!$E$2:$E$501,C41,Tasks!$G$2:$G$501,"Bug"))</f>
        <v/>
      </c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</row>
    <row r="42" ht="15.75" customHeight="1" s="18">
      <c r="A42" s="20" t="n"/>
      <c r="B42" s="21" t="n"/>
      <c r="C42" s="20" t="n"/>
      <c r="D42" s="21" t="n"/>
      <c r="E42" s="21" t="n"/>
      <c r="F42" s="20">
        <f>IF(C42="","",SUMPRODUCT((Projects!$B$2:$B$100&lt;&gt;"")*--(COUNTIFS(Tasks!$B$2:$B$501,Projects!$B$2:$B$100,Tasks!$E$2:$E$501,C42)&gt;0)))</f>
        <v/>
      </c>
      <c r="G42" s="20">
        <f>IF(C42="","",COUNTIFS(Tasks!$E$2:$E$501,C42,Tasks!$G$2:$G$501,"&lt;&gt;Done",Tasks!$D$2:$D$501,"&lt;&gt;"))</f>
        <v/>
      </c>
      <c r="H42" s="20">
        <f>IF(C42="","",COUNTIFS(Tasks!$E$2:$E$501,C42,Tasks!$G$2:$G$501,"Bug"))</f>
        <v/>
      </c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</row>
    <row r="43" ht="15.75" customHeight="1" s="18">
      <c r="A43" s="20" t="n"/>
      <c r="B43" s="21" t="n"/>
      <c r="C43" s="20" t="n"/>
      <c r="D43" s="21" t="n"/>
      <c r="E43" s="21" t="n"/>
      <c r="F43" s="20">
        <f>IF(C43="","",SUMPRODUCT((Projects!$B$2:$B$100&lt;&gt;"")*--(COUNTIFS(Tasks!$B$2:$B$501,Projects!$B$2:$B$100,Tasks!$E$2:$E$501,C43)&gt;0)))</f>
        <v/>
      </c>
      <c r="G43" s="20">
        <f>IF(C43="","",COUNTIFS(Tasks!$E$2:$E$501,C43,Tasks!$G$2:$G$501,"&lt;&gt;Done",Tasks!$D$2:$D$501,"&lt;&gt;"))</f>
        <v/>
      </c>
      <c r="H43" s="20">
        <f>IF(C43="","",COUNTIFS(Tasks!$E$2:$E$501,C43,Tasks!$G$2:$G$501,"Bug"))</f>
        <v/>
      </c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</row>
    <row r="44" ht="15.75" customHeight="1" s="18">
      <c r="A44" s="20" t="n"/>
      <c r="B44" s="21" t="n"/>
      <c r="C44" s="20" t="n"/>
      <c r="D44" s="21" t="n"/>
      <c r="E44" s="21" t="n"/>
      <c r="F44" s="20">
        <f>IF(C44="","",SUMPRODUCT((Projects!$B$2:$B$100&lt;&gt;"")*--(COUNTIFS(Tasks!$B$2:$B$501,Projects!$B$2:$B$100,Tasks!$E$2:$E$501,C44)&gt;0)))</f>
        <v/>
      </c>
      <c r="G44" s="20">
        <f>IF(C44="","",COUNTIFS(Tasks!$E$2:$E$501,C44,Tasks!$G$2:$G$501,"&lt;&gt;Done",Tasks!$D$2:$D$501,"&lt;&gt;"))</f>
        <v/>
      </c>
      <c r="H44" s="20">
        <f>IF(C44="","",COUNTIFS(Tasks!$E$2:$E$501,C44,Tasks!$G$2:$G$501,"Bug"))</f>
        <v/>
      </c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</row>
    <row r="45" ht="15.75" customHeight="1" s="18">
      <c r="A45" s="20" t="n"/>
      <c r="B45" s="21" t="n"/>
      <c r="C45" s="20" t="n"/>
      <c r="D45" s="21" t="n"/>
      <c r="E45" s="21" t="n"/>
      <c r="F45" s="20">
        <f>IF(C45="","",SUMPRODUCT((Projects!$B$2:$B$100&lt;&gt;"")*--(COUNTIFS(Tasks!$B$2:$B$501,Projects!$B$2:$B$100,Tasks!$E$2:$E$501,C45)&gt;0)))</f>
        <v/>
      </c>
      <c r="G45" s="20">
        <f>IF(C45="","",COUNTIFS(Tasks!$E$2:$E$501,C45,Tasks!$G$2:$G$501,"&lt;&gt;Done",Tasks!$D$2:$D$501,"&lt;&gt;"))</f>
        <v/>
      </c>
      <c r="H45" s="20">
        <f>IF(C45="","",COUNTIFS(Tasks!$E$2:$E$501,C45,Tasks!$G$2:$G$501,"Bug"))</f>
        <v/>
      </c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</row>
    <row r="46" ht="15.75" customHeight="1" s="18">
      <c r="A46" s="20" t="n"/>
      <c r="B46" s="21" t="n"/>
      <c r="C46" s="20" t="n"/>
      <c r="D46" s="21" t="n"/>
      <c r="E46" s="21" t="n"/>
      <c r="F46" s="20">
        <f>IF(C46="","",SUMPRODUCT((Projects!$B$2:$B$100&lt;&gt;"")*--(COUNTIFS(Tasks!$B$2:$B$501,Projects!$B$2:$B$100,Tasks!$E$2:$E$501,C46)&gt;0)))</f>
        <v/>
      </c>
      <c r="G46" s="20">
        <f>IF(C46="","",COUNTIFS(Tasks!$E$2:$E$501,C46,Tasks!$G$2:$G$501,"&lt;&gt;Done",Tasks!$D$2:$D$501,"&lt;&gt;"))</f>
        <v/>
      </c>
      <c r="H46" s="20">
        <f>IF(C46="","",COUNTIFS(Tasks!$E$2:$E$501,C46,Tasks!$G$2:$G$501,"Bug"))</f>
        <v/>
      </c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  <c r="Z46" s="15" t="n"/>
    </row>
    <row r="47" ht="15.75" customHeight="1" s="18">
      <c r="A47" s="20" t="n"/>
      <c r="B47" s="21" t="n"/>
      <c r="C47" s="20" t="n"/>
      <c r="D47" s="21" t="n"/>
      <c r="E47" s="21" t="n"/>
      <c r="F47" s="20">
        <f>IF(C47="","",SUMPRODUCT((Projects!$B$2:$B$100&lt;&gt;"")*--(COUNTIFS(Tasks!$B$2:$B$501,Projects!$B$2:$B$100,Tasks!$E$2:$E$501,C47)&gt;0)))</f>
        <v/>
      </c>
      <c r="G47" s="20">
        <f>IF(C47="","",COUNTIFS(Tasks!$E$2:$E$501,C47,Tasks!$G$2:$G$501,"&lt;&gt;Done",Tasks!$D$2:$D$501,"&lt;&gt;"))</f>
        <v/>
      </c>
      <c r="H47" s="20">
        <f>IF(C47="","",COUNTIFS(Tasks!$E$2:$E$501,C47,Tasks!$G$2:$G$501,"Bug"))</f>
        <v/>
      </c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</row>
    <row r="48" ht="15.75" customHeight="1" s="18">
      <c r="A48" s="20" t="n"/>
      <c r="B48" s="21" t="n"/>
      <c r="C48" s="20" t="n"/>
      <c r="D48" s="21" t="n"/>
      <c r="E48" s="21" t="n"/>
      <c r="F48" s="20">
        <f>IF(C48="","",SUMPRODUCT((Projects!$B$2:$B$100&lt;&gt;"")*--(COUNTIFS(Tasks!$B$2:$B$501,Projects!$B$2:$B$100,Tasks!$E$2:$E$501,C48)&gt;0)))</f>
        <v/>
      </c>
      <c r="G48" s="20">
        <f>IF(C48="","",COUNTIFS(Tasks!$E$2:$E$501,C48,Tasks!$G$2:$G$501,"&lt;&gt;Done",Tasks!$D$2:$D$501,"&lt;&gt;"))</f>
        <v/>
      </c>
      <c r="H48" s="20">
        <f>IF(C48="","",COUNTIFS(Tasks!$E$2:$E$501,C48,Tasks!$G$2:$G$501,"Bug"))</f>
        <v/>
      </c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</row>
    <row r="49" ht="15.75" customHeight="1" s="18">
      <c r="A49" s="20" t="n"/>
      <c r="B49" s="21" t="n"/>
      <c r="C49" s="20" t="n"/>
      <c r="D49" s="21" t="n"/>
      <c r="E49" s="21" t="n"/>
      <c r="F49" s="20">
        <f>IF(C49="","",SUMPRODUCT((Projects!$B$2:$B$100&lt;&gt;"")*--(COUNTIFS(Tasks!$B$2:$B$501,Projects!$B$2:$B$100,Tasks!$E$2:$E$501,C49)&gt;0)))</f>
        <v/>
      </c>
      <c r="G49" s="20">
        <f>IF(C49="","",COUNTIFS(Tasks!$E$2:$E$501,C49,Tasks!$G$2:$G$501,"&lt;&gt;Done",Tasks!$D$2:$D$501,"&lt;&gt;"))</f>
        <v/>
      </c>
      <c r="H49" s="20">
        <f>IF(C49="","",COUNTIFS(Tasks!$E$2:$E$501,C49,Tasks!$G$2:$G$501,"Bug"))</f>
        <v/>
      </c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</row>
    <row r="50" ht="15.75" customHeight="1" s="18">
      <c r="A50" s="20" t="n"/>
      <c r="B50" s="21" t="n"/>
      <c r="C50" s="20" t="n"/>
      <c r="D50" s="21" t="n"/>
      <c r="E50" s="21" t="n"/>
      <c r="F50" s="20">
        <f>IF(C50="","",SUMPRODUCT((Projects!$B$2:$B$100&lt;&gt;"")*--(COUNTIFS(Tasks!$B$2:$B$501,Projects!$B$2:$B$100,Tasks!$E$2:$E$501,C50)&gt;0)))</f>
        <v/>
      </c>
      <c r="G50" s="20">
        <f>IF(C50="","",COUNTIFS(Tasks!$E$2:$E$501,C50,Tasks!$G$2:$G$501,"&lt;&gt;Done",Tasks!$D$2:$D$501,"&lt;&gt;"))</f>
        <v/>
      </c>
      <c r="H50" s="20">
        <f>IF(C50="","",COUNTIFS(Tasks!$E$2:$E$501,C50,Tasks!$G$2:$G$501,"Bug"))</f>
        <v/>
      </c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  <c r="R50" s="15" t="n"/>
      <c r="S50" s="15" t="n"/>
      <c r="T50" s="15" t="n"/>
      <c r="U50" s="15" t="n"/>
      <c r="V50" s="15" t="n"/>
      <c r="W50" s="15" t="n"/>
      <c r="X50" s="15" t="n"/>
      <c r="Y50" s="15" t="n"/>
      <c r="Z50" s="15" t="n"/>
    </row>
    <row r="51" ht="15.75" customHeight="1" s="18">
      <c r="A51" s="20" t="n"/>
      <c r="B51" s="21" t="n"/>
      <c r="C51" s="20" t="n"/>
      <c r="D51" s="21" t="n"/>
      <c r="E51" s="21" t="n"/>
      <c r="F51" s="20">
        <f>IF(C51="","",SUMPRODUCT((Projects!$B$2:$B$100&lt;&gt;"")*--(COUNTIFS(Tasks!$B$2:$B$501,Projects!$B$2:$B$100,Tasks!$E$2:$E$501,C51)&gt;0)))</f>
        <v/>
      </c>
      <c r="G51" s="20">
        <f>IF(C51="","",COUNTIFS(Tasks!$E$2:$E$501,C51,Tasks!$G$2:$G$501,"&lt;&gt;Done",Tasks!$D$2:$D$501,"&lt;&gt;"))</f>
        <v/>
      </c>
      <c r="H51" s="20">
        <f>IF(C51="","",COUNTIFS(Tasks!$E$2:$E$501,C51,Tasks!$G$2:$G$501,"Bug"))</f>
        <v/>
      </c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5" t="n"/>
      <c r="T51" s="15" t="n"/>
      <c r="U51" s="15" t="n"/>
      <c r="V51" s="15" t="n"/>
      <c r="W51" s="15" t="n"/>
      <c r="X51" s="15" t="n"/>
      <c r="Y51" s="15" t="n"/>
      <c r="Z51" s="15" t="n"/>
    </row>
    <row r="52" ht="15.75" customHeight="1" s="18">
      <c r="A52" s="20" t="n"/>
      <c r="B52" s="21" t="n"/>
      <c r="C52" s="20" t="n"/>
      <c r="D52" s="21" t="n"/>
      <c r="E52" s="21" t="n"/>
      <c r="F52" s="20">
        <f>IF(C52="","",SUMPRODUCT((Projects!$B$2:$B$100&lt;&gt;"")*--(COUNTIFS(Tasks!$B$2:$B$501,Projects!$B$2:$B$100,Tasks!$E$2:$E$501,C52)&gt;0)))</f>
        <v/>
      </c>
      <c r="G52" s="20">
        <f>IF(C52="","",COUNTIFS(Tasks!$E$2:$E$501,C52,Tasks!$G$2:$G$501,"&lt;&gt;Done",Tasks!$D$2:$D$501,"&lt;&gt;"))</f>
        <v/>
      </c>
      <c r="H52" s="20">
        <f>IF(C52="","",COUNTIFS(Tasks!$E$2:$E$501,C52,Tasks!$G$2:$G$501,"Bug"))</f>
        <v/>
      </c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5" t="n"/>
      <c r="T52" s="15" t="n"/>
      <c r="U52" s="15" t="n"/>
      <c r="V52" s="15" t="n"/>
      <c r="W52" s="15" t="n"/>
      <c r="X52" s="15" t="n"/>
      <c r="Y52" s="15" t="n"/>
      <c r="Z52" s="15" t="n"/>
    </row>
    <row r="53" ht="15.75" customHeight="1" s="18">
      <c r="A53" s="20" t="n"/>
      <c r="B53" s="21" t="n"/>
      <c r="C53" s="20" t="n"/>
      <c r="D53" s="21" t="n"/>
      <c r="E53" s="21" t="n"/>
      <c r="F53" s="20">
        <f>IF(C53="","",SUMPRODUCT((Projects!$B$2:$B$100&lt;&gt;"")*--(COUNTIFS(Tasks!$B$2:$B$501,Projects!$B$2:$B$100,Tasks!$E$2:$E$501,C53)&gt;0)))</f>
        <v/>
      </c>
      <c r="G53" s="20">
        <f>IF(C53="","",COUNTIFS(Tasks!$E$2:$E$501,C53,Tasks!$G$2:$G$501,"&lt;&gt;Done",Tasks!$D$2:$D$501,"&lt;&gt;"))</f>
        <v/>
      </c>
      <c r="H53" s="20">
        <f>IF(C53="","",COUNTIFS(Tasks!$E$2:$E$501,C53,Tasks!$G$2:$G$501,"Bug"))</f>
        <v/>
      </c>
      <c r="I53" s="15" t="n"/>
      <c r="J53" s="15" t="n"/>
      <c r="K53" s="15" t="n"/>
      <c r="L53" s="15" t="n"/>
      <c r="M53" s="15" t="n"/>
      <c r="N53" s="15" t="n"/>
      <c r="O53" s="15" t="n"/>
      <c r="P53" s="15" t="n"/>
      <c r="Q53" s="15" t="n"/>
      <c r="R53" s="15" t="n"/>
      <c r="S53" s="15" t="n"/>
      <c r="T53" s="15" t="n"/>
      <c r="U53" s="15" t="n"/>
      <c r="V53" s="15" t="n"/>
      <c r="W53" s="15" t="n"/>
      <c r="X53" s="15" t="n"/>
      <c r="Y53" s="15" t="n"/>
      <c r="Z53" s="15" t="n"/>
    </row>
    <row r="54" ht="15.75" customHeight="1" s="18">
      <c r="A54" s="20" t="n"/>
      <c r="B54" s="21" t="n"/>
      <c r="C54" s="20" t="n"/>
      <c r="D54" s="21" t="n"/>
      <c r="E54" s="21" t="n"/>
      <c r="F54" s="20">
        <f>IF(C54="","",SUMPRODUCT((Projects!$B$2:$B$100&lt;&gt;"")*--(COUNTIFS(Tasks!$B$2:$B$501,Projects!$B$2:$B$100,Tasks!$E$2:$E$501,C54)&gt;0)))</f>
        <v/>
      </c>
      <c r="G54" s="20">
        <f>IF(C54="","",COUNTIFS(Tasks!$E$2:$E$501,C54,Tasks!$G$2:$G$501,"&lt;&gt;Done",Tasks!$D$2:$D$501,"&lt;&gt;"))</f>
        <v/>
      </c>
      <c r="H54" s="20">
        <f>IF(C54="","",COUNTIFS(Tasks!$E$2:$E$501,C54,Tasks!$G$2:$G$501,"Bug"))</f>
        <v/>
      </c>
      <c r="I54" s="15" t="n"/>
      <c r="J54" s="15" t="n"/>
      <c r="K54" s="15" t="n"/>
      <c r="L54" s="15" t="n"/>
      <c r="M54" s="15" t="n"/>
      <c r="N54" s="15" t="n"/>
      <c r="O54" s="15" t="n"/>
      <c r="P54" s="15" t="n"/>
      <c r="Q54" s="15" t="n"/>
      <c r="R54" s="15" t="n"/>
      <c r="S54" s="15" t="n"/>
      <c r="T54" s="15" t="n"/>
      <c r="U54" s="15" t="n"/>
      <c r="V54" s="15" t="n"/>
      <c r="W54" s="15" t="n"/>
      <c r="X54" s="15" t="n"/>
      <c r="Y54" s="15" t="n"/>
      <c r="Z54" s="15" t="n"/>
    </row>
    <row r="55" ht="15.75" customHeight="1" s="18">
      <c r="A55" s="20" t="n"/>
      <c r="B55" s="21" t="n"/>
      <c r="C55" s="20" t="n"/>
      <c r="D55" s="21" t="n"/>
      <c r="E55" s="21" t="n"/>
      <c r="F55" s="20">
        <f>IF(C55="","",SUMPRODUCT((Projects!$B$2:$B$100&lt;&gt;"")*--(COUNTIFS(Tasks!$B$2:$B$501,Projects!$B$2:$B$100,Tasks!$E$2:$E$501,C55)&gt;0)))</f>
        <v/>
      </c>
      <c r="G55" s="20">
        <f>IF(C55="","",COUNTIFS(Tasks!$E$2:$E$501,C55,Tasks!$G$2:$G$501,"&lt;&gt;Done",Tasks!$D$2:$D$501,"&lt;&gt;"))</f>
        <v/>
      </c>
      <c r="H55" s="20">
        <f>IF(C55="","",COUNTIFS(Tasks!$E$2:$E$501,C55,Tasks!$G$2:$G$501,"Bug"))</f>
        <v/>
      </c>
      <c r="I55" s="15" t="n"/>
      <c r="J55" s="15" t="n"/>
      <c r="K55" s="15" t="n"/>
      <c r="L55" s="15" t="n"/>
      <c r="M55" s="15" t="n"/>
      <c r="N55" s="15" t="n"/>
      <c r="O55" s="15" t="n"/>
      <c r="P55" s="15" t="n"/>
      <c r="Q55" s="15" t="n"/>
      <c r="R55" s="15" t="n"/>
      <c r="S55" s="15" t="n"/>
      <c r="T55" s="15" t="n"/>
      <c r="U55" s="15" t="n"/>
      <c r="V55" s="15" t="n"/>
      <c r="W55" s="15" t="n"/>
      <c r="X55" s="15" t="n"/>
      <c r="Y55" s="15" t="n"/>
      <c r="Z55" s="15" t="n"/>
    </row>
    <row r="56" ht="15.75" customHeight="1" s="18">
      <c r="A56" s="20" t="n"/>
      <c r="B56" s="21" t="n"/>
      <c r="C56" s="20" t="n"/>
      <c r="D56" s="21" t="n"/>
      <c r="E56" s="21" t="n"/>
      <c r="F56" s="20">
        <f>IF(C56="","",SUMPRODUCT((Projects!$B$2:$B$100&lt;&gt;"")*--(COUNTIFS(Tasks!$B$2:$B$501,Projects!$B$2:$B$100,Tasks!$E$2:$E$501,C56)&gt;0)))</f>
        <v/>
      </c>
      <c r="G56" s="20">
        <f>IF(C56="","",COUNTIFS(Tasks!$E$2:$E$501,C56,Tasks!$G$2:$G$501,"&lt;&gt;Done",Tasks!$D$2:$D$501,"&lt;&gt;"))</f>
        <v/>
      </c>
      <c r="H56" s="20">
        <f>IF(C56="","",COUNTIFS(Tasks!$E$2:$E$501,C56,Tasks!$G$2:$G$501,"Bug"))</f>
        <v/>
      </c>
      <c r="I56" s="15" t="n"/>
      <c r="J56" s="15" t="n"/>
      <c r="K56" s="15" t="n"/>
      <c r="L56" s="15" t="n"/>
      <c r="M56" s="15" t="n"/>
      <c r="N56" s="15" t="n"/>
      <c r="O56" s="15" t="n"/>
      <c r="P56" s="15" t="n"/>
      <c r="Q56" s="15" t="n"/>
      <c r="R56" s="15" t="n"/>
      <c r="S56" s="15" t="n"/>
      <c r="T56" s="15" t="n"/>
      <c r="U56" s="15" t="n"/>
      <c r="V56" s="15" t="n"/>
      <c r="W56" s="15" t="n"/>
      <c r="X56" s="15" t="n"/>
      <c r="Y56" s="15" t="n"/>
      <c r="Z56" s="15" t="n"/>
    </row>
    <row r="57" ht="15.75" customHeight="1" s="18">
      <c r="A57" s="20" t="n"/>
      <c r="B57" s="21" t="n"/>
      <c r="C57" s="20" t="n"/>
      <c r="D57" s="21" t="n"/>
      <c r="E57" s="21" t="n"/>
      <c r="F57" s="20">
        <f>IF(C57="","",SUMPRODUCT((Projects!$B$2:$B$100&lt;&gt;"")*--(COUNTIFS(Tasks!$B$2:$B$501,Projects!$B$2:$B$100,Tasks!$E$2:$E$501,C57)&gt;0)))</f>
        <v/>
      </c>
      <c r="G57" s="20">
        <f>IF(C57="","",COUNTIFS(Tasks!$E$2:$E$501,C57,Tasks!$G$2:$G$501,"&lt;&gt;Done",Tasks!$D$2:$D$501,"&lt;&gt;"))</f>
        <v/>
      </c>
      <c r="H57" s="20">
        <f>IF(C57="","",COUNTIFS(Tasks!$E$2:$E$501,C57,Tasks!$G$2:$G$501,"Bug"))</f>
        <v/>
      </c>
      <c r="I57" s="15" t="n"/>
      <c r="J57" s="15" t="n"/>
      <c r="K57" s="15" t="n"/>
      <c r="L57" s="15" t="n"/>
      <c r="M57" s="15" t="n"/>
      <c r="N57" s="15" t="n"/>
      <c r="O57" s="15" t="n"/>
      <c r="P57" s="15" t="n"/>
      <c r="Q57" s="15" t="n"/>
      <c r="R57" s="15" t="n"/>
      <c r="S57" s="15" t="n"/>
      <c r="T57" s="15" t="n"/>
      <c r="U57" s="15" t="n"/>
      <c r="V57" s="15" t="n"/>
      <c r="W57" s="15" t="n"/>
      <c r="X57" s="15" t="n"/>
      <c r="Y57" s="15" t="n"/>
      <c r="Z57" s="15" t="n"/>
    </row>
    <row r="58" ht="15.75" customHeight="1" s="18">
      <c r="A58" s="20" t="n"/>
      <c r="B58" s="21" t="n"/>
      <c r="C58" s="20" t="n"/>
      <c r="D58" s="21" t="n"/>
      <c r="E58" s="21" t="n"/>
      <c r="F58" s="20">
        <f>IF(C58="","",SUMPRODUCT((Projects!$B$2:$B$100&lt;&gt;"")*--(COUNTIFS(Tasks!$B$2:$B$501,Projects!$B$2:$B$100,Tasks!$E$2:$E$501,C58)&gt;0)))</f>
        <v/>
      </c>
      <c r="G58" s="20">
        <f>IF(C58="","",COUNTIFS(Tasks!$E$2:$E$501,C58,Tasks!$G$2:$G$501,"&lt;&gt;Done",Tasks!$D$2:$D$501,"&lt;&gt;"))</f>
        <v/>
      </c>
      <c r="H58" s="20">
        <f>IF(C58="","",COUNTIFS(Tasks!$E$2:$E$501,C58,Tasks!$G$2:$G$501,"Bug"))</f>
        <v/>
      </c>
      <c r="I58" s="15" t="n"/>
      <c r="J58" s="15" t="n"/>
      <c r="K58" s="15" t="n"/>
      <c r="L58" s="15" t="n"/>
      <c r="M58" s="15" t="n"/>
      <c r="N58" s="15" t="n"/>
      <c r="O58" s="15" t="n"/>
      <c r="P58" s="15" t="n"/>
      <c r="Q58" s="15" t="n"/>
      <c r="R58" s="15" t="n"/>
      <c r="S58" s="15" t="n"/>
      <c r="T58" s="15" t="n"/>
      <c r="U58" s="15" t="n"/>
      <c r="V58" s="15" t="n"/>
      <c r="W58" s="15" t="n"/>
      <c r="X58" s="15" t="n"/>
      <c r="Y58" s="15" t="n"/>
      <c r="Z58" s="15" t="n"/>
    </row>
    <row r="59" ht="15.75" customHeight="1" s="18">
      <c r="A59" s="20" t="n"/>
      <c r="B59" s="21" t="n"/>
      <c r="C59" s="20" t="n"/>
      <c r="D59" s="21" t="n"/>
      <c r="E59" s="21" t="n"/>
      <c r="F59" s="20">
        <f>IF(C59="","",SUMPRODUCT((Projects!$B$2:$B$100&lt;&gt;"")*--(COUNTIFS(Tasks!$B$2:$B$501,Projects!$B$2:$B$100,Tasks!$E$2:$E$501,C59)&gt;0)))</f>
        <v/>
      </c>
      <c r="G59" s="20">
        <f>IF(C59="","",COUNTIFS(Tasks!$E$2:$E$501,C59,Tasks!$G$2:$G$501,"&lt;&gt;Done",Tasks!$D$2:$D$501,"&lt;&gt;"))</f>
        <v/>
      </c>
      <c r="H59" s="20">
        <f>IF(C59="","",COUNTIFS(Tasks!$E$2:$E$501,C59,Tasks!$G$2:$G$501,"Bug"))</f>
        <v/>
      </c>
      <c r="I59" s="15" t="n"/>
      <c r="J59" s="15" t="n"/>
      <c r="K59" s="15" t="n"/>
      <c r="L59" s="15" t="n"/>
      <c r="M59" s="15" t="n"/>
      <c r="N59" s="15" t="n"/>
      <c r="O59" s="15" t="n"/>
      <c r="P59" s="15" t="n"/>
      <c r="Q59" s="15" t="n"/>
      <c r="R59" s="15" t="n"/>
      <c r="S59" s="15" t="n"/>
      <c r="T59" s="15" t="n"/>
      <c r="U59" s="15" t="n"/>
      <c r="V59" s="15" t="n"/>
      <c r="W59" s="15" t="n"/>
      <c r="X59" s="15" t="n"/>
      <c r="Y59" s="15" t="n"/>
      <c r="Z59" s="15" t="n"/>
    </row>
    <row r="60" ht="15.75" customHeight="1" s="18">
      <c r="A60" s="20" t="n"/>
      <c r="B60" s="21" t="n"/>
      <c r="C60" s="20" t="n"/>
      <c r="D60" s="21" t="n"/>
      <c r="E60" s="21" t="n"/>
      <c r="F60" s="20">
        <f>IF(C60="","",SUMPRODUCT((Projects!$B$2:$B$100&lt;&gt;"")*--(COUNTIFS(Tasks!$B$2:$B$501,Projects!$B$2:$B$100,Tasks!$E$2:$E$501,C60)&gt;0)))</f>
        <v/>
      </c>
      <c r="G60" s="20">
        <f>IF(C60="","",COUNTIFS(Tasks!$E$2:$E$501,C60,Tasks!$G$2:$G$501,"&lt;&gt;Done",Tasks!$D$2:$D$501,"&lt;&gt;"))</f>
        <v/>
      </c>
      <c r="H60" s="20">
        <f>IF(C60="","",COUNTIFS(Tasks!$E$2:$E$501,C60,Tasks!$G$2:$G$501,"Bug"))</f>
        <v/>
      </c>
      <c r="I60" s="15" t="n"/>
      <c r="J60" s="15" t="n"/>
      <c r="K60" s="15" t="n"/>
      <c r="L60" s="15" t="n"/>
      <c r="M60" s="15" t="n"/>
      <c r="N60" s="15" t="n"/>
      <c r="O60" s="15" t="n"/>
      <c r="P60" s="15" t="n"/>
      <c r="Q60" s="15" t="n"/>
      <c r="R60" s="15" t="n"/>
      <c r="S60" s="15" t="n"/>
      <c r="T60" s="15" t="n"/>
      <c r="U60" s="15" t="n"/>
      <c r="V60" s="15" t="n"/>
      <c r="W60" s="15" t="n"/>
      <c r="X60" s="15" t="n"/>
      <c r="Y60" s="15" t="n"/>
      <c r="Z60" s="15" t="n"/>
    </row>
    <row r="61" ht="15.75" customHeight="1" s="18">
      <c r="A61" s="20" t="n"/>
      <c r="B61" s="21" t="n"/>
      <c r="C61" s="20" t="n"/>
      <c r="D61" s="21" t="n"/>
      <c r="E61" s="21" t="n"/>
      <c r="F61" s="20">
        <f>IF(C61="","",SUMPRODUCT((Projects!$B$2:$B$100&lt;&gt;"")*--(COUNTIFS(Tasks!$B$2:$B$501,Projects!$B$2:$B$100,Tasks!$E$2:$E$501,C61)&gt;0)))</f>
        <v/>
      </c>
      <c r="G61" s="20">
        <f>IF(C61="","",COUNTIFS(Tasks!$E$2:$E$501,C61,Tasks!$G$2:$G$501,"&lt;&gt;Done",Tasks!$D$2:$D$501,"&lt;&gt;"))</f>
        <v/>
      </c>
      <c r="H61" s="20">
        <f>IF(C61="","",COUNTIFS(Tasks!$E$2:$E$501,C61,Tasks!$G$2:$G$501,"Bug"))</f>
        <v/>
      </c>
      <c r="I61" s="15" t="n"/>
      <c r="J61" s="15" t="n"/>
      <c r="K61" s="15" t="n"/>
      <c r="L61" s="15" t="n"/>
      <c r="M61" s="15" t="n"/>
      <c r="N61" s="15" t="n"/>
      <c r="O61" s="15" t="n"/>
      <c r="P61" s="15" t="n"/>
      <c r="Q61" s="15" t="n"/>
      <c r="R61" s="15" t="n"/>
      <c r="S61" s="15" t="n"/>
      <c r="T61" s="15" t="n"/>
      <c r="U61" s="15" t="n"/>
      <c r="V61" s="15" t="n"/>
      <c r="W61" s="15" t="n"/>
      <c r="X61" s="15" t="n"/>
      <c r="Y61" s="15" t="n"/>
      <c r="Z61" s="15" t="n"/>
    </row>
    <row r="62" ht="15.75" customHeight="1" s="18">
      <c r="A62" s="20" t="n"/>
      <c r="B62" s="21" t="n"/>
      <c r="C62" s="20" t="n"/>
      <c r="D62" s="21" t="n"/>
      <c r="E62" s="21" t="n"/>
      <c r="F62" s="20">
        <f>IF(C62="","",SUMPRODUCT((Projects!$B$2:$B$100&lt;&gt;"")*--(COUNTIFS(Tasks!$B$2:$B$501,Projects!$B$2:$B$100,Tasks!$E$2:$E$501,C62)&gt;0)))</f>
        <v/>
      </c>
      <c r="G62" s="20">
        <f>IF(C62="","",COUNTIFS(Tasks!$E$2:$E$501,C62,Tasks!$G$2:$G$501,"&lt;&gt;Done",Tasks!$D$2:$D$501,"&lt;&gt;"))</f>
        <v/>
      </c>
      <c r="H62" s="20">
        <f>IF(C62="","",COUNTIFS(Tasks!$E$2:$E$501,C62,Tasks!$G$2:$G$501,"Bug"))</f>
        <v/>
      </c>
      <c r="I62" s="15" t="n"/>
      <c r="J62" s="15" t="n"/>
      <c r="K62" s="15" t="n"/>
      <c r="L62" s="15" t="n"/>
      <c r="M62" s="15" t="n"/>
      <c r="N62" s="15" t="n"/>
      <c r="O62" s="15" t="n"/>
      <c r="P62" s="15" t="n"/>
      <c r="Q62" s="15" t="n"/>
      <c r="R62" s="15" t="n"/>
      <c r="S62" s="15" t="n"/>
      <c r="T62" s="15" t="n"/>
      <c r="U62" s="15" t="n"/>
      <c r="V62" s="15" t="n"/>
      <c r="W62" s="15" t="n"/>
      <c r="X62" s="15" t="n"/>
      <c r="Y62" s="15" t="n"/>
      <c r="Z62" s="15" t="n"/>
    </row>
    <row r="63" ht="15.75" customHeight="1" s="18">
      <c r="A63" s="20" t="n"/>
      <c r="B63" s="21" t="n"/>
      <c r="C63" s="20" t="n"/>
      <c r="D63" s="21" t="n"/>
      <c r="E63" s="21" t="n"/>
      <c r="F63" s="20">
        <f>IF(C63="","",SUMPRODUCT((Projects!$B$2:$B$100&lt;&gt;"")*--(COUNTIFS(Tasks!$B$2:$B$501,Projects!$B$2:$B$100,Tasks!$E$2:$E$501,C63)&gt;0)))</f>
        <v/>
      </c>
      <c r="G63" s="20">
        <f>IF(C63="","",COUNTIFS(Tasks!$E$2:$E$501,C63,Tasks!$G$2:$G$501,"&lt;&gt;Done",Tasks!$D$2:$D$501,"&lt;&gt;"))</f>
        <v/>
      </c>
      <c r="H63" s="20">
        <f>IF(C63="","",COUNTIFS(Tasks!$E$2:$E$501,C63,Tasks!$G$2:$G$501,"Bug"))</f>
        <v/>
      </c>
      <c r="I63" s="15" t="n"/>
      <c r="J63" s="15" t="n"/>
      <c r="K63" s="15" t="n"/>
      <c r="L63" s="15" t="n"/>
      <c r="M63" s="15" t="n"/>
      <c r="N63" s="15" t="n"/>
      <c r="O63" s="15" t="n"/>
      <c r="P63" s="15" t="n"/>
      <c r="Q63" s="15" t="n"/>
      <c r="R63" s="15" t="n"/>
      <c r="S63" s="15" t="n"/>
      <c r="T63" s="15" t="n"/>
      <c r="U63" s="15" t="n"/>
      <c r="V63" s="15" t="n"/>
      <c r="W63" s="15" t="n"/>
      <c r="X63" s="15" t="n"/>
      <c r="Y63" s="15" t="n"/>
      <c r="Z63" s="15" t="n"/>
    </row>
    <row r="64" ht="15.75" customHeight="1" s="18">
      <c r="A64" s="20" t="n"/>
      <c r="B64" s="21" t="n"/>
      <c r="C64" s="20" t="n"/>
      <c r="D64" s="21" t="n"/>
      <c r="E64" s="21" t="n"/>
      <c r="F64" s="20">
        <f>IF(C64="","",SUMPRODUCT((Projects!$B$2:$B$100&lt;&gt;"")*--(COUNTIFS(Tasks!$B$2:$B$501,Projects!$B$2:$B$100,Tasks!$E$2:$E$501,C64)&gt;0)))</f>
        <v/>
      </c>
      <c r="G64" s="20">
        <f>IF(C64="","",COUNTIFS(Tasks!$E$2:$E$501,C64,Tasks!$G$2:$G$501,"&lt;&gt;Done",Tasks!$D$2:$D$501,"&lt;&gt;"))</f>
        <v/>
      </c>
      <c r="H64" s="20">
        <f>IF(C64="","",COUNTIFS(Tasks!$E$2:$E$501,C64,Tasks!$G$2:$G$501,"Bug"))</f>
        <v/>
      </c>
      <c r="I64" s="15" t="n"/>
      <c r="J64" s="15" t="n"/>
      <c r="K64" s="15" t="n"/>
      <c r="L64" s="15" t="n"/>
      <c r="M64" s="15" t="n"/>
      <c r="N64" s="15" t="n"/>
      <c r="O64" s="15" t="n"/>
      <c r="P64" s="15" t="n"/>
      <c r="Q64" s="15" t="n"/>
      <c r="R64" s="15" t="n"/>
      <c r="S64" s="15" t="n"/>
      <c r="T64" s="15" t="n"/>
      <c r="U64" s="15" t="n"/>
      <c r="V64" s="15" t="n"/>
      <c r="W64" s="15" t="n"/>
      <c r="X64" s="15" t="n"/>
      <c r="Y64" s="15" t="n"/>
      <c r="Z64" s="15" t="n"/>
    </row>
    <row r="65" ht="15.75" customHeight="1" s="18">
      <c r="A65" s="20" t="n"/>
      <c r="B65" s="21" t="n"/>
      <c r="C65" s="20" t="n"/>
      <c r="D65" s="21" t="n"/>
      <c r="E65" s="21" t="n"/>
      <c r="F65" s="20">
        <f>IF(C65="","",SUMPRODUCT((Projects!$B$2:$B$100&lt;&gt;"")*--(COUNTIFS(Tasks!$B$2:$B$501,Projects!$B$2:$B$100,Tasks!$E$2:$E$501,C65)&gt;0)))</f>
        <v/>
      </c>
      <c r="G65" s="20">
        <f>IF(C65="","",COUNTIFS(Tasks!$E$2:$E$501,C65,Tasks!$G$2:$G$501,"&lt;&gt;Done",Tasks!$D$2:$D$501,"&lt;&gt;"))</f>
        <v/>
      </c>
      <c r="H65" s="20">
        <f>IF(C65="","",COUNTIFS(Tasks!$E$2:$E$501,C65,Tasks!$G$2:$G$501,"Bug"))</f>
        <v/>
      </c>
      <c r="I65" s="15" t="n"/>
      <c r="J65" s="15" t="n"/>
      <c r="K65" s="15" t="n"/>
      <c r="L65" s="15" t="n"/>
      <c r="M65" s="15" t="n"/>
      <c r="N65" s="15" t="n"/>
      <c r="O65" s="15" t="n"/>
      <c r="P65" s="15" t="n"/>
      <c r="Q65" s="15" t="n"/>
      <c r="R65" s="15" t="n"/>
      <c r="S65" s="15" t="n"/>
      <c r="T65" s="15" t="n"/>
      <c r="U65" s="15" t="n"/>
      <c r="V65" s="15" t="n"/>
      <c r="W65" s="15" t="n"/>
      <c r="X65" s="15" t="n"/>
      <c r="Y65" s="15" t="n"/>
      <c r="Z65" s="15" t="n"/>
    </row>
    <row r="66" ht="15.75" customHeight="1" s="18">
      <c r="A66" s="20" t="n"/>
      <c r="B66" s="21" t="n"/>
      <c r="C66" s="20" t="n"/>
      <c r="D66" s="21" t="n"/>
      <c r="E66" s="21" t="n"/>
      <c r="F66" s="20">
        <f>IF(C66="","",SUMPRODUCT((Projects!$B$2:$B$100&lt;&gt;"")*--(COUNTIFS(Tasks!$B$2:$B$501,Projects!$B$2:$B$100,Tasks!$E$2:$E$501,C66)&gt;0)))</f>
        <v/>
      </c>
      <c r="G66" s="20">
        <f>IF(C66="","",COUNTIFS(Tasks!$E$2:$E$501,C66,Tasks!$G$2:$G$501,"&lt;&gt;Done",Tasks!$D$2:$D$501,"&lt;&gt;"))</f>
        <v/>
      </c>
      <c r="H66" s="20">
        <f>IF(C66="","",COUNTIFS(Tasks!$E$2:$E$501,C66,Tasks!$G$2:$G$501,"Bug"))</f>
        <v/>
      </c>
      <c r="I66" s="15" t="n"/>
      <c r="J66" s="15" t="n"/>
      <c r="K66" s="15" t="n"/>
      <c r="L66" s="15" t="n"/>
      <c r="M66" s="15" t="n"/>
      <c r="N66" s="15" t="n"/>
      <c r="O66" s="15" t="n"/>
      <c r="P66" s="15" t="n"/>
      <c r="Q66" s="15" t="n"/>
      <c r="R66" s="15" t="n"/>
      <c r="S66" s="15" t="n"/>
      <c r="T66" s="15" t="n"/>
      <c r="U66" s="15" t="n"/>
      <c r="V66" s="15" t="n"/>
      <c r="W66" s="15" t="n"/>
      <c r="X66" s="15" t="n"/>
      <c r="Y66" s="15" t="n"/>
      <c r="Z66" s="15" t="n"/>
    </row>
    <row r="67" ht="15.75" customHeight="1" s="18">
      <c r="A67" s="20" t="n"/>
      <c r="B67" s="21" t="n"/>
      <c r="C67" s="20" t="n"/>
      <c r="D67" s="21" t="n"/>
      <c r="E67" s="21" t="n"/>
      <c r="F67" s="20">
        <f>IF(C67="","",SUMPRODUCT((Projects!$B$2:$B$100&lt;&gt;"")*--(COUNTIFS(Tasks!$B$2:$B$501,Projects!$B$2:$B$100,Tasks!$E$2:$E$501,C67)&gt;0)))</f>
        <v/>
      </c>
      <c r="G67" s="20">
        <f>IF(C67="","",COUNTIFS(Tasks!$E$2:$E$501,C67,Tasks!$G$2:$G$501,"&lt;&gt;Done",Tasks!$D$2:$D$501,"&lt;&gt;"))</f>
        <v/>
      </c>
      <c r="H67" s="20">
        <f>IF(C67="","",COUNTIFS(Tasks!$E$2:$E$501,C67,Tasks!$G$2:$G$501,"Bug"))</f>
        <v/>
      </c>
      <c r="I67" s="15" t="n"/>
      <c r="J67" s="15" t="n"/>
      <c r="K67" s="15" t="n"/>
      <c r="L67" s="15" t="n"/>
      <c r="M67" s="15" t="n"/>
      <c r="N67" s="15" t="n"/>
      <c r="O67" s="15" t="n"/>
      <c r="P67" s="15" t="n"/>
      <c r="Q67" s="15" t="n"/>
      <c r="R67" s="15" t="n"/>
      <c r="S67" s="15" t="n"/>
      <c r="T67" s="15" t="n"/>
      <c r="U67" s="15" t="n"/>
      <c r="V67" s="15" t="n"/>
      <c r="W67" s="15" t="n"/>
      <c r="X67" s="15" t="n"/>
      <c r="Y67" s="15" t="n"/>
      <c r="Z67" s="15" t="n"/>
    </row>
    <row r="68" ht="15.75" customHeight="1" s="18">
      <c r="A68" s="20" t="n"/>
      <c r="B68" s="21" t="n"/>
      <c r="C68" s="20" t="n"/>
      <c r="D68" s="21" t="n"/>
      <c r="E68" s="21" t="n"/>
      <c r="F68" s="20">
        <f>IF(C68="","",SUMPRODUCT((Projects!$B$2:$B$100&lt;&gt;"")*--(COUNTIFS(Tasks!$B$2:$B$501,Projects!$B$2:$B$100,Tasks!$E$2:$E$501,C68)&gt;0)))</f>
        <v/>
      </c>
      <c r="G68" s="20">
        <f>IF(C68="","",COUNTIFS(Tasks!$E$2:$E$501,C68,Tasks!$G$2:$G$501,"&lt;&gt;Done",Tasks!$D$2:$D$501,"&lt;&gt;"))</f>
        <v/>
      </c>
      <c r="H68" s="20">
        <f>IF(C68="","",COUNTIFS(Tasks!$E$2:$E$501,C68,Tasks!$G$2:$G$501,"Bug"))</f>
        <v/>
      </c>
      <c r="I68" s="15" t="n"/>
      <c r="J68" s="15" t="n"/>
      <c r="K68" s="15" t="n"/>
      <c r="L68" s="15" t="n"/>
      <c r="M68" s="15" t="n"/>
      <c r="N68" s="15" t="n"/>
      <c r="O68" s="15" t="n"/>
      <c r="P68" s="15" t="n"/>
      <c r="Q68" s="15" t="n"/>
      <c r="R68" s="15" t="n"/>
      <c r="S68" s="15" t="n"/>
      <c r="T68" s="15" t="n"/>
      <c r="U68" s="15" t="n"/>
      <c r="V68" s="15" t="n"/>
      <c r="W68" s="15" t="n"/>
      <c r="X68" s="15" t="n"/>
      <c r="Y68" s="15" t="n"/>
      <c r="Z68" s="15" t="n"/>
    </row>
    <row r="69" ht="15.75" customHeight="1" s="18">
      <c r="A69" s="20" t="n"/>
      <c r="B69" s="21" t="n"/>
      <c r="C69" s="20" t="n"/>
      <c r="D69" s="21" t="n"/>
      <c r="E69" s="21" t="n"/>
      <c r="F69" s="20">
        <f>IF(C69="","",SUMPRODUCT((Projects!$B$2:$B$100&lt;&gt;"")*--(COUNTIFS(Tasks!$B$2:$B$501,Projects!$B$2:$B$100,Tasks!$E$2:$E$501,C69)&gt;0)))</f>
        <v/>
      </c>
      <c r="G69" s="20">
        <f>IF(C69="","",COUNTIFS(Tasks!$E$2:$E$501,C69,Tasks!$G$2:$G$501,"&lt;&gt;Done",Tasks!$D$2:$D$501,"&lt;&gt;"))</f>
        <v/>
      </c>
      <c r="H69" s="20">
        <f>IF(C69="","",COUNTIFS(Tasks!$E$2:$E$501,C69,Tasks!$G$2:$G$501,"Bug"))</f>
        <v/>
      </c>
      <c r="I69" s="15" t="n"/>
      <c r="J69" s="15" t="n"/>
      <c r="K69" s="15" t="n"/>
      <c r="L69" s="15" t="n"/>
      <c r="M69" s="15" t="n"/>
      <c r="N69" s="15" t="n"/>
      <c r="O69" s="15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5" t="n"/>
      <c r="Y69" s="15" t="n"/>
      <c r="Z69" s="15" t="n"/>
    </row>
    <row r="70" ht="15.75" customHeight="1" s="18">
      <c r="A70" s="20" t="n"/>
      <c r="B70" s="21" t="n"/>
      <c r="C70" s="20" t="n"/>
      <c r="D70" s="21" t="n"/>
      <c r="E70" s="21" t="n"/>
      <c r="F70" s="20">
        <f>IF(C70="","",SUMPRODUCT((Projects!$B$2:$B$100&lt;&gt;"")*--(COUNTIFS(Tasks!$B$2:$B$501,Projects!$B$2:$B$100,Tasks!$E$2:$E$501,C70)&gt;0)))</f>
        <v/>
      </c>
      <c r="G70" s="20">
        <f>IF(C70="","",COUNTIFS(Tasks!$E$2:$E$501,C70,Tasks!$G$2:$G$501,"&lt;&gt;Done",Tasks!$D$2:$D$501,"&lt;&gt;"))</f>
        <v/>
      </c>
      <c r="H70" s="20">
        <f>IF(C70="","",COUNTIFS(Tasks!$E$2:$E$501,C70,Tasks!$G$2:$G$501,"Bug"))</f>
        <v/>
      </c>
      <c r="I70" s="15" t="n"/>
      <c r="J70" s="15" t="n"/>
      <c r="K70" s="15" t="n"/>
      <c r="L70" s="15" t="n"/>
      <c r="M70" s="15" t="n"/>
      <c r="N70" s="15" t="n"/>
      <c r="O70" s="15" t="n"/>
      <c r="P70" s="15" t="n"/>
      <c r="Q70" s="15" t="n"/>
      <c r="R70" s="15" t="n"/>
      <c r="S70" s="15" t="n"/>
      <c r="T70" s="15" t="n"/>
      <c r="U70" s="15" t="n"/>
      <c r="V70" s="15" t="n"/>
      <c r="W70" s="15" t="n"/>
      <c r="X70" s="15" t="n"/>
      <c r="Y70" s="15" t="n"/>
      <c r="Z70" s="15" t="n"/>
    </row>
    <row r="71" ht="15.75" customHeight="1" s="18">
      <c r="A71" s="20" t="n"/>
      <c r="B71" s="21" t="n"/>
      <c r="C71" s="20" t="n"/>
      <c r="D71" s="21" t="n"/>
      <c r="E71" s="21" t="n"/>
      <c r="F71" s="20">
        <f>IF(C71="","",SUMPRODUCT((Projects!$B$2:$B$100&lt;&gt;"")*--(COUNTIFS(Tasks!$B$2:$B$501,Projects!$B$2:$B$100,Tasks!$E$2:$E$501,C71)&gt;0)))</f>
        <v/>
      </c>
      <c r="G71" s="20">
        <f>IF(C71="","",COUNTIFS(Tasks!$E$2:$E$501,C71,Tasks!$G$2:$G$501,"&lt;&gt;Done",Tasks!$D$2:$D$501,"&lt;&gt;"))</f>
        <v/>
      </c>
      <c r="H71" s="20">
        <f>IF(C71="","",COUNTIFS(Tasks!$E$2:$E$501,C71,Tasks!$G$2:$G$501,"Bug"))</f>
        <v/>
      </c>
      <c r="I71" s="15" t="n"/>
      <c r="J71" s="15" t="n"/>
      <c r="K71" s="15" t="n"/>
      <c r="L71" s="15" t="n"/>
      <c r="M71" s="15" t="n"/>
      <c r="N71" s="15" t="n"/>
      <c r="O71" s="15" t="n"/>
      <c r="P71" s="15" t="n"/>
      <c r="Q71" s="15" t="n"/>
      <c r="R71" s="15" t="n"/>
      <c r="S71" s="15" t="n"/>
      <c r="T71" s="15" t="n"/>
      <c r="U71" s="15" t="n"/>
      <c r="V71" s="15" t="n"/>
      <c r="W71" s="15" t="n"/>
      <c r="X71" s="15" t="n"/>
      <c r="Y71" s="15" t="n"/>
      <c r="Z71" s="15" t="n"/>
    </row>
    <row r="72" ht="15.75" customHeight="1" s="18">
      <c r="A72" s="20" t="n"/>
      <c r="B72" s="21" t="n"/>
      <c r="C72" s="20" t="n"/>
      <c r="D72" s="21" t="n"/>
      <c r="E72" s="21" t="n"/>
      <c r="F72" s="20">
        <f>IF(C72="","",SUMPRODUCT((Projects!$B$2:$B$100&lt;&gt;"")*--(COUNTIFS(Tasks!$B$2:$B$501,Projects!$B$2:$B$100,Tasks!$E$2:$E$501,C72)&gt;0)))</f>
        <v/>
      </c>
      <c r="G72" s="20">
        <f>IF(C72="","",COUNTIFS(Tasks!$E$2:$E$501,C72,Tasks!$G$2:$G$501,"&lt;&gt;Done",Tasks!$D$2:$D$501,"&lt;&gt;"))</f>
        <v/>
      </c>
      <c r="H72" s="20">
        <f>IF(C72="","",COUNTIFS(Tasks!$E$2:$E$501,C72,Tasks!$G$2:$G$501,"Bug"))</f>
        <v/>
      </c>
      <c r="I72" s="15" t="n"/>
      <c r="J72" s="15" t="n"/>
      <c r="K72" s="15" t="n"/>
      <c r="L72" s="15" t="n"/>
      <c r="M72" s="15" t="n"/>
      <c r="N72" s="15" t="n"/>
      <c r="O72" s="15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 t="n"/>
      <c r="Y72" s="15" t="n"/>
      <c r="Z72" s="15" t="n"/>
    </row>
    <row r="73" ht="15.75" customHeight="1" s="18">
      <c r="A73" s="20" t="n"/>
      <c r="B73" s="21" t="n"/>
      <c r="C73" s="20" t="n"/>
      <c r="D73" s="21" t="n"/>
      <c r="E73" s="21" t="n"/>
      <c r="F73" s="20">
        <f>IF(C73="","",SUMPRODUCT((Projects!$B$2:$B$100&lt;&gt;"")*--(COUNTIFS(Tasks!$B$2:$B$501,Projects!$B$2:$B$100,Tasks!$E$2:$E$501,C73)&gt;0)))</f>
        <v/>
      </c>
      <c r="G73" s="20">
        <f>IF(C73="","",COUNTIFS(Tasks!$E$2:$E$501,C73,Tasks!$G$2:$G$501,"&lt;&gt;Done",Tasks!$D$2:$D$501,"&lt;&gt;"))</f>
        <v/>
      </c>
      <c r="H73" s="20">
        <f>IF(C73="","",COUNTIFS(Tasks!$E$2:$E$501,C73,Tasks!$G$2:$G$501,"Bug"))</f>
        <v/>
      </c>
      <c r="I73" s="15" t="n"/>
      <c r="J73" s="15" t="n"/>
      <c r="K73" s="15" t="n"/>
      <c r="L73" s="15" t="n"/>
      <c r="M73" s="15" t="n"/>
      <c r="N73" s="15" t="n"/>
      <c r="O73" s="15" t="n"/>
      <c r="P73" s="15" t="n"/>
      <c r="Q73" s="15" t="n"/>
      <c r="R73" s="15" t="n"/>
      <c r="S73" s="15" t="n"/>
      <c r="T73" s="15" t="n"/>
      <c r="U73" s="15" t="n"/>
      <c r="V73" s="15" t="n"/>
      <c r="W73" s="15" t="n"/>
      <c r="X73" s="15" t="n"/>
      <c r="Y73" s="15" t="n"/>
      <c r="Z73" s="15" t="n"/>
    </row>
    <row r="74" ht="15.75" customHeight="1" s="18">
      <c r="A74" s="20" t="n"/>
      <c r="B74" s="21" t="n"/>
      <c r="C74" s="20" t="n"/>
      <c r="D74" s="21" t="n"/>
      <c r="E74" s="21" t="n"/>
      <c r="F74" s="20">
        <f>IF(C74="","",SUMPRODUCT((Projects!$B$2:$B$100&lt;&gt;"")*--(COUNTIFS(Tasks!$B$2:$B$501,Projects!$B$2:$B$100,Tasks!$E$2:$E$501,C74)&gt;0)))</f>
        <v/>
      </c>
      <c r="G74" s="20">
        <f>IF(C74="","",COUNTIFS(Tasks!$E$2:$E$501,C74,Tasks!$G$2:$G$501,"&lt;&gt;Done",Tasks!$D$2:$D$501,"&lt;&gt;"))</f>
        <v/>
      </c>
      <c r="H74" s="20">
        <f>IF(C74="","",COUNTIFS(Tasks!$E$2:$E$501,C74,Tasks!$G$2:$G$501,"Bug"))</f>
        <v/>
      </c>
      <c r="I74" s="15" t="n"/>
      <c r="J74" s="15" t="n"/>
      <c r="K74" s="15" t="n"/>
      <c r="L74" s="15" t="n"/>
      <c r="M74" s="15" t="n"/>
      <c r="N74" s="15" t="n"/>
      <c r="O74" s="15" t="n"/>
      <c r="P74" s="15" t="n"/>
      <c r="Q74" s="15" t="n"/>
      <c r="R74" s="15" t="n"/>
      <c r="S74" s="15" t="n"/>
      <c r="T74" s="15" t="n"/>
      <c r="U74" s="15" t="n"/>
      <c r="V74" s="15" t="n"/>
      <c r="W74" s="15" t="n"/>
      <c r="X74" s="15" t="n"/>
      <c r="Y74" s="15" t="n"/>
      <c r="Z74" s="15" t="n"/>
    </row>
    <row r="75" ht="15.75" customHeight="1" s="18">
      <c r="A75" s="20" t="n"/>
      <c r="B75" s="21" t="n"/>
      <c r="C75" s="20" t="n"/>
      <c r="D75" s="21" t="n"/>
      <c r="E75" s="21" t="n"/>
      <c r="F75" s="20">
        <f>IF(C75="","",SUMPRODUCT((Projects!$B$2:$B$100&lt;&gt;"")*--(COUNTIFS(Tasks!$B$2:$B$501,Projects!$B$2:$B$100,Tasks!$E$2:$E$501,C75)&gt;0)))</f>
        <v/>
      </c>
      <c r="G75" s="20">
        <f>IF(C75="","",COUNTIFS(Tasks!$E$2:$E$501,C75,Tasks!$G$2:$G$501,"&lt;&gt;Done",Tasks!$D$2:$D$501,"&lt;&gt;"))</f>
        <v/>
      </c>
      <c r="H75" s="20">
        <f>IF(C75="","",COUNTIFS(Tasks!$E$2:$E$501,C75,Tasks!$G$2:$G$501,"Bug"))</f>
        <v/>
      </c>
      <c r="I75" s="15" t="n"/>
      <c r="J75" s="15" t="n"/>
      <c r="K75" s="15" t="n"/>
      <c r="L75" s="15" t="n"/>
      <c r="M75" s="15" t="n"/>
      <c r="N75" s="15" t="n"/>
      <c r="O75" s="15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 t="n"/>
      <c r="Y75" s="15" t="n"/>
      <c r="Z75" s="15" t="n"/>
    </row>
    <row r="76" ht="15.75" customHeight="1" s="18">
      <c r="A76" s="20" t="n"/>
      <c r="B76" s="21" t="n"/>
      <c r="C76" s="20" t="n"/>
      <c r="D76" s="21" t="n"/>
      <c r="E76" s="21" t="n"/>
      <c r="F76" s="20">
        <f>IF(C76="","",SUMPRODUCT((Projects!$B$2:$B$100&lt;&gt;"")*--(COUNTIFS(Tasks!$B$2:$B$501,Projects!$B$2:$B$100,Tasks!$E$2:$E$501,C76)&gt;0)))</f>
        <v/>
      </c>
      <c r="G76" s="20">
        <f>IF(C76="","",COUNTIFS(Tasks!$E$2:$E$501,C76,Tasks!$G$2:$G$501,"&lt;&gt;Done",Tasks!$D$2:$D$501,"&lt;&gt;"))</f>
        <v/>
      </c>
      <c r="H76" s="20">
        <f>IF(C76="","",COUNTIFS(Tasks!$E$2:$E$501,C76,Tasks!$G$2:$G$501,"Bug"))</f>
        <v/>
      </c>
      <c r="I76" s="15" t="n"/>
      <c r="J76" s="15" t="n"/>
      <c r="K76" s="15" t="n"/>
      <c r="L76" s="15" t="n"/>
      <c r="M76" s="15" t="n"/>
      <c r="N76" s="15" t="n"/>
      <c r="O76" s="15" t="n"/>
      <c r="P76" s="15" t="n"/>
      <c r="Q76" s="15" t="n"/>
      <c r="R76" s="15" t="n"/>
      <c r="S76" s="15" t="n"/>
      <c r="T76" s="15" t="n"/>
      <c r="U76" s="15" t="n"/>
      <c r="V76" s="15" t="n"/>
      <c r="W76" s="15" t="n"/>
      <c r="X76" s="15" t="n"/>
      <c r="Y76" s="15" t="n"/>
      <c r="Z76" s="15" t="n"/>
    </row>
    <row r="77" ht="15.75" customHeight="1" s="18">
      <c r="A77" s="20" t="n"/>
      <c r="B77" s="21" t="n"/>
      <c r="C77" s="20" t="n"/>
      <c r="D77" s="21" t="n"/>
      <c r="E77" s="21" t="n"/>
      <c r="F77" s="20">
        <f>IF(C77="","",SUMPRODUCT((Projects!$B$2:$B$100&lt;&gt;"")*--(COUNTIFS(Tasks!$B$2:$B$501,Projects!$B$2:$B$100,Tasks!$E$2:$E$501,C77)&gt;0)))</f>
        <v/>
      </c>
      <c r="G77" s="20">
        <f>IF(C77="","",COUNTIFS(Tasks!$E$2:$E$501,C77,Tasks!$G$2:$G$501,"&lt;&gt;Done",Tasks!$D$2:$D$501,"&lt;&gt;"))</f>
        <v/>
      </c>
      <c r="H77" s="20">
        <f>IF(C77="","",COUNTIFS(Tasks!$E$2:$E$501,C77,Tasks!$G$2:$G$501,"Bug"))</f>
        <v/>
      </c>
      <c r="I77" s="15" t="n"/>
      <c r="J77" s="15" t="n"/>
      <c r="K77" s="15" t="n"/>
      <c r="L77" s="15" t="n"/>
      <c r="M77" s="15" t="n"/>
      <c r="N77" s="15" t="n"/>
      <c r="O77" s="15" t="n"/>
      <c r="P77" s="15" t="n"/>
      <c r="Q77" s="15" t="n"/>
      <c r="R77" s="15" t="n"/>
      <c r="S77" s="15" t="n"/>
      <c r="T77" s="15" t="n"/>
      <c r="U77" s="15" t="n"/>
      <c r="V77" s="15" t="n"/>
      <c r="W77" s="15" t="n"/>
      <c r="X77" s="15" t="n"/>
      <c r="Y77" s="15" t="n"/>
      <c r="Z77" s="15" t="n"/>
    </row>
    <row r="78" ht="15.75" customHeight="1" s="18">
      <c r="A78" s="20" t="n"/>
      <c r="B78" s="21" t="n"/>
      <c r="C78" s="20" t="n"/>
      <c r="D78" s="21" t="n"/>
      <c r="E78" s="21" t="n"/>
      <c r="F78" s="20">
        <f>IF(C78="","",SUMPRODUCT((Projects!$B$2:$B$100&lt;&gt;"")*--(COUNTIFS(Tasks!$B$2:$B$501,Projects!$B$2:$B$100,Tasks!$E$2:$E$501,C78)&gt;0)))</f>
        <v/>
      </c>
      <c r="G78" s="20">
        <f>IF(C78="","",COUNTIFS(Tasks!$E$2:$E$501,C78,Tasks!$G$2:$G$501,"&lt;&gt;Done",Tasks!$D$2:$D$501,"&lt;&gt;"))</f>
        <v/>
      </c>
      <c r="H78" s="20">
        <f>IF(C78="","",COUNTIFS(Tasks!$E$2:$E$501,C78,Tasks!$G$2:$G$501,"Bug"))</f>
        <v/>
      </c>
      <c r="I78" s="15" t="n"/>
      <c r="J78" s="15" t="n"/>
      <c r="K78" s="15" t="n"/>
      <c r="L78" s="15" t="n"/>
      <c r="M78" s="15" t="n"/>
      <c r="N78" s="15" t="n"/>
      <c r="O78" s="15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 t="n"/>
      <c r="Y78" s="15" t="n"/>
      <c r="Z78" s="15" t="n"/>
    </row>
    <row r="79" ht="15.75" customHeight="1" s="18">
      <c r="A79" s="20" t="n"/>
      <c r="B79" s="21" t="n"/>
      <c r="C79" s="20" t="n"/>
      <c r="D79" s="21" t="n"/>
      <c r="E79" s="21" t="n"/>
      <c r="F79" s="20">
        <f>IF(C79="","",SUMPRODUCT((Projects!$B$2:$B$100&lt;&gt;"")*--(COUNTIFS(Tasks!$B$2:$B$501,Projects!$B$2:$B$100,Tasks!$E$2:$E$501,C79)&gt;0)))</f>
        <v/>
      </c>
      <c r="G79" s="20">
        <f>IF(C79="","",COUNTIFS(Tasks!$E$2:$E$501,C79,Tasks!$G$2:$G$501,"&lt;&gt;Done",Tasks!$D$2:$D$501,"&lt;&gt;"))</f>
        <v/>
      </c>
      <c r="H79" s="20">
        <f>IF(C79="","",COUNTIFS(Tasks!$E$2:$E$501,C79,Tasks!$G$2:$G$501,"Bug"))</f>
        <v/>
      </c>
      <c r="I79" s="15" t="n"/>
      <c r="J79" s="15" t="n"/>
      <c r="K79" s="15" t="n"/>
      <c r="L79" s="15" t="n"/>
      <c r="M79" s="15" t="n"/>
      <c r="N79" s="15" t="n"/>
      <c r="O79" s="15" t="n"/>
      <c r="P79" s="15" t="n"/>
      <c r="Q79" s="15" t="n"/>
      <c r="R79" s="15" t="n"/>
      <c r="S79" s="15" t="n"/>
      <c r="T79" s="15" t="n"/>
      <c r="U79" s="15" t="n"/>
      <c r="V79" s="15" t="n"/>
      <c r="W79" s="15" t="n"/>
      <c r="X79" s="15" t="n"/>
      <c r="Y79" s="15" t="n"/>
      <c r="Z79" s="15" t="n"/>
    </row>
    <row r="80" ht="15.75" customHeight="1" s="18">
      <c r="A80" s="20" t="n"/>
      <c r="B80" s="21" t="n"/>
      <c r="C80" s="20" t="n"/>
      <c r="D80" s="21" t="n"/>
      <c r="E80" s="21" t="n"/>
      <c r="F80" s="20">
        <f>IF(C80="","",SUMPRODUCT((Projects!$B$2:$B$100&lt;&gt;"")*--(COUNTIFS(Tasks!$B$2:$B$501,Projects!$B$2:$B$100,Tasks!$E$2:$E$501,C80)&gt;0)))</f>
        <v/>
      </c>
      <c r="G80" s="20">
        <f>IF(C80="","",COUNTIFS(Tasks!$E$2:$E$501,C80,Tasks!$G$2:$G$501,"&lt;&gt;Done",Tasks!$D$2:$D$501,"&lt;&gt;"))</f>
        <v/>
      </c>
      <c r="H80" s="20">
        <f>IF(C80="","",COUNTIFS(Tasks!$E$2:$E$501,C80,Tasks!$G$2:$G$501,"Bug"))</f>
        <v/>
      </c>
      <c r="I80" s="15" t="n"/>
      <c r="J80" s="15" t="n"/>
      <c r="K80" s="15" t="n"/>
      <c r="L80" s="15" t="n"/>
      <c r="M80" s="15" t="n"/>
      <c r="N80" s="15" t="n"/>
      <c r="O80" s="15" t="n"/>
      <c r="P80" s="15" t="n"/>
      <c r="Q80" s="15" t="n"/>
      <c r="R80" s="15" t="n"/>
      <c r="S80" s="15" t="n"/>
      <c r="T80" s="15" t="n"/>
      <c r="U80" s="15" t="n"/>
      <c r="V80" s="15" t="n"/>
      <c r="W80" s="15" t="n"/>
      <c r="X80" s="15" t="n"/>
      <c r="Y80" s="15" t="n"/>
      <c r="Z80" s="15" t="n"/>
    </row>
    <row r="81" ht="15.75" customHeight="1" s="18">
      <c r="A81" s="20" t="n"/>
      <c r="B81" s="21" t="n"/>
      <c r="C81" s="20" t="n"/>
      <c r="D81" s="21" t="n"/>
      <c r="E81" s="21" t="n"/>
      <c r="F81" s="20">
        <f>IF(C81="","",SUMPRODUCT((Projects!$B$2:$B$100&lt;&gt;"")*--(COUNTIFS(Tasks!$B$2:$B$501,Projects!$B$2:$B$100,Tasks!$E$2:$E$501,C81)&gt;0)))</f>
        <v/>
      </c>
      <c r="G81" s="20">
        <f>IF(C81="","",COUNTIFS(Tasks!$E$2:$E$501,C81,Tasks!$G$2:$G$501,"&lt;&gt;Done",Tasks!$D$2:$D$501,"&lt;&gt;"))</f>
        <v/>
      </c>
      <c r="H81" s="20">
        <f>IF(C81="","",COUNTIFS(Tasks!$E$2:$E$501,C81,Tasks!$G$2:$G$501,"Bug"))</f>
        <v/>
      </c>
      <c r="I81" s="15" t="n"/>
      <c r="J81" s="15" t="n"/>
      <c r="K81" s="15" t="n"/>
      <c r="L81" s="15" t="n"/>
      <c r="M81" s="15" t="n"/>
      <c r="N81" s="15" t="n"/>
      <c r="O81" s="15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 t="n"/>
      <c r="Y81" s="15" t="n"/>
      <c r="Z81" s="15" t="n"/>
    </row>
    <row r="82" ht="15.75" customHeight="1" s="18">
      <c r="A82" s="20" t="n"/>
      <c r="B82" s="21" t="n"/>
      <c r="C82" s="20" t="n"/>
      <c r="D82" s="21" t="n"/>
      <c r="E82" s="21" t="n"/>
      <c r="F82" s="20">
        <f>IF(C82="","",SUMPRODUCT((Projects!$B$2:$B$100&lt;&gt;"")*--(COUNTIFS(Tasks!$B$2:$B$501,Projects!$B$2:$B$100,Tasks!$E$2:$E$501,C82)&gt;0)))</f>
        <v/>
      </c>
      <c r="G82" s="20">
        <f>IF(C82="","",COUNTIFS(Tasks!$E$2:$E$501,C82,Tasks!$G$2:$G$501,"&lt;&gt;Done",Tasks!$D$2:$D$501,"&lt;&gt;"))</f>
        <v/>
      </c>
      <c r="H82" s="20">
        <f>IF(C82="","",COUNTIFS(Tasks!$E$2:$E$501,C82,Tasks!$G$2:$G$501,"Bug"))</f>
        <v/>
      </c>
      <c r="I82" s="15" t="n"/>
      <c r="J82" s="15" t="n"/>
      <c r="K82" s="15" t="n"/>
      <c r="L82" s="15" t="n"/>
      <c r="M82" s="15" t="n"/>
      <c r="N82" s="15" t="n"/>
      <c r="O82" s="15" t="n"/>
      <c r="P82" s="15" t="n"/>
      <c r="Q82" s="15" t="n"/>
      <c r="R82" s="15" t="n"/>
      <c r="S82" s="15" t="n"/>
      <c r="T82" s="15" t="n"/>
      <c r="U82" s="15" t="n"/>
      <c r="V82" s="15" t="n"/>
      <c r="W82" s="15" t="n"/>
      <c r="X82" s="15" t="n"/>
      <c r="Y82" s="15" t="n"/>
      <c r="Z82" s="15" t="n"/>
    </row>
    <row r="83" ht="15.75" customHeight="1" s="18">
      <c r="A83" s="20" t="n"/>
      <c r="B83" s="21" t="n"/>
      <c r="C83" s="20" t="n"/>
      <c r="D83" s="21" t="n"/>
      <c r="E83" s="21" t="n"/>
      <c r="F83" s="20">
        <f>IF(C83="","",SUMPRODUCT((Projects!$B$2:$B$100&lt;&gt;"")*--(COUNTIFS(Tasks!$B$2:$B$501,Projects!$B$2:$B$100,Tasks!$E$2:$E$501,C83)&gt;0)))</f>
        <v/>
      </c>
      <c r="G83" s="20">
        <f>IF(C83="","",COUNTIFS(Tasks!$E$2:$E$501,C83,Tasks!$G$2:$G$501,"&lt;&gt;Done",Tasks!$D$2:$D$501,"&lt;&gt;"))</f>
        <v/>
      </c>
      <c r="H83" s="20">
        <f>IF(C83="","",COUNTIFS(Tasks!$E$2:$E$501,C83,Tasks!$G$2:$G$501,"Bug"))</f>
        <v/>
      </c>
      <c r="I83" s="15" t="n"/>
      <c r="J83" s="15" t="n"/>
      <c r="K83" s="15" t="n"/>
      <c r="L83" s="15" t="n"/>
      <c r="M83" s="15" t="n"/>
      <c r="N83" s="15" t="n"/>
      <c r="O83" s="15" t="n"/>
      <c r="P83" s="15" t="n"/>
      <c r="Q83" s="15" t="n"/>
      <c r="R83" s="15" t="n"/>
      <c r="S83" s="15" t="n"/>
      <c r="T83" s="15" t="n"/>
      <c r="U83" s="15" t="n"/>
      <c r="V83" s="15" t="n"/>
      <c r="W83" s="15" t="n"/>
      <c r="X83" s="15" t="n"/>
      <c r="Y83" s="15" t="n"/>
      <c r="Z83" s="15" t="n"/>
    </row>
    <row r="84" ht="15.75" customHeight="1" s="18">
      <c r="A84" s="20" t="n"/>
      <c r="B84" s="21" t="n"/>
      <c r="C84" s="20" t="n"/>
      <c r="D84" s="21" t="n"/>
      <c r="E84" s="21" t="n"/>
      <c r="F84" s="20">
        <f>IF(C84="","",SUMPRODUCT((Projects!$B$2:$B$100&lt;&gt;"")*--(COUNTIFS(Tasks!$B$2:$B$501,Projects!$B$2:$B$100,Tasks!$E$2:$E$501,C84)&gt;0)))</f>
        <v/>
      </c>
      <c r="G84" s="20">
        <f>IF(C84="","",COUNTIFS(Tasks!$E$2:$E$501,C84,Tasks!$G$2:$G$501,"&lt;&gt;Done",Tasks!$D$2:$D$501,"&lt;&gt;"))</f>
        <v/>
      </c>
      <c r="H84" s="20">
        <f>IF(C84="","",COUNTIFS(Tasks!$E$2:$E$501,C84,Tasks!$G$2:$G$501,"Bug"))</f>
        <v/>
      </c>
      <c r="I84" s="15" t="n"/>
      <c r="J84" s="15" t="n"/>
      <c r="K84" s="15" t="n"/>
      <c r="L84" s="15" t="n"/>
      <c r="M84" s="15" t="n"/>
      <c r="N84" s="15" t="n"/>
      <c r="O84" s="15" t="n"/>
      <c r="P84" s="15" t="n"/>
      <c r="Q84" s="15" t="n"/>
      <c r="R84" s="15" t="n"/>
      <c r="S84" s="15" t="n"/>
      <c r="T84" s="15" t="n"/>
      <c r="U84" s="15" t="n"/>
      <c r="V84" s="15" t="n"/>
      <c r="W84" s="15" t="n"/>
      <c r="X84" s="15" t="n"/>
      <c r="Y84" s="15" t="n"/>
      <c r="Z84" s="15" t="n"/>
    </row>
    <row r="85" ht="15.75" customHeight="1" s="18">
      <c r="A85" s="20" t="n"/>
      <c r="B85" s="21" t="n"/>
      <c r="C85" s="20" t="n"/>
      <c r="D85" s="21" t="n"/>
      <c r="E85" s="21" t="n"/>
      <c r="F85" s="20">
        <f>IF(C85="","",SUMPRODUCT((Projects!$B$2:$B$100&lt;&gt;"")*--(COUNTIFS(Tasks!$B$2:$B$501,Projects!$B$2:$B$100,Tasks!$E$2:$E$501,C85)&gt;0)))</f>
        <v/>
      </c>
      <c r="G85" s="20">
        <f>IF(C85="","",COUNTIFS(Tasks!$E$2:$E$501,C85,Tasks!$G$2:$G$501,"&lt;&gt;Done",Tasks!$D$2:$D$501,"&lt;&gt;"))</f>
        <v/>
      </c>
      <c r="H85" s="20">
        <f>IF(C85="","",COUNTIFS(Tasks!$E$2:$E$501,C85,Tasks!$G$2:$G$501,"Bug"))</f>
        <v/>
      </c>
      <c r="I85" s="15" t="n"/>
      <c r="J85" s="15" t="n"/>
      <c r="K85" s="15" t="n"/>
      <c r="L85" s="15" t="n"/>
      <c r="M85" s="15" t="n"/>
      <c r="N85" s="15" t="n"/>
      <c r="O85" s="15" t="n"/>
      <c r="P85" s="15" t="n"/>
      <c r="Q85" s="15" t="n"/>
      <c r="R85" s="15" t="n"/>
      <c r="S85" s="15" t="n"/>
      <c r="T85" s="15" t="n"/>
      <c r="U85" s="15" t="n"/>
      <c r="V85" s="15" t="n"/>
      <c r="W85" s="15" t="n"/>
      <c r="X85" s="15" t="n"/>
      <c r="Y85" s="15" t="n"/>
      <c r="Z85" s="15" t="n"/>
    </row>
    <row r="86" ht="15.75" customHeight="1" s="18">
      <c r="A86" s="20" t="n"/>
      <c r="B86" s="21" t="n"/>
      <c r="C86" s="20" t="n"/>
      <c r="D86" s="21" t="n"/>
      <c r="E86" s="21" t="n"/>
      <c r="F86" s="20">
        <f>IF(C86="","",SUMPRODUCT((Projects!$B$2:$B$100&lt;&gt;"")*--(COUNTIFS(Tasks!$B$2:$B$501,Projects!$B$2:$B$100,Tasks!$E$2:$E$501,C86)&gt;0)))</f>
        <v/>
      </c>
      <c r="G86" s="20">
        <f>IF(C86="","",COUNTIFS(Tasks!$E$2:$E$501,C86,Tasks!$G$2:$G$501,"&lt;&gt;Done",Tasks!$D$2:$D$501,"&lt;&gt;"))</f>
        <v/>
      </c>
      <c r="H86" s="20">
        <f>IF(C86="","",COUNTIFS(Tasks!$E$2:$E$501,C86,Tasks!$G$2:$G$501,"Bug"))</f>
        <v/>
      </c>
      <c r="I86" s="15" t="n"/>
      <c r="J86" s="15" t="n"/>
      <c r="K86" s="15" t="n"/>
      <c r="L86" s="15" t="n"/>
      <c r="M86" s="15" t="n"/>
      <c r="N86" s="15" t="n"/>
      <c r="O86" s="15" t="n"/>
      <c r="P86" s="15" t="n"/>
      <c r="Q86" s="15" t="n"/>
      <c r="R86" s="15" t="n"/>
      <c r="S86" s="15" t="n"/>
      <c r="T86" s="15" t="n"/>
      <c r="U86" s="15" t="n"/>
      <c r="V86" s="15" t="n"/>
      <c r="W86" s="15" t="n"/>
      <c r="X86" s="15" t="n"/>
      <c r="Y86" s="15" t="n"/>
      <c r="Z86" s="15" t="n"/>
    </row>
    <row r="87" ht="15.75" customHeight="1" s="18">
      <c r="A87" s="20" t="n"/>
      <c r="B87" s="21" t="n"/>
      <c r="C87" s="20" t="n"/>
      <c r="D87" s="21" t="n"/>
      <c r="E87" s="21" t="n"/>
      <c r="F87" s="20">
        <f>IF(C87="","",SUMPRODUCT((Projects!$B$2:$B$100&lt;&gt;"")*--(COUNTIFS(Tasks!$B$2:$B$501,Projects!$B$2:$B$100,Tasks!$E$2:$E$501,C87)&gt;0)))</f>
        <v/>
      </c>
      <c r="G87" s="20">
        <f>IF(C87="","",COUNTIFS(Tasks!$E$2:$E$501,C87,Tasks!$G$2:$G$501,"&lt;&gt;Done",Tasks!$D$2:$D$501,"&lt;&gt;"))</f>
        <v/>
      </c>
      <c r="H87" s="20">
        <f>IF(C87="","",COUNTIFS(Tasks!$E$2:$E$501,C87,Tasks!$G$2:$G$501,"Bug"))</f>
        <v/>
      </c>
      <c r="I87" s="15" t="n"/>
      <c r="J87" s="15" t="n"/>
      <c r="K87" s="15" t="n"/>
      <c r="L87" s="15" t="n"/>
      <c r="M87" s="15" t="n"/>
      <c r="N87" s="15" t="n"/>
      <c r="O87" s="15" t="n"/>
      <c r="P87" s="15" t="n"/>
      <c r="Q87" s="15" t="n"/>
      <c r="R87" s="15" t="n"/>
      <c r="S87" s="15" t="n"/>
      <c r="T87" s="15" t="n"/>
      <c r="U87" s="15" t="n"/>
      <c r="V87" s="15" t="n"/>
      <c r="W87" s="15" t="n"/>
      <c r="X87" s="15" t="n"/>
      <c r="Y87" s="15" t="n"/>
      <c r="Z87" s="15" t="n"/>
    </row>
    <row r="88" ht="15.75" customHeight="1" s="18">
      <c r="A88" s="20" t="n"/>
      <c r="B88" s="21" t="n"/>
      <c r="C88" s="20" t="n"/>
      <c r="D88" s="21" t="n"/>
      <c r="E88" s="21" t="n"/>
      <c r="F88" s="20">
        <f>IF(C88="","",SUMPRODUCT((Projects!$B$2:$B$100&lt;&gt;"")*--(COUNTIFS(Tasks!$B$2:$B$501,Projects!$B$2:$B$100,Tasks!$E$2:$E$501,C88)&gt;0)))</f>
        <v/>
      </c>
      <c r="G88" s="20">
        <f>IF(C88="","",COUNTIFS(Tasks!$E$2:$E$501,C88,Tasks!$G$2:$G$501,"&lt;&gt;Done",Tasks!$D$2:$D$501,"&lt;&gt;"))</f>
        <v/>
      </c>
      <c r="H88" s="20">
        <f>IF(C88="","",COUNTIFS(Tasks!$E$2:$E$501,C88,Tasks!$G$2:$G$501,"Bug"))</f>
        <v/>
      </c>
      <c r="I88" s="15" t="n"/>
      <c r="J88" s="15" t="n"/>
      <c r="K88" s="15" t="n"/>
      <c r="L88" s="15" t="n"/>
      <c r="M88" s="15" t="n"/>
      <c r="N88" s="15" t="n"/>
      <c r="O88" s="15" t="n"/>
      <c r="P88" s="15" t="n"/>
      <c r="Q88" s="15" t="n"/>
      <c r="R88" s="15" t="n"/>
      <c r="S88" s="15" t="n"/>
      <c r="T88" s="15" t="n"/>
      <c r="U88" s="15" t="n"/>
      <c r="V88" s="15" t="n"/>
      <c r="W88" s="15" t="n"/>
      <c r="X88" s="15" t="n"/>
      <c r="Y88" s="15" t="n"/>
      <c r="Z88" s="15" t="n"/>
    </row>
    <row r="89" ht="15.75" customHeight="1" s="18">
      <c r="A89" s="20" t="n"/>
      <c r="B89" s="21" t="n"/>
      <c r="C89" s="20" t="n"/>
      <c r="D89" s="21" t="n"/>
      <c r="E89" s="21" t="n"/>
      <c r="F89" s="20">
        <f>IF(C89="","",SUMPRODUCT((Projects!$B$2:$B$100&lt;&gt;"")*--(COUNTIFS(Tasks!$B$2:$B$501,Projects!$B$2:$B$100,Tasks!$E$2:$E$501,C89)&gt;0)))</f>
        <v/>
      </c>
      <c r="G89" s="20">
        <f>IF(C89="","",COUNTIFS(Tasks!$E$2:$E$501,C89,Tasks!$G$2:$G$501,"&lt;&gt;Done",Tasks!$D$2:$D$501,"&lt;&gt;"))</f>
        <v/>
      </c>
      <c r="H89" s="20">
        <f>IF(C89="","",COUNTIFS(Tasks!$E$2:$E$501,C89,Tasks!$G$2:$G$501,"Bug"))</f>
        <v/>
      </c>
      <c r="I89" s="15" t="n"/>
      <c r="J89" s="15" t="n"/>
      <c r="K89" s="15" t="n"/>
      <c r="L89" s="15" t="n"/>
      <c r="M89" s="15" t="n"/>
      <c r="N89" s="15" t="n"/>
      <c r="O89" s="15" t="n"/>
      <c r="P89" s="15" t="n"/>
      <c r="Q89" s="15" t="n"/>
      <c r="R89" s="15" t="n"/>
      <c r="S89" s="15" t="n"/>
      <c r="T89" s="15" t="n"/>
      <c r="U89" s="15" t="n"/>
      <c r="V89" s="15" t="n"/>
      <c r="W89" s="15" t="n"/>
      <c r="X89" s="15" t="n"/>
      <c r="Y89" s="15" t="n"/>
      <c r="Z89" s="15" t="n"/>
    </row>
    <row r="90" ht="15.75" customHeight="1" s="18">
      <c r="A90" s="20" t="n"/>
      <c r="B90" s="21" t="n"/>
      <c r="C90" s="20" t="n"/>
      <c r="D90" s="21" t="n"/>
      <c r="E90" s="21" t="n"/>
      <c r="F90" s="20">
        <f>IF(C90="","",SUMPRODUCT((Projects!$B$2:$B$100&lt;&gt;"")*--(COUNTIFS(Tasks!$B$2:$B$501,Projects!$B$2:$B$100,Tasks!$E$2:$E$501,C90)&gt;0)))</f>
        <v/>
      </c>
      <c r="G90" s="20">
        <f>IF(C90="","",COUNTIFS(Tasks!$E$2:$E$501,C90,Tasks!$G$2:$G$501,"&lt;&gt;Done",Tasks!$D$2:$D$501,"&lt;&gt;"))</f>
        <v/>
      </c>
      <c r="H90" s="20">
        <f>IF(C90="","",COUNTIFS(Tasks!$E$2:$E$501,C90,Tasks!$G$2:$G$501,"Bug"))</f>
        <v/>
      </c>
      <c r="I90" s="15" t="n"/>
      <c r="J90" s="15" t="n"/>
      <c r="K90" s="15" t="n"/>
      <c r="L90" s="15" t="n"/>
      <c r="M90" s="15" t="n"/>
      <c r="N90" s="15" t="n"/>
      <c r="O90" s="15" t="n"/>
      <c r="P90" s="15" t="n"/>
      <c r="Q90" s="15" t="n"/>
      <c r="R90" s="15" t="n"/>
      <c r="S90" s="15" t="n"/>
      <c r="T90" s="15" t="n"/>
      <c r="U90" s="15" t="n"/>
      <c r="V90" s="15" t="n"/>
      <c r="W90" s="15" t="n"/>
      <c r="X90" s="15" t="n"/>
      <c r="Y90" s="15" t="n"/>
      <c r="Z90" s="15" t="n"/>
    </row>
    <row r="91" ht="15.75" customHeight="1" s="18">
      <c r="A91" s="20" t="n"/>
      <c r="B91" s="21" t="n"/>
      <c r="C91" s="20" t="n"/>
      <c r="D91" s="21" t="n"/>
      <c r="E91" s="21" t="n"/>
      <c r="F91" s="20">
        <f>IF(C91="","",SUMPRODUCT((Projects!$B$2:$B$100&lt;&gt;"")*--(COUNTIFS(Tasks!$B$2:$B$501,Projects!$B$2:$B$100,Tasks!$E$2:$E$501,C91)&gt;0)))</f>
        <v/>
      </c>
      <c r="G91" s="20">
        <f>IF(C91="","",COUNTIFS(Tasks!$E$2:$E$501,C91,Tasks!$G$2:$G$501,"&lt;&gt;Done",Tasks!$D$2:$D$501,"&lt;&gt;"))</f>
        <v/>
      </c>
      <c r="H91" s="20">
        <f>IF(C91="","",COUNTIFS(Tasks!$E$2:$E$501,C91,Tasks!$G$2:$G$501,"Bug"))</f>
        <v/>
      </c>
      <c r="I91" s="15" t="n"/>
      <c r="J91" s="15" t="n"/>
      <c r="K91" s="15" t="n"/>
      <c r="L91" s="15" t="n"/>
      <c r="M91" s="15" t="n"/>
      <c r="N91" s="15" t="n"/>
      <c r="O91" s="15" t="n"/>
      <c r="P91" s="15" t="n"/>
      <c r="Q91" s="15" t="n"/>
      <c r="R91" s="15" t="n"/>
      <c r="S91" s="15" t="n"/>
      <c r="T91" s="15" t="n"/>
      <c r="U91" s="15" t="n"/>
      <c r="V91" s="15" t="n"/>
      <c r="W91" s="15" t="n"/>
      <c r="X91" s="15" t="n"/>
      <c r="Y91" s="15" t="n"/>
      <c r="Z91" s="15" t="n"/>
    </row>
    <row r="92" ht="15.75" customHeight="1" s="18">
      <c r="A92" s="20" t="n"/>
      <c r="B92" s="21" t="n"/>
      <c r="C92" s="20" t="n"/>
      <c r="D92" s="21" t="n"/>
      <c r="E92" s="21" t="n"/>
      <c r="F92" s="20">
        <f>IF(C92="","",SUMPRODUCT((Projects!$B$2:$B$100&lt;&gt;"")*--(COUNTIFS(Tasks!$B$2:$B$501,Projects!$B$2:$B$100,Tasks!$E$2:$E$501,C92)&gt;0)))</f>
        <v/>
      </c>
      <c r="G92" s="20">
        <f>IF(C92="","",COUNTIFS(Tasks!$E$2:$E$501,C92,Tasks!$G$2:$G$501,"&lt;&gt;Done",Tasks!$D$2:$D$501,"&lt;&gt;"))</f>
        <v/>
      </c>
      <c r="H92" s="20">
        <f>IF(C92="","",COUNTIFS(Tasks!$E$2:$E$501,C92,Tasks!$G$2:$G$501,"Bug"))</f>
        <v/>
      </c>
      <c r="I92" s="15" t="n"/>
      <c r="J92" s="15" t="n"/>
      <c r="K92" s="15" t="n"/>
      <c r="L92" s="15" t="n"/>
      <c r="M92" s="15" t="n"/>
      <c r="N92" s="15" t="n"/>
      <c r="O92" s="15" t="n"/>
      <c r="P92" s="15" t="n"/>
      <c r="Q92" s="15" t="n"/>
      <c r="R92" s="15" t="n"/>
      <c r="S92" s="15" t="n"/>
      <c r="T92" s="15" t="n"/>
      <c r="U92" s="15" t="n"/>
      <c r="V92" s="15" t="n"/>
      <c r="W92" s="15" t="n"/>
      <c r="X92" s="15" t="n"/>
      <c r="Y92" s="15" t="n"/>
      <c r="Z92" s="15" t="n"/>
    </row>
    <row r="93" ht="15.75" customHeight="1" s="18">
      <c r="A93" s="20" t="n"/>
      <c r="B93" s="21" t="n"/>
      <c r="C93" s="20" t="n"/>
      <c r="D93" s="21" t="n"/>
      <c r="E93" s="21" t="n"/>
      <c r="F93" s="20">
        <f>IF(C93="","",SUMPRODUCT((Projects!$B$2:$B$100&lt;&gt;"")*--(COUNTIFS(Tasks!$B$2:$B$501,Projects!$B$2:$B$100,Tasks!$E$2:$E$501,C93)&gt;0)))</f>
        <v/>
      </c>
      <c r="G93" s="20">
        <f>IF(C93="","",COUNTIFS(Tasks!$E$2:$E$501,C93,Tasks!$G$2:$G$501,"&lt;&gt;Done",Tasks!$D$2:$D$501,"&lt;&gt;"))</f>
        <v/>
      </c>
      <c r="H93" s="20">
        <f>IF(C93="","",COUNTIFS(Tasks!$E$2:$E$501,C93,Tasks!$G$2:$G$501,"Bug"))</f>
        <v/>
      </c>
      <c r="I93" s="15" t="n"/>
      <c r="J93" s="15" t="n"/>
      <c r="K93" s="15" t="n"/>
      <c r="L93" s="15" t="n"/>
      <c r="M93" s="15" t="n"/>
      <c r="N93" s="15" t="n"/>
      <c r="O93" s="15" t="n"/>
      <c r="P93" s="15" t="n"/>
      <c r="Q93" s="15" t="n"/>
      <c r="R93" s="15" t="n"/>
      <c r="S93" s="15" t="n"/>
      <c r="T93" s="15" t="n"/>
      <c r="U93" s="15" t="n"/>
      <c r="V93" s="15" t="n"/>
      <c r="W93" s="15" t="n"/>
      <c r="X93" s="15" t="n"/>
      <c r="Y93" s="15" t="n"/>
      <c r="Z93" s="15" t="n"/>
    </row>
    <row r="94" ht="15.75" customHeight="1" s="18">
      <c r="A94" s="20" t="n"/>
      <c r="B94" s="21" t="n"/>
      <c r="C94" s="20" t="n"/>
      <c r="D94" s="21" t="n"/>
      <c r="E94" s="21" t="n"/>
      <c r="F94" s="20">
        <f>IF(C94="","",SUMPRODUCT((Projects!$B$2:$B$100&lt;&gt;"")*--(COUNTIFS(Tasks!$B$2:$B$501,Projects!$B$2:$B$100,Tasks!$E$2:$E$501,C94)&gt;0)))</f>
        <v/>
      </c>
      <c r="G94" s="20">
        <f>IF(C94="","",COUNTIFS(Tasks!$E$2:$E$501,C94,Tasks!$G$2:$G$501,"&lt;&gt;Done",Tasks!$D$2:$D$501,"&lt;&gt;"))</f>
        <v/>
      </c>
      <c r="H94" s="20">
        <f>IF(C94="","",COUNTIFS(Tasks!$E$2:$E$501,C94,Tasks!$G$2:$G$501,"Bug"))</f>
        <v/>
      </c>
      <c r="I94" s="15" t="n"/>
      <c r="J94" s="15" t="n"/>
      <c r="K94" s="15" t="n"/>
      <c r="L94" s="15" t="n"/>
      <c r="M94" s="15" t="n"/>
      <c r="N94" s="15" t="n"/>
      <c r="O94" s="15" t="n"/>
      <c r="P94" s="15" t="n"/>
      <c r="Q94" s="15" t="n"/>
      <c r="R94" s="15" t="n"/>
      <c r="S94" s="15" t="n"/>
      <c r="T94" s="15" t="n"/>
      <c r="U94" s="15" t="n"/>
      <c r="V94" s="15" t="n"/>
      <c r="W94" s="15" t="n"/>
      <c r="X94" s="15" t="n"/>
      <c r="Y94" s="15" t="n"/>
      <c r="Z94" s="15" t="n"/>
    </row>
    <row r="95" ht="15.75" customHeight="1" s="18">
      <c r="A95" s="20" t="n"/>
      <c r="B95" s="21" t="n"/>
      <c r="C95" s="20" t="n"/>
      <c r="D95" s="21" t="n"/>
      <c r="E95" s="21" t="n"/>
      <c r="F95" s="20">
        <f>IF(C95="","",SUMPRODUCT((Projects!$B$2:$B$100&lt;&gt;"")*--(COUNTIFS(Tasks!$B$2:$B$501,Projects!$B$2:$B$100,Tasks!$E$2:$E$501,C95)&gt;0)))</f>
        <v/>
      </c>
      <c r="G95" s="20">
        <f>IF(C95="","",COUNTIFS(Tasks!$E$2:$E$501,C95,Tasks!$G$2:$G$501,"&lt;&gt;Done",Tasks!$D$2:$D$501,"&lt;&gt;"))</f>
        <v/>
      </c>
      <c r="H95" s="20">
        <f>IF(C95="","",COUNTIFS(Tasks!$E$2:$E$501,C95,Tasks!$G$2:$G$501,"Bug"))</f>
        <v/>
      </c>
      <c r="I95" s="15" t="n"/>
      <c r="J95" s="15" t="n"/>
      <c r="K95" s="15" t="n"/>
      <c r="L95" s="15" t="n"/>
      <c r="M95" s="15" t="n"/>
      <c r="N95" s="15" t="n"/>
      <c r="O95" s="15" t="n"/>
      <c r="P95" s="15" t="n"/>
      <c r="Q95" s="15" t="n"/>
      <c r="R95" s="15" t="n"/>
      <c r="S95" s="15" t="n"/>
      <c r="T95" s="15" t="n"/>
      <c r="U95" s="15" t="n"/>
      <c r="V95" s="15" t="n"/>
      <c r="W95" s="15" t="n"/>
      <c r="X95" s="15" t="n"/>
      <c r="Y95" s="15" t="n"/>
      <c r="Z95" s="15" t="n"/>
    </row>
    <row r="96" ht="15.75" customHeight="1" s="18">
      <c r="A96" s="20" t="n"/>
      <c r="B96" s="21" t="n"/>
      <c r="C96" s="20" t="n"/>
      <c r="D96" s="21" t="n"/>
      <c r="E96" s="21" t="n"/>
      <c r="F96" s="20">
        <f>IF(C96="","",SUMPRODUCT((Projects!$B$2:$B$100&lt;&gt;"")*--(COUNTIFS(Tasks!$B$2:$B$501,Projects!$B$2:$B$100,Tasks!$E$2:$E$501,C96)&gt;0)))</f>
        <v/>
      </c>
      <c r="G96" s="20">
        <f>IF(C96="","",COUNTIFS(Tasks!$E$2:$E$501,C96,Tasks!$G$2:$G$501,"&lt;&gt;Done",Tasks!$D$2:$D$501,"&lt;&gt;"))</f>
        <v/>
      </c>
      <c r="H96" s="20">
        <f>IF(C96="","",COUNTIFS(Tasks!$E$2:$E$501,C96,Tasks!$G$2:$G$501,"Bug"))</f>
        <v/>
      </c>
      <c r="I96" s="15" t="n"/>
      <c r="J96" s="15" t="n"/>
      <c r="K96" s="15" t="n"/>
      <c r="L96" s="15" t="n"/>
      <c r="M96" s="15" t="n"/>
      <c r="N96" s="15" t="n"/>
      <c r="O96" s="15" t="n"/>
      <c r="P96" s="15" t="n"/>
      <c r="Q96" s="15" t="n"/>
      <c r="R96" s="15" t="n"/>
      <c r="S96" s="15" t="n"/>
      <c r="T96" s="15" t="n"/>
      <c r="U96" s="15" t="n"/>
      <c r="V96" s="15" t="n"/>
      <c r="W96" s="15" t="n"/>
      <c r="X96" s="15" t="n"/>
      <c r="Y96" s="15" t="n"/>
      <c r="Z96" s="15" t="n"/>
    </row>
    <row r="97" ht="15.75" customHeight="1" s="18">
      <c r="A97" s="20" t="n"/>
      <c r="B97" s="21" t="n"/>
      <c r="C97" s="20" t="n"/>
      <c r="D97" s="21" t="n"/>
      <c r="E97" s="21" t="n"/>
      <c r="F97" s="20">
        <f>IF(C97="","",SUMPRODUCT((Projects!$B$2:$B$100&lt;&gt;"")*--(COUNTIFS(Tasks!$B$2:$B$501,Projects!$B$2:$B$100,Tasks!$E$2:$E$501,C97)&gt;0)))</f>
        <v/>
      </c>
      <c r="G97" s="20">
        <f>IF(C97="","",COUNTIFS(Tasks!$E$2:$E$501,C97,Tasks!$G$2:$G$501,"&lt;&gt;Done",Tasks!$D$2:$D$501,"&lt;&gt;"))</f>
        <v/>
      </c>
      <c r="H97" s="20">
        <f>IF(C97="","",COUNTIFS(Tasks!$E$2:$E$501,C97,Tasks!$G$2:$G$501,"Bug"))</f>
        <v/>
      </c>
      <c r="I97" s="15" t="n"/>
      <c r="J97" s="15" t="n"/>
      <c r="K97" s="15" t="n"/>
      <c r="L97" s="15" t="n"/>
      <c r="M97" s="15" t="n"/>
      <c r="N97" s="15" t="n"/>
      <c r="O97" s="15" t="n"/>
      <c r="P97" s="15" t="n"/>
      <c r="Q97" s="15" t="n"/>
      <c r="R97" s="15" t="n"/>
      <c r="S97" s="15" t="n"/>
      <c r="T97" s="15" t="n"/>
      <c r="U97" s="15" t="n"/>
      <c r="V97" s="15" t="n"/>
      <c r="W97" s="15" t="n"/>
      <c r="X97" s="15" t="n"/>
      <c r="Y97" s="15" t="n"/>
      <c r="Z97" s="15" t="n"/>
    </row>
    <row r="98" ht="15.75" customHeight="1" s="18">
      <c r="A98" s="20" t="n"/>
      <c r="B98" s="21" t="n"/>
      <c r="C98" s="20" t="n"/>
      <c r="D98" s="21" t="n"/>
      <c r="E98" s="21" t="n"/>
      <c r="F98" s="20">
        <f>IF(C98="","",SUMPRODUCT((Projects!$B$2:$B$100&lt;&gt;"")*--(COUNTIFS(Tasks!$B$2:$B$501,Projects!$B$2:$B$100,Tasks!$E$2:$E$501,C98)&gt;0)))</f>
        <v/>
      </c>
      <c r="G98" s="20">
        <f>IF(C98="","",COUNTIFS(Tasks!$E$2:$E$501,C98,Tasks!$G$2:$G$501,"&lt;&gt;Done",Tasks!$D$2:$D$501,"&lt;&gt;"))</f>
        <v/>
      </c>
      <c r="H98" s="20">
        <f>IF(C98="","",COUNTIFS(Tasks!$E$2:$E$501,C98,Tasks!$G$2:$G$501,"Bug"))</f>
        <v/>
      </c>
      <c r="I98" s="15" t="n"/>
      <c r="J98" s="15" t="n"/>
      <c r="K98" s="15" t="n"/>
      <c r="L98" s="15" t="n"/>
      <c r="M98" s="15" t="n"/>
      <c r="N98" s="15" t="n"/>
      <c r="O98" s="15" t="n"/>
      <c r="P98" s="15" t="n"/>
      <c r="Q98" s="15" t="n"/>
      <c r="R98" s="15" t="n"/>
      <c r="S98" s="15" t="n"/>
      <c r="T98" s="15" t="n"/>
      <c r="U98" s="15" t="n"/>
      <c r="V98" s="15" t="n"/>
      <c r="W98" s="15" t="n"/>
      <c r="X98" s="15" t="n"/>
      <c r="Y98" s="15" t="n"/>
      <c r="Z98" s="15" t="n"/>
    </row>
    <row r="99" ht="15.75" customHeight="1" s="18">
      <c r="A99" s="20" t="n"/>
      <c r="B99" s="21" t="n"/>
      <c r="C99" s="20" t="n"/>
      <c r="D99" s="21" t="n"/>
      <c r="E99" s="21" t="n"/>
      <c r="F99" s="20">
        <f>IF(C99="","",SUMPRODUCT((Projects!$B$2:$B$100&lt;&gt;"")*--(COUNTIFS(Tasks!$B$2:$B$501,Projects!$B$2:$B$100,Tasks!$E$2:$E$501,C99)&gt;0)))</f>
        <v/>
      </c>
      <c r="G99" s="20">
        <f>IF(C99="","",COUNTIFS(Tasks!$E$2:$E$501,C99,Tasks!$G$2:$G$501,"&lt;&gt;Done",Tasks!$D$2:$D$501,"&lt;&gt;"))</f>
        <v/>
      </c>
      <c r="H99" s="20">
        <f>IF(C99="","",COUNTIFS(Tasks!$E$2:$E$501,C99,Tasks!$G$2:$G$501,"Bug"))</f>
        <v/>
      </c>
      <c r="I99" s="15" t="n"/>
      <c r="J99" s="15" t="n"/>
      <c r="K99" s="15" t="n"/>
      <c r="L99" s="15" t="n"/>
      <c r="M99" s="15" t="n"/>
      <c r="N99" s="15" t="n"/>
      <c r="O99" s="15" t="n"/>
      <c r="P99" s="15" t="n"/>
      <c r="Q99" s="15" t="n"/>
      <c r="R99" s="15" t="n"/>
      <c r="S99" s="15" t="n"/>
      <c r="T99" s="15" t="n"/>
      <c r="U99" s="15" t="n"/>
      <c r="V99" s="15" t="n"/>
      <c r="W99" s="15" t="n"/>
      <c r="X99" s="15" t="n"/>
      <c r="Y99" s="15" t="n"/>
      <c r="Z99" s="15" t="n"/>
    </row>
    <row r="100" ht="15.75" customHeight="1" s="18">
      <c r="A100" s="20" t="n"/>
      <c r="B100" s="21" t="n"/>
      <c r="C100" s="20" t="n"/>
      <c r="D100" s="21" t="n"/>
      <c r="E100" s="21" t="n"/>
      <c r="F100" s="20">
        <f>IF(C100="","",SUMPRODUCT((Projects!$B$2:$B$100&lt;&gt;"")*--(COUNTIFS(Tasks!$B$2:$B$501,Projects!$B$2:$B$100,Tasks!$E$2:$E$501,C100)&gt;0)))</f>
        <v/>
      </c>
      <c r="G100" s="20">
        <f>IF(C100="","",COUNTIFS(Tasks!$E$2:$E$501,C100,Tasks!$G$2:$G$501,"&lt;&gt;Done",Tasks!$D$2:$D$501,"&lt;&gt;"))</f>
        <v/>
      </c>
      <c r="H100" s="20">
        <f>IF(C100="","",COUNTIFS(Tasks!$E$2:$E$501,C100,Tasks!$G$2:$G$501,"Bug"))</f>
        <v/>
      </c>
      <c r="I100" s="15" t="n"/>
      <c r="J100" s="15" t="n"/>
      <c r="K100" s="15" t="n"/>
      <c r="L100" s="15" t="n"/>
      <c r="M100" s="15" t="n"/>
      <c r="N100" s="15" t="n"/>
      <c r="O100" s="15" t="n"/>
      <c r="P100" s="15" t="n"/>
      <c r="Q100" s="15" t="n"/>
      <c r="R100" s="15" t="n"/>
      <c r="S100" s="15" t="n"/>
      <c r="T100" s="15" t="n"/>
      <c r="U100" s="15" t="n"/>
      <c r="V100" s="15" t="n"/>
      <c r="W100" s="15" t="n"/>
      <c r="X100" s="15" t="n"/>
      <c r="Y100" s="15" t="n"/>
      <c r="Z100" s="15" t="n"/>
    </row>
    <row r="101" ht="15.75" customHeight="1" s="18">
      <c r="A101" s="16" t="n"/>
      <c r="B101" s="15" t="n"/>
      <c r="C101" s="15" t="n"/>
      <c r="D101" s="15" t="n"/>
      <c r="E101" s="15" t="n"/>
      <c r="F101" s="15" t="n"/>
      <c r="G101" s="15" t="n"/>
      <c r="H101" s="15" t="n"/>
      <c r="I101" s="15" t="n"/>
      <c r="J101" s="15" t="n"/>
      <c r="K101" s="15" t="n"/>
      <c r="L101" s="15" t="n"/>
      <c r="M101" s="15" t="n"/>
      <c r="N101" s="15" t="n"/>
      <c r="O101" s="15" t="n"/>
      <c r="P101" s="15" t="n"/>
      <c r="Q101" s="15" t="n"/>
      <c r="R101" s="15" t="n"/>
      <c r="S101" s="15" t="n"/>
      <c r="T101" s="15" t="n"/>
      <c r="U101" s="15" t="n"/>
      <c r="V101" s="15" t="n"/>
      <c r="W101" s="15" t="n"/>
      <c r="X101" s="15" t="n"/>
      <c r="Y101" s="15" t="n"/>
      <c r="Z101" s="15" t="n"/>
    </row>
    <row r="102" ht="15.75" customHeight="1" s="18">
      <c r="A102" s="16" t="n"/>
      <c r="B102" s="15" t="n"/>
      <c r="C102" s="15" t="n"/>
      <c r="D102" s="15" t="n"/>
      <c r="E102" s="15" t="n"/>
      <c r="F102" s="15" t="n"/>
      <c r="G102" s="15" t="n"/>
      <c r="H102" s="15" t="n"/>
      <c r="I102" s="15" t="n"/>
      <c r="J102" s="15" t="n"/>
      <c r="K102" s="15" t="n"/>
      <c r="L102" s="15" t="n"/>
      <c r="M102" s="15" t="n"/>
      <c r="N102" s="15" t="n"/>
      <c r="O102" s="15" t="n"/>
      <c r="P102" s="15" t="n"/>
      <c r="Q102" s="15" t="n"/>
      <c r="R102" s="15" t="n"/>
      <c r="S102" s="15" t="n"/>
      <c r="T102" s="15" t="n"/>
      <c r="U102" s="15" t="n"/>
      <c r="V102" s="15" t="n"/>
      <c r="W102" s="15" t="n"/>
      <c r="X102" s="15" t="n"/>
      <c r="Y102" s="15" t="n"/>
      <c r="Z102" s="15" t="n"/>
    </row>
    <row r="103" ht="15.75" customHeight="1" s="18">
      <c r="A103" s="16" t="n"/>
      <c r="B103" s="15" t="n"/>
      <c r="C103" s="15" t="n"/>
      <c r="D103" s="15" t="n"/>
      <c r="E103" s="15" t="n"/>
      <c r="F103" s="15" t="n"/>
      <c r="G103" s="15" t="n"/>
      <c r="H103" s="15" t="n"/>
      <c r="I103" s="15" t="n"/>
      <c r="J103" s="15" t="n"/>
      <c r="K103" s="15" t="n"/>
      <c r="L103" s="15" t="n"/>
      <c r="M103" s="15" t="n"/>
      <c r="N103" s="15" t="n"/>
      <c r="O103" s="15" t="n"/>
      <c r="P103" s="15" t="n"/>
      <c r="Q103" s="15" t="n"/>
      <c r="R103" s="15" t="n"/>
      <c r="S103" s="15" t="n"/>
      <c r="T103" s="15" t="n"/>
      <c r="U103" s="15" t="n"/>
      <c r="V103" s="15" t="n"/>
      <c r="W103" s="15" t="n"/>
      <c r="X103" s="15" t="n"/>
      <c r="Y103" s="15" t="n"/>
      <c r="Z103" s="15" t="n"/>
    </row>
    <row r="104" ht="15.75" customHeight="1" s="18">
      <c r="A104" s="16" t="n"/>
      <c r="B104" s="15" t="n"/>
      <c r="C104" s="15" t="n"/>
      <c r="D104" s="15" t="n"/>
      <c r="E104" s="15" t="n"/>
      <c r="F104" s="15" t="n"/>
      <c r="G104" s="15" t="n"/>
      <c r="H104" s="15" t="n"/>
      <c r="I104" s="15" t="n"/>
      <c r="J104" s="15" t="n"/>
      <c r="K104" s="15" t="n"/>
      <c r="L104" s="15" t="n"/>
      <c r="M104" s="15" t="n"/>
      <c r="N104" s="15" t="n"/>
      <c r="O104" s="15" t="n"/>
      <c r="P104" s="15" t="n"/>
      <c r="Q104" s="15" t="n"/>
      <c r="R104" s="15" t="n"/>
      <c r="S104" s="15" t="n"/>
      <c r="T104" s="15" t="n"/>
      <c r="U104" s="15" t="n"/>
      <c r="V104" s="15" t="n"/>
      <c r="W104" s="15" t="n"/>
      <c r="X104" s="15" t="n"/>
      <c r="Y104" s="15" t="n"/>
      <c r="Z104" s="15" t="n"/>
    </row>
    <row r="105" ht="15.75" customHeight="1" s="18">
      <c r="A105" s="16" t="n"/>
      <c r="B105" s="15" t="n"/>
      <c r="C105" s="15" t="n"/>
      <c r="D105" s="15" t="n"/>
      <c r="E105" s="15" t="n"/>
      <c r="F105" s="15" t="n"/>
      <c r="G105" s="15" t="n"/>
      <c r="H105" s="15" t="n"/>
      <c r="I105" s="15" t="n"/>
      <c r="J105" s="15" t="n"/>
      <c r="K105" s="15" t="n"/>
      <c r="L105" s="15" t="n"/>
      <c r="M105" s="15" t="n"/>
      <c r="N105" s="15" t="n"/>
      <c r="O105" s="15" t="n"/>
      <c r="P105" s="15" t="n"/>
      <c r="Q105" s="15" t="n"/>
      <c r="R105" s="15" t="n"/>
      <c r="S105" s="15" t="n"/>
      <c r="T105" s="15" t="n"/>
      <c r="U105" s="15" t="n"/>
      <c r="V105" s="15" t="n"/>
      <c r="W105" s="15" t="n"/>
      <c r="X105" s="15" t="n"/>
      <c r="Y105" s="15" t="n"/>
      <c r="Z105" s="15" t="n"/>
    </row>
    <row r="106" ht="15.75" customHeight="1" s="18">
      <c r="A106" s="16" t="n"/>
      <c r="B106" s="15" t="n"/>
      <c r="C106" s="15" t="n"/>
      <c r="D106" s="15" t="n"/>
      <c r="E106" s="15" t="n"/>
      <c r="F106" s="15" t="n"/>
      <c r="G106" s="15" t="n"/>
      <c r="H106" s="15" t="n"/>
      <c r="I106" s="15" t="n"/>
      <c r="J106" s="15" t="n"/>
      <c r="K106" s="15" t="n"/>
      <c r="L106" s="15" t="n"/>
      <c r="M106" s="15" t="n"/>
      <c r="N106" s="15" t="n"/>
      <c r="O106" s="15" t="n"/>
      <c r="P106" s="15" t="n"/>
      <c r="Q106" s="15" t="n"/>
      <c r="R106" s="15" t="n"/>
      <c r="S106" s="15" t="n"/>
      <c r="T106" s="15" t="n"/>
      <c r="U106" s="15" t="n"/>
      <c r="V106" s="15" t="n"/>
      <c r="W106" s="15" t="n"/>
      <c r="X106" s="15" t="n"/>
      <c r="Y106" s="15" t="n"/>
      <c r="Z106" s="15" t="n"/>
    </row>
    <row r="107" ht="15.75" customHeight="1" s="18">
      <c r="A107" s="16" t="n"/>
      <c r="B107" s="15" t="n"/>
      <c r="C107" s="15" t="n"/>
      <c r="D107" s="15" t="n"/>
      <c r="E107" s="15" t="n"/>
      <c r="F107" s="15" t="n"/>
      <c r="G107" s="15" t="n"/>
      <c r="H107" s="15" t="n"/>
      <c r="I107" s="15" t="n"/>
      <c r="J107" s="15" t="n"/>
      <c r="K107" s="15" t="n"/>
      <c r="L107" s="15" t="n"/>
      <c r="M107" s="15" t="n"/>
      <c r="N107" s="15" t="n"/>
      <c r="O107" s="15" t="n"/>
      <c r="P107" s="15" t="n"/>
      <c r="Q107" s="15" t="n"/>
      <c r="R107" s="15" t="n"/>
      <c r="S107" s="15" t="n"/>
      <c r="T107" s="15" t="n"/>
      <c r="U107" s="15" t="n"/>
      <c r="V107" s="15" t="n"/>
      <c r="W107" s="15" t="n"/>
      <c r="X107" s="15" t="n"/>
      <c r="Y107" s="15" t="n"/>
      <c r="Z107" s="15" t="n"/>
    </row>
    <row r="108" ht="15.75" customHeight="1" s="18">
      <c r="A108" s="16" t="n"/>
      <c r="B108" s="15" t="n"/>
      <c r="C108" s="15" t="n"/>
      <c r="D108" s="15" t="n"/>
      <c r="E108" s="15" t="n"/>
      <c r="F108" s="15" t="n"/>
      <c r="G108" s="15" t="n"/>
      <c r="H108" s="15" t="n"/>
      <c r="I108" s="15" t="n"/>
      <c r="J108" s="15" t="n"/>
      <c r="K108" s="15" t="n"/>
      <c r="L108" s="15" t="n"/>
      <c r="M108" s="15" t="n"/>
      <c r="N108" s="15" t="n"/>
      <c r="O108" s="15" t="n"/>
      <c r="P108" s="15" t="n"/>
      <c r="Q108" s="15" t="n"/>
      <c r="R108" s="15" t="n"/>
      <c r="S108" s="15" t="n"/>
      <c r="T108" s="15" t="n"/>
      <c r="U108" s="15" t="n"/>
      <c r="V108" s="15" t="n"/>
      <c r="W108" s="15" t="n"/>
      <c r="X108" s="15" t="n"/>
      <c r="Y108" s="15" t="n"/>
      <c r="Z108" s="15" t="n"/>
    </row>
    <row r="109" ht="15.75" customHeight="1" s="18">
      <c r="A109" s="16" t="n"/>
      <c r="B109" s="15" t="n"/>
      <c r="C109" s="15" t="n"/>
      <c r="D109" s="15" t="n"/>
      <c r="E109" s="15" t="n"/>
      <c r="F109" s="15" t="n"/>
      <c r="G109" s="15" t="n"/>
      <c r="H109" s="15" t="n"/>
      <c r="I109" s="15" t="n"/>
      <c r="J109" s="15" t="n"/>
      <c r="K109" s="15" t="n"/>
      <c r="L109" s="15" t="n"/>
      <c r="M109" s="15" t="n"/>
      <c r="N109" s="15" t="n"/>
      <c r="O109" s="15" t="n"/>
      <c r="P109" s="15" t="n"/>
      <c r="Q109" s="15" t="n"/>
      <c r="R109" s="15" t="n"/>
      <c r="S109" s="15" t="n"/>
      <c r="T109" s="15" t="n"/>
      <c r="U109" s="15" t="n"/>
      <c r="V109" s="15" t="n"/>
      <c r="W109" s="15" t="n"/>
      <c r="X109" s="15" t="n"/>
      <c r="Y109" s="15" t="n"/>
      <c r="Z109" s="15" t="n"/>
    </row>
    <row r="110" ht="15.75" customHeight="1" s="18">
      <c r="A110" s="16" t="n"/>
      <c r="B110" s="15" t="n"/>
      <c r="C110" s="15" t="n"/>
      <c r="D110" s="15" t="n"/>
      <c r="E110" s="15" t="n"/>
      <c r="F110" s="15" t="n"/>
      <c r="G110" s="15" t="n"/>
      <c r="H110" s="15" t="n"/>
      <c r="I110" s="15" t="n"/>
      <c r="J110" s="15" t="n"/>
      <c r="K110" s="15" t="n"/>
      <c r="L110" s="15" t="n"/>
      <c r="M110" s="15" t="n"/>
      <c r="N110" s="15" t="n"/>
      <c r="O110" s="15" t="n"/>
      <c r="P110" s="15" t="n"/>
      <c r="Q110" s="15" t="n"/>
      <c r="R110" s="15" t="n"/>
      <c r="S110" s="15" t="n"/>
      <c r="T110" s="15" t="n"/>
      <c r="U110" s="15" t="n"/>
      <c r="V110" s="15" t="n"/>
      <c r="W110" s="15" t="n"/>
      <c r="X110" s="15" t="n"/>
      <c r="Y110" s="15" t="n"/>
      <c r="Z110" s="15" t="n"/>
    </row>
    <row r="111" ht="15.75" customHeight="1" s="18">
      <c r="A111" s="16" t="n"/>
      <c r="B111" s="15" t="n"/>
      <c r="C111" s="15" t="n"/>
      <c r="D111" s="15" t="n"/>
      <c r="E111" s="15" t="n"/>
      <c r="F111" s="15" t="n"/>
      <c r="G111" s="15" t="n"/>
      <c r="H111" s="15" t="n"/>
      <c r="I111" s="15" t="n"/>
      <c r="J111" s="15" t="n"/>
      <c r="K111" s="15" t="n"/>
      <c r="L111" s="15" t="n"/>
      <c r="M111" s="15" t="n"/>
      <c r="N111" s="15" t="n"/>
      <c r="O111" s="15" t="n"/>
      <c r="P111" s="15" t="n"/>
      <c r="Q111" s="15" t="n"/>
      <c r="R111" s="15" t="n"/>
      <c r="S111" s="15" t="n"/>
      <c r="T111" s="15" t="n"/>
      <c r="U111" s="15" t="n"/>
      <c r="V111" s="15" t="n"/>
      <c r="W111" s="15" t="n"/>
      <c r="X111" s="15" t="n"/>
      <c r="Y111" s="15" t="n"/>
      <c r="Z111" s="15" t="n"/>
    </row>
    <row r="112" ht="15.75" customHeight="1" s="18">
      <c r="A112" s="16" t="n"/>
      <c r="B112" s="15" t="n"/>
      <c r="C112" s="15" t="n"/>
      <c r="D112" s="15" t="n"/>
      <c r="E112" s="15" t="n"/>
      <c r="F112" s="15" t="n"/>
      <c r="G112" s="15" t="n"/>
      <c r="H112" s="15" t="n"/>
      <c r="I112" s="15" t="n"/>
      <c r="J112" s="15" t="n"/>
      <c r="K112" s="15" t="n"/>
      <c r="L112" s="15" t="n"/>
      <c r="M112" s="15" t="n"/>
      <c r="N112" s="15" t="n"/>
      <c r="O112" s="15" t="n"/>
      <c r="P112" s="15" t="n"/>
      <c r="Q112" s="15" t="n"/>
      <c r="R112" s="15" t="n"/>
      <c r="S112" s="15" t="n"/>
      <c r="T112" s="15" t="n"/>
      <c r="U112" s="15" t="n"/>
      <c r="V112" s="15" t="n"/>
      <c r="W112" s="15" t="n"/>
      <c r="X112" s="15" t="n"/>
      <c r="Y112" s="15" t="n"/>
      <c r="Z112" s="15" t="n"/>
    </row>
    <row r="113" ht="15.75" customHeight="1" s="18">
      <c r="A113" s="16" t="n"/>
      <c r="B113" s="15" t="n"/>
      <c r="C113" s="15" t="n"/>
      <c r="D113" s="15" t="n"/>
      <c r="E113" s="15" t="n"/>
      <c r="F113" s="15" t="n"/>
      <c r="G113" s="15" t="n"/>
      <c r="H113" s="15" t="n"/>
      <c r="I113" s="15" t="n"/>
      <c r="J113" s="15" t="n"/>
      <c r="K113" s="15" t="n"/>
      <c r="L113" s="15" t="n"/>
      <c r="M113" s="15" t="n"/>
      <c r="N113" s="15" t="n"/>
      <c r="O113" s="15" t="n"/>
      <c r="P113" s="15" t="n"/>
      <c r="Q113" s="15" t="n"/>
      <c r="R113" s="15" t="n"/>
      <c r="S113" s="15" t="n"/>
      <c r="T113" s="15" t="n"/>
      <c r="U113" s="15" t="n"/>
      <c r="V113" s="15" t="n"/>
      <c r="W113" s="15" t="n"/>
      <c r="X113" s="15" t="n"/>
      <c r="Y113" s="15" t="n"/>
      <c r="Z113" s="15" t="n"/>
    </row>
    <row r="114" ht="15.75" customHeight="1" s="18">
      <c r="A114" s="16" t="n"/>
      <c r="B114" s="15" t="n"/>
      <c r="C114" s="15" t="n"/>
      <c r="D114" s="15" t="n"/>
      <c r="E114" s="15" t="n"/>
      <c r="F114" s="15" t="n"/>
      <c r="G114" s="15" t="n"/>
      <c r="H114" s="15" t="n"/>
      <c r="I114" s="15" t="n"/>
      <c r="J114" s="15" t="n"/>
      <c r="K114" s="15" t="n"/>
      <c r="L114" s="15" t="n"/>
      <c r="M114" s="15" t="n"/>
      <c r="N114" s="15" t="n"/>
      <c r="O114" s="15" t="n"/>
      <c r="P114" s="15" t="n"/>
      <c r="Q114" s="15" t="n"/>
      <c r="R114" s="15" t="n"/>
      <c r="S114" s="15" t="n"/>
      <c r="T114" s="15" t="n"/>
      <c r="U114" s="15" t="n"/>
      <c r="V114" s="15" t="n"/>
      <c r="W114" s="15" t="n"/>
      <c r="X114" s="15" t="n"/>
      <c r="Y114" s="15" t="n"/>
      <c r="Z114" s="15" t="n"/>
    </row>
    <row r="115" ht="15.75" customHeight="1" s="18">
      <c r="A115" s="16" t="n"/>
      <c r="B115" s="15" t="n"/>
      <c r="C115" s="15" t="n"/>
      <c r="D115" s="15" t="n"/>
      <c r="E115" s="15" t="n"/>
      <c r="F115" s="15" t="n"/>
      <c r="G115" s="15" t="n"/>
      <c r="H115" s="15" t="n"/>
      <c r="I115" s="15" t="n"/>
      <c r="J115" s="15" t="n"/>
      <c r="K115" s="15" t="n"/>
      <c r="L115" s="15" t="n"/>
      <c r="M115" s="15" t="n"/>
      <c r="N115" s="15" t="n"/>
      <c r="O115" s="15" t="n"/>
      <c r="P115" s="15" t="n"/>
      <c r="Q115" s="15" t="n"/>
      <c r="R115" s="15" t="n"/>
      <c r="S115" s="15" t="n"/>
      <c r="T115" s="15" t="n"/>
      <c r="U115" s="15" t="n"/>
      <c r="V115" s="15" t="n"/>
      <c r="W115" s="15" t="n"/>
      <c r="X115" s="15" t="n"/>
      <c r="Y115" s="15" t="n"/>
      <c r="Z115" s="15" t="n"/>
    </row>
    <row r="116" ht="15.75" customHeight="1" s="18">
      <c r="A116" s="16" t="n"/>
      <c r="B116" s="15" t="n"/>
      <c r="C116" s="15" t="n"/>
      <c r="D116" s="15" t="n"/>
      <c r="E116" s="15" t="n"/>
      <c r="F116" s="15" t="n"/>
      <c r="G116" s="15" t="n"/>
      <c r="H116" s="15" t="n"/>
      <c r="I116" s="15" t="n"/>
      <c r="J116" s="15" t="n"/>
      <c r="K116" s="15" t="n"/>
      <c r="L116" s="15" t="n"/>
      <c r="M116" s="15" t="n"/>
      <c r="N116" s="15" t="n"/>
      <c r="O116" s="15" t="n"/>
      <c r="P116" s="15" t="n"/>
      <c r="Q116" s="15" t="n"/>
      <c r="R116" s="15" t="n"/>
      <c r="S116" s="15" t="n"/>
      <c r="T116" s="15" t="n"/>
      <c r="U116" s="15" t="n"/>
      <c r="V116" s="15" t="n"/>
      <c r="W116" s="15" t="n"/>
      <c r="X116" s="15" t="n"/>
      <c r="Y116" s="15" t="n"/>
      <c r="Z116" s="15" t="n"/>
    </row>
    <row r="117" ht="15.75" customHeight="1" s="18">
      <c r="A117" s="16" t="n"/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5" t="n"/>
      <c r="K117" s="15" t="n"/>
      <c r="L117" s="15" t="n"/>
      <c r="M117" s="15" t="n"/>
      <c r="N117" s="15" t="n"/>
      <c r="O117" s="15" t="n"/>
      <c r="P117" s="15" t="n"/>
      <c r="Q117" s="15" t="n"/>
      <c r="R117" s="15" t="n"/>
      <c r="S117" s="15" t="n"/>
      <c r="T117" s="15" t="n"/>
      <c r="U117" s="15" t="n"/>
      <c r="V117" s="15" t="n"/>
      <c r="W117" s="15" t="n"/>
      <c r="X117" s="15" t="n"/>
      <c r="Y117" s="15" t="n"/>
      <c r="Z117" s="15" t="n"/>
    </row>
    <row r="118" ht="15.75" customHeight="1" s="18">
      <c r="A118" s="16" t="n"/>
      <c r="B118" s="15" t="n"/>
      <c r="C118" s="15" t="n"/>
      <c r="D118" s="15" t="n"/>
      <c r="E118" s="15" t="n"/>
      <c r="F118" s="15" t="n"/>
      <c r="G118" s="15" t="n"/>
      <c r="H118" s="15" t="n"/>
      <c r="I118" s="15" t="n"/>
      <c r="J118" s="15" t="n"/>
      <c r="K118" s="15" t="n"/>
      <c r="L118" s="15" t="n"/>
      <c r="M118" s="15" t="n"/>
      <c r="N118" s="15" t="n"/>
      <c r="O118" s="15" t="n"/>
      <c r="P118" s="15" t="n"/>
      <c r="Q118" s="15" t="n"/>
      <c r="R118" s="15" t="n"/>
      <c r="S118" s="15" t="n"/>
      <c r="T118" s="15" t="n"/>
      <c r="U118" s="15" t="n"/>
      <c r="V118" s="15" t="n"/>
      <c r="W118" s="15" t="n"/>
      <c r="X118" s="15" t="n"/>
      <c r="Y118" s="15" t="n"/>
      <c r="Z118" s="15" t="n"/>
    </row>
    <row r="119" ht="15.75" customHeight="1" s="18">
      <c r="A119" s="16" t="n"/>
      <c r="B119" s="15" t="n"/>
      <c r="C119" s="15" t="n"/>
      <c r="D119" s="15" t="n"/>
      <c r="E119" s="15" t="n"/>
      <c r="F119" s="15" t="n"/>
      <c r="G119" s="15" t="n"/>
      <c r="H119" s="15" t="n"/>
      <c r="I119" s="15" t="n"/>
      <c r="J119" s="15" t="n"/>
      <c r="K119" s="15" t="n"/>
      <c r="L119" s="15" t="n"/>
      <c r="M119" s="15" t="n"/>
      <c r="N119" s="15" t="n"/>
      <c r="O119" s="15" t="n"/>
      <c r="P119" s="15" t="n"/>
      <c r="Q119" s="15" t="n"/>
      <c r="R119" s="15" t="n"/>
      <c r="S119" s="15" t="n"/>
      <c r="T119" s="15" t="n"/>
      <c r="U119" s="15" t="n"/>
      <c r="V119" s="15" t="n"/>
      <c r="W119" s="15" t="n"/>
      <c r="X119" s="15" t="n"/>
      <c r="Y119" s="15" t="n"/>
      <c r="Z119" s="15" t="n"/>
    </row>
    <row r="120" ht="15.75" customHeight="1" s="18">
      <c r="A120" s="16" t="n"/>
      <c r="B120" s="15" t="n"/>
      <c r="C120" s="15" t="n"/>
      <c r="D120" s="15" t="n"/>
      <c r="E120" s="15" t="n"/>
      <c r="F120" s="15" t="n"/>
      <c r="G120" s="15" t="n"/>
      <c r="H120" s="15" t="n"/>
      <c r="I120" s="15" t="n"/>
      <c r="J120" s="15" t="n"/>
      <c r="K120" s="15" t="n"/>
      <c r="L120" s="15" t="n"/>
      <c r="M120" s="15" t="n"/>
      <c r="N120" s="15" t="n"/>
      <c r="O120" s="15" t="n"/>
      <c r="P120" s="15" t="n"/>
      <c r="Q120" s="15" t="n"/>
      <c r="R120" s="15" t="n"/>
      <c r="S120" s="15" t="n"/>
      <c r="T120" s="15" t="n"/>
      <c r="U120" s="15" t="n"/>
      <c r="V120" s="15" t="n"/>
      <c r="W120" s="15" t="n"/>
      <c r="X120" s="15" t="n"/>
      <c r="Y120" s="15" t="n"/>
      <c r="Z120" s="15" t="n"/>
    </row>
    <row r="121" ht="15.75" customHeight="1" s="18">
      <c r="A121" s="16" t="n"/>
      <c r="B121" s="15" t="n"/>
      <c r="C121" s="15" t="n"/>
      <c r="D121" s="15" t="n"/>
      <c r="E121" s="15" t="n"/>
      <c r="F121" s="15" t="n"/>
      <c r="G121" s="15" t="n"/>
      <c r="H121" s="15" t="n"/>
      <c r="I121" s="15" t="n"/>
      <c r="J121" s="15" t="n"/>
      <c r="K121" s="15" t="n"/>
      <c r="L121" s="15" t="n"/>
      <c r="M121" s="15" t="n"/>
      <c r="N121" s="15" t="n"/>
      <c r="O121" s="15" t="n"/>
      <c r="P121" s="15" t="n"/>
      <c r="Q121" s="15" t="n"/>
      <c r="R121" s="15" t="n"/>
      <c r="S121" s="15" t="n"/>
      <c r="T121" s="15" t="n"/>
      <c r="U121" s="15" t="n"/>
      <c r="V121" s="15" t="n"/>
      <c r="W121" s="15" t="n"/>
      <c r="X121" s="15" t="n"/>
      <c r="Y121" s="15" t="n"/>
      <c r="Z121" s="15" t="n"/>
    </row>
    <row r="122" ht="15.75" customHeight="1" s="18">
      <c r="A122" s="16" t="n"/>
      <c r="B122" s="15" t="n"/>
      <c r="C122" s="15" t="n"/>
      <c r="D122" s="15" t="n"/>
      <c r="E122" s="15" t="n"/>
      <c r="F122" s="15" t="n"/>
      <c r="G122" s="15" t="n"/>
      <c r="H122" s="15" t="n"/>
      <c r="I122" s="15" t="n"/>
      <c r="J122" s="15" t="n"/>
      <c r="K122" s="15" t="n"/>
      <c r="L122" s="15" t="n"/>
      <c r="M122" s="15" t="n"/>
      <c r="N122" s="15" t="n"/>
      <c r="O122" s="15" t="n"/>
      <c r="P122" s="15" t="n"/>
      <c r="Q122" s="15" t="n"/>
      <c r="R122" s="15" t="n"/>
      <c r="S122" s="15" t="n"/>
      <c r="T122" s="15" t="n"/>
      <c r="U122" s="15" t="n"/>
      <c r="V122" s="15" t="n"/>
      <c r="W122" s="15" t="n"/>
      <c r="X122" s="15" t="n"/>
      <c r="Y122" s="15" t="n"/>
      <c r="Z122" s="15" t="n"/>
    </row>
    <row r="123" ht="15.75" customHeight="1" s="18">
      <c r="A123" s="16" t="n"/>
      <c r="B123" s="15" t="n"/>
      <c r="C123" s="15" t="n"/>
      <c r="D123" s="15" t="n"/>
      <c r="E123" s="15" t="n"/>
      <c r="F123" s="15" t="n"/>
      <c r="G123" s="15" t="n"/>
      <c r="H123" s="15" t="n"/>
      <c r="I123" s="15" t="n"/>
      <c r="J123" s="15" t="n"/>
      <c r="K123" s="15" t="n"/>
      <c r="L123" s="15" t="n"/>
      <c r="M123" s="15" t="n"/>
      <c r="N123" s="15" t="n"/>
      <c r="O123" s="15" t="n"/>
      <c r="P123" s="15" t="n"/>
      <c r="Q123" s="15" t="n"/>
      <c r="R123" s="15" t="n"/>
      <c r="S123" s="15" t="n"/>
      <c r="T123" s="15" t="n"/>
      <c r="U123" s="15" t="n"/>
      <c r="V123" s="15" t="n"/>
      <c r="W123" s="15" t="n"/>
      <c r="X123" s="15" t="n"/>
      <c r="Y123" s="15" t="n"/>
      <c r="Z123" s="15" t="n"/>
    </row>
    <row r="124" ht="15.75" customHeight="1" s="18">
      <c r="A124" s="16" t="n"/>
      <c r="B124" s="15" t="n"/>
      <c r="C124" s="15" t="n"/>
      <c r="D124" s="15" t="n"/>
      <c r="E124" s="15" t="n"/>
      <c r="F124" s="15" t="n"/>
      <c r="G124" s="15" t="n"/>
      <c r="H124" s="15" t="n"/>
      <c r="I124" s="15" t="n"/>
      <c r="J124" s="15" t="n"/>
      <c r="K124" s="15" t="n"/>
      <c r="L124" s="15" t="n"/>
      <c r="M124" s="15" t="n"/>
      <c r="N124" s="15" t="n"/>
      <c r="O124" s="15" t="n"/>
      <c r="P124" s="15" t="n"/>
      <c r="Q124" s="15" t="n"/>
      <c r="R124" s="15" t="n"/>
      <c r="S124" s="15" t="n"/>
      <c r="T124" s="15" t="n"/>
      <c r="U124" s="15" t="n"/>
      <c r="V124" s="15" t="n"/>
      <c r="W124" s="15" t="n"/>
      <c r="X124" s="15" t="n"/>
      <c r="Y124" s="15" t="n"/>
      <c r="Z124" s="15" t="n"/>
    </row>
    <row r="125" ht="15.75" customHeight="1" s="18">
      <c r="A125" s="16" t="n"/>
      <c r="B125" s="15" t="n"/>
      <c r="C125" s="15" t="n"/>
      <c r="D125" s="15" t="n"/>
      <c r="E125" s="15" t="n"/>
      <c r="F125" s="15" t="n"/>
      <c r="G125" s="15" t="n"/>
      <c r="H125" s="15" t="n"/>
      <c r="I125" s="15" t="n"/>
      <c r="J125" s="15" t="n"/>
      <c r="K125" s="15" t="n"/>
      <c r="L125" s="15" t="n"/>
      <c r="M125" s="15" t="n"/>
      <c r="N125" s="15" t="n"/>
      <c r="O125" s="15" t="n"/>
      <c r="P125" s="15" t="n"/>
      <c r="Q125" s="15" t="n"/>
      <c r="R125" s="15" t="n"/>
      <c r="S125" s="15" t="n"/>
      <c r="T125" s="15" t="n"/>
      <c r="U125" s="15" t="n"/>
      <c r="V125" s="15" t="n"/>
      <c r="W125" s="15" t="n"/>
      <c r="X125" s="15" t="n"/>
      <c r="Y125" s="15" t="n"/>
      <c r="Z125" s="15" t="n"/>
    </row>
    <row r="126" ht="15.75" customHeight="1" s="18">
      <c r="A126" s="16" t="n"/>
      <c r="B126" s="15" t="n"/>
      <c r="C126" s="15" t="n"/>
      <c r="D126" s="15" t="n"/>
      <c r="E126" s="15" t="n"/>
      <c r="F126" s="15" t="n"/>
      <c r="G126" s="15" t="n"/>
      <c r="H126" s="15" t="n"/>
      <c r="I126" s="15" t="n"/>
      <c r="J126" s="15" t="n"/>
      <c r="K126" s="15" t="n"/>
      <c r="L126" s="15" t="n"/>
      <c r="M126" s="15" t="n"/>
      <c r="N126" s="15" t="n"/>
      <c r="O126" s="15" t="n"/>
      <c r="P126" s="15" t="n"/>
      <c r="Q126" s="15" t="n"/>
      <c r="R126" s="15" t="n"/>
      <c r="S126" s="15" t="n"/>
      <c r="T126" s="15" t="n"/>
      <c r="U126" s="15" t="n"/>
      <c r="V126" s="15" t="n"/>
      <c r="W126" s="15" t="n"/>
      <c r="X126" s="15" t="n"/>
      <c r="Y126" s="15" t="n"/>
      <c r="Z126" s="15" t="n"/>
    </row>
    <row r="127" ht="15.75" customHeight="1" s="18">
      <c r="A127" s="16" t="n"/>
      <c r="B127" s="15" t="n"/>
      <c r="C127" s="15" t="n"/>
      <c r="D127" s="15" t="n"/>
      <c r="E127" s="15" t="n"/>
      <c r="F127" s="15" t="n"/>
      <c r="G127" s="15" t="n"/>
      <c r="H127" s="15" t="n"/>
      <c r="I127" s="15" t="n"/>
      <c r="J127" s="15" t="n"/>
      <c r="K127" s="15" t="n"/>
      <c r="L127" s="15" t="n"/>
      <c r="M127" s="15" t="n"/>
      <c r="N127" s="15" t="n"/>
      <c r="O127" s="15" t="n"/>
      <c r="P127" s="15" t="n"/>
      <c r="Q127" s="15" t="n"/>
      <c r="R127" s="15" t="n"/>
      <c r="S127" s="15" t="n"/>
      <c r="T127" s="15" t="n"/>
      <c r="U127" s="15" t="n"/>
      <c r="V127" s="15" t="n"/>
      <c r="W127" s="15" t="n"/>
      <c r="X127" s="15" t="n"/>
      <c r="Y127" s="15" t="n"/>
      <c r="Z127" s="15" t="n"/>
    </row>
    <row r="128" ht="15.75" customHeight="1" s="18">
      <c r="A128" s="16" t="n"/>
      <c r="B128" s="15" t="n"/>
      <c r="C128" s="15" t="n"/>
      <c r="D128" s="15" t="n"/>
      <c r="E128" s="15" t="n"/>
      <c r="F128" s="15" t="n"/>
      <c r="G128" s="15" t="n"/>
      <c r="H128" s="15" t="n"/>
      <c r="I128" s="15" t="n"/>
      <c r="J128" s="15" t="n"/>
      <c r="K128" s="15" t="n"/>
      <c r="L128" s="15" t="n"/>
      <c r="M128" s="15" t="n"/>
      <c r="N128" s="15" t="n"/>
      <c r="O128" s="15" t="n"/>
      <c r="P128" s="15" t="n"/>
      <c r="Q128" s="15" t="n"/>
      <c r="R128" s="15" t="n"/>
      <c r="S128" s="15" t="n"/>
      <c r="T128" s="15" t="n"/>
      <c r="U128" s="15" t="n"/>
      <c r="V128" s="15" t="n"/>
      <c r="W128" s="15" t="n"/>
      <c r="X128" s="15" t="n"/>
      <c r="Y128" s="15" t="n"/>
      <c r="Z128" s="15" t="n"/>
    </row>
    <row r="129" ht="15.75" customHeight="1" s="18">
      <c r="A129" s="16" t="n"/>
      <c r="B129" s="15" t="n"/>
      <c r="C129" s="15" t="n"/>
      <c r="D129" s="15" t="n"/>
      <c r="E129" s="15" t="n"/>
      <c r="F129" s="15" t="n"/>
      <c r="G129" s="15" t="n"/>
      <c r="H129" s="15" t="n"/>
      <c r="I129" s="15" t="n"/>
      <c r="J129" s="15" t="n"/>
      <c r="K129" s="15" t="n"/>
      <c r="L129" s="15" t="n"/>
      <c r="M129" s="15" t="n"/>
      <c r="N129" s="15" t="n"/>
      <c r="O129" s="15" t="n"/>
      <c r="P129" s="15" t="n"/>
      <c r="Q129" s="15" t="n"/>
      <c r="R129" s="15" t="n"/>
      <c r="S129" s="15" t="n"/>
      <c r="T129" s="15" t="n"/>
      <c r="U129" s="15" t="n"/>
      <c r="V129" s="15" t="n"/>
      <c r="W129" s="15" t="n"/>
      <c r="X129" s="15" t="n"/>
      <c r="Y129" s="15" t="n"/>
      <c r="Z129" s="15" t="n"/>
    </row>
    <row r="130" ht="15.75" customHeight="1" s="18">
      <c r="A130" s="16" t="n"/>
      <c r="B130" s="15" t="n"/>
      <c r="C130" s="15" t="n"/>
      <c r="D130" s="15" t="n"/>
      <c r="E130" s="15" t="n"/>
      <c r="F130" s="15" t="n"/>
      <c r="G130" s="15" t="n"/>
      <c r="H130" s="15" t="n"/>
      <c r="I130" s="15" t="n"/>
      <c r="J130" s="15" t="n"/>
      <c r="K130" s="15" t="n"/>
      <c r="L130" s="15" t="n"/>
      <c r="M130" s="15" t="n"/>
      <c r="N130" s="15" t="n"/>
      <c r="O130" s="15" t="n"/>
      <c r="P130" s="15" t="n"/>
      <c r="Q130" s="15" t="n"/>
      <c r="R130" s="15" t="n"/>
      <c r="S130" s="15" t="n"/>
      <c r="T130" s="15" t="n"/>
      <c r="U130" s="15" t="n"/>
      <c r="V130" s="15" t="n"/>
      <c r="W130" s="15" t="n"/>
      <c r="X130" s="15" t="n"/>
      <c r="Y130" s="15" t="n"/>
      <c r="Z130" s="15" t="n"/>
    </row>
    <row r="131" ht="15.75" customHeight="1" s="18">
      <c r="A131" s="16" t="n"/>
      <c r="B131" s="15" t="n"/>
      <c r="C131" s="15" t="n"/>
      <c r="D131" s="15" t="n"/>
      <c r="E131" s="15" t="n"/>
      <c r="F131" s="15" t="n"/>
      <c r="G131" s="15" t="n"/>
      <c r="H131" s="15" t="n"/>
      <c r="I131" s="15" t="n"/>
      <c r="J131" s="15" t="n"/>
      <c r="K131" s="15" t="n"/>
      <c r="L131" s="15" t="n"/>
      <c r="M131" s="15" t="n"/>
      <c r="N131" s="15" t="n"/>
      <c r="O131" s="15" t="n"/>
      <c r="P131" s="15" t="n"/>
      <c r="Q131" s="15" t="n"/>
      <c r="R131" s="15" t="n"/>
      <c r="S131" s="15" t="n"/>
      <c r="T131" s="15" t="n"/>
      <c r="U131" s="15" t="n"/>
      <c r="V131" s="15" t="n"/>
      <c r="W131" s="15" t="n"/>
      <c r="X131" s="15" t="n"/>
      <c r="Y131" s="15" t="n"/>
      <c r="Z131" s="15" t="n"/>
    </row>
    <row r="132" ht="15.75" customHeight="1" s="18">
      <c r="A132" s="16" t="n"/>
      <c r="B132" s="15" t="n"/>
      <c r="C132" s="15" t="n"/>
      <c r="D132" s="15" t="n"/>
      <c r="E132" s="15" t="n"/>
      <c r="F132" s="15" t="n"/>
      <c r="G132" s="15" t="n"/>
      <c r="H132" s="15" t="n"/>
      <c r="I132" s="15" t="n"/>
      <c r="J132" s="15" t="n"/>
      <c r="K132" s="15" t="n"/>
      <c r="L132" s="15" t="n"/>
      <c r="M132" s="15" t="n"/>
      <c r="N132" s="15" t="n"/>
      <c r="O132" s="15" t="n"/>
      <c r="P132" s="15" t="n"/>
      <c r="Q132" s="15" t="n"/>
      <c r="R132" s="15" t="n"/>
      <c r="S132" s="15" t="n"/>
      <c r="T132" s="15" t="n"/>
      <c r="U132" s="15" t="n"/>
      <c r="V132" s="15" t="n"/>
      <c r="W132" s="15" t="n"/>
      <c r="X132" s="15" t="n"/>
      <c r="Y132" s="15" t="n"/>
      <c r="Z132" s="15" t="n"/>
    </row>
    <row r="133" ht="15.75" customHeight="1" s="18">
      <c r="A133" s="16" t="n"/>
      <c r="B133" s="15" t="n"/>
      <c r="C133" s="15" t="n"/>
      <c r="D133" s="15" t="n"/>
      <c r="E133" s="15" t="n"/>
      <c r="F133" s="15" t="n"/>
      <c r="G133" s="15" t="n"/>
      <c r="H133" s="15" t="n"/>
      <c r="I133" s="15" t="n"/>
      <c r="J133" s="15" t="n"/>
      <c r="K133" s="15" t="n"/>
      <c r="L133" s="15" t="n"/>
      <c r="M133" s="15" t="n"/>
      <c r="N133" s="15" t="n"/>
      <c r="O133" s="15" t="n"/>
      <c r="P133" s="15" t="n"/>
      <c r="Q133" s="15" t="n"/>
      <c r="R133" s="15" t="n"/>
      <c r="S133" s="15" t="n"/>
      <c r="T133" s="15" t="n"/>
      <c r="U133" s="15" t="n"/>
      <c r="V133" s="15" t="n"/>
      <c r="W133" s="15" t="n"/>
      <c r="X133" s="15" t="n"/>
      <c r="Y133" s="15" t="n"/>
      <c r="Z133" s="15" t="n"/>
    </row>
    <row r="134" ht="15.75" customHeight="1" s="18">
      <c r="A134" s="16" t="n"/>
      <c r="B134" s="15" t="n"/>
      <c r="C134" s="15" t="n"/>
      <c r="D134" s="15" t="n"/>
      <c r="E134" s="15" t="n"/>
      <c r="F134" s="15" t="n"/>
      <c r="G134" s="15" t="n"/>
      <c r="H134" s="15" t="n"/>
      <c r="I134" s="15" t="n"/>
      <c r="J134" s="15" t="n"/>
      <c r="K134" s="15" t="n"/>
      <c r="L134" s="15" t="n"/>
      <c r="M134" s="15" t="n"/>
      <c r="N134" s="15" t="n"/>
      <c r="O134" s="15" t="n"/>
      <c r="P134" s="15" t="n"/>
      <c r="Q134" s="15" t="n"/>
      <c r="R134" s="15" t="n"/>
      <c r="S134" s="15" t="n"/>
      <c r="T134" s="15" t="n"/>
      <c r="U134" s="15" t="n"/>
      <c r="V134" s="15" t="n"/>
      <c r="W134" s="15" t="n"/>
      <c r="X134" s="15" t="n"/>
      <c r="Y134" s="15" t="n"/>
      <c r="Z134" s="15" t="n"/>
    </row>
    <row r="135" ht="15.75" customHeight="1" s="18">
      <c r="A135" s="16" t="n"/>
      <c r="B135" s="15" t="n"/>
      <c r="C135" s="15" t="n"/>
      <c r="D135" s="15" t="n"/>
      <c r="E135" s="15" t="n"/>
      <c r="F135" s="15" t="n"/>
      <c r="G135" s="15" t="n"/>
      <c r="H135" s="15" t="n"/>
      <c r="I135" s="15" t="n"/>
      <c r="J135" s="15" t="n"/>
      <c r="K135" s="15" t="n"/>
      <c r="L135" s="15" t="n"/>
      <c r="M135" s="15" t="n"/>
      <c r="N135" s="15" t="n"/>
      <c r="O135" s="15" t="n"/>
      <c r="P135" s="15" t="n"/>
      <c r="Q135" s="15" t="n"/>
      <c r="R135" s="15" t="n"/>
      <c r="S135" s="15" t="n"/>
      <c r="T135" s="15" t="n"/>
      <c r="U135" s="15" t="n"/>
      <c r="V135" s="15" t="n"/>
      <c r="W135" s="15" t="n"/>
      <c r="X135" s="15" t="n"/>
      <c r="Y135" s="15" t="n"/>
      <c r="Z135" s="15" t="n"/>
    </row>
    <row r="136" ht="15.75" customHeight="1" s="18">
      <c r="A136" s="16" t="n"/>
      <c r="B136" s="15" t="n"/>
      <c r="C136" s="15" t="n"/>
      <c r="D136" s="15" t="n"/>
      <c r="E136" s="15" t="n"/>
      <c r="F136" s="15" t="n"/>
      <c r="G136" s="15" t="n"/>
      <c r="H136" s="15" t="n"/>
      <c r="I136" s="15" t="n"/>
      <c r="J136" s="15" t="n"/>
      <c r="K136" s="15" t="n"/>
      <c r="L136" s="15" t="n"/>
      <c r="M136" s="15" t="n"/>
      <c r="N136" s="15" t="n"/>
      <c r="O136" s="15" t="n"/>
      <c r="P136" s="15" t="n"/>
      <c r="Q136" s="15" t="n"/>
      <c r="R136" s="15" t="n"/>
      <c r="S136" s="15" t="n"/>
      <c r="T136" s="15" t="n"/>
      <c r="U136" s="15" t="n"/>
      <c r="V136" s="15" t="n"/>
      <c r="W136" s="15" t="n"/>
      <c r="X136" s="15" t="n"/>
      <c r="Y136" s="15" t="n"/>
      <c r="Z136" s="15" t="n"/>
    </row>
    <row r="137" ht="15.75" customHeight="1" s="18">
      <c r="A137" s="16" t="n"/>
      <c r="B137" s="15" t="n"/>
      <c r="C137" s="15" t="n"/>
      <c r="D137" s="15" t="n"/>
      <c r="E137" s="15" t="n"/>
      <c r="F137" s="15" t="n"/>
      <c r="G137" s="15" t="n"/>
      <c r="H137" s="15" t="n"/>
      <c r="I137" s="15" t="n"/>
      <c r="J137" s="15" t="n"/>
      <c r="K137" s="15" t="n"/>
      <c r="L137" s="15" t="n"/>
      <c r="M137" s="15" t="n"/>
      <c r="N137" s="15" t="n"/>
      <c r="O137" s="15" t="n"/>
      <c r="P137" s="15" t="n"/>
      <c r="Q137" s="15" t="n"/>
      <c r="R137" s="15" t="n"/>
      <c r="S137" s="15" t="n"/>
      <c r="T137" s="15" t="n"/>
      <c r="U137" s="15" t="n"/>
      <c r="V137" s="15" t="n"/>
      <c r="W137" s="15" t="n"/>
      <c r="X137" s="15" t="n"/>
      <c r="Y137" s="15" t="n"/>
      <c r="Z137" s="15" t="n"/>
    </row>
    <row r="138" ht="15.75" customHeight="1" s="18">
      <c r="A138" s="16" t="n"/>
      <c r="B138" s="15" t="n"/>
      <c r="C138" s="15" t="n"/>
      <c r="D138" s="15" t="n"/>
      <c r="E138" s="15" t="n"/>
      <c r="F138" s="15" t="n"/>
      <c r="G138" s="15" t="n"/>
      <c r="H138" s="15" t="n"/>
      <c r="I138" s="15" t="n"/>
      <c r="J138" s="15" t="n"/>
      <c r="K138" s="15" t="n"/>
      <c r="L138" s="15" t="n"/>
      <c r="M138" s="15" t="n"/>
      <c r="N138" s="15" t="n"/>
      <c r="O138" s="15" t="n"/>
      <c r="P138" s="15" t="n"/>
      <c r="Q138" s="15" t="n"/>
      <c r="R138" s="15" t="n"/>
      <c r="S138" s="15" t="n"/>
      <c r="T138" s="15" t="n"/>
      <c r="U138" s="15" t="n"/>
      <c r="V138" s="15" t="n"/>
      <c r="W138" s="15" t="n"/>
      <c r="X138" s="15" t="n"/>
      <c r="Y138" s="15" t="n"/>
      <c r="Z138" s="15" t="n"/>
    </row>
    <row r="139" ht="15.75" customHeight="1" s="18">
      <c r="A139" s="16" t="n"/>
      <c r="B139" s="15" t="n"/>
      <c r="C139" s="15" t="n"/>
      <c r="D139" s="15" t="n"/>
      <c r="E139" s="15" t="n"/>
      <c r="F139" s="15" t="n"/>
      <c r="G139" s="15" t="n"/>
      <c r="H139" s="15" t="n"/>
      <c r="I139" s="15" t="n"/>
      <c r="J139" s="15" t="n"/>
      <c r="K139" s="15" t="n"/>
      <c r="L139" s="15" t="n"/>
      <c r="M139" s="15" t="n"/>
      <c r="N139" s="15" t="n"/>
      <c r="O139" s="15" t="n"/>
      <c r="P139" s="15" t="n"/>
      <c r="Q139" s="15" t="n"/>
      <c r="R139" s="15" t="n"/>
      <c r="S139" s="15" t="n"/>
      <c r="T139" s="15" t="n"/>
      <c r="U139" s="15" t="n"/>
      <c r="V139" s="15" t="n"/>
      <c r="W139" s="15" t="n"/>
      <c r="X139" s="15" t="n"/>
      <c r="Y139" s="15" t="n"/>
      <c r="Z139" s="15" t="n"/>
    </row>
    <row r="140" ht="15.75" customHeight="1" s="18">
      <c r="A140" s="16" t="n"/>
      <c r="B140" s="15" t="n"/>
      <c r="C140" s="15" t="n"/>
      <c r="D140" s="15" t="n"/>
      <c r="E140" s="15" t="n"/>
      <c r="F140" s="15" t="n"/>
      <c r="G140" s="15" t="n"/>
      <c r="H140" s="15" t="n"/>
      <c r="I140" s="15" t="n"/>
      <c r="J140" s="15" t="n"/>
      <c r="K140" s="15" t="n"/>
      <c r="L140" s="15" t="n"/>
      <c r="M140" s="15" t="n"/>
      <c r="N140" s="15" t="n"/>
      <c r="O140" s="15" t="n"/>
      <c r="P140" s="15" t="n"/>
      <c r="Q140" s="15" t="n"/>
      <c r="R140" s="15" t="n"/>
      <c r="S140" s="15" t="n"/>
      <c r="T140" s="15" t="n"/>
      <c r="U140" s="15" t="n"/>
      <c r="V140" s="15" t="n"/>
      <c r="W140" s="15" t="n"/>
      <c r="X140" s="15" t="n"/>
      <c r="Y140" s="15" t="n"/>
      <c r="Z140" s="15" t="n"/>
    </row>
    <row r="141" ht="15.75" customHeight="1" s="18">
      <c r="A141" s="16" t="n"/>
      <c r="B141" s="15" t="n"/>
      <c r="C141" s="15" t="n"/>
      <c r="D141" s="15" t="n"/>
      <c r="E141" s="15" t="n"/>
      <c r="F141" s="15" t="n"/>
      <c r="G141" s="15" t="n"/>
      <c r="H141" s="15" t="n"/>
      <c r="I141" s="15" t="n"/>
      <c r="J141" s="15" t="n"/>
      <c r="K141" s="15" t="n"/>
      <c r="L141" s="15" t="n"/>
      <c r="M141" s="15" t="n"/>
      <c r="N141" s="15" t="n"/>
      <c r="O141" s="15" t="n"/>
      <c r="P141" s="15" t="n"/>
      <c r="Q141" s="15" t="n"/>
      <c r="R141" s="15" t="n"/>
      <c r="S141" s="15" t="n"/>
      <c r="T141" s="15" t="n"/>
      <c r="U141" s="15" t="n"/>
      <c r="V141" s="15" t="n"/>
      <c r="W141" s="15" t="n"/>
      <c r="X141" s="15" t="n"/>
      <c r="Y141" s="15" t="n"/>
      <c r="Z141" s="15" t="n"/>
    </row>
    <row r="142" ht="15.75" customHeight="1" s="18">
      <c r="A142" s="16" t="n"/>
      <c r="B142" s="15" t="n"/>
      <c r="C142" s="15" t="n"/>
      <c r="D142" s="15" t="n"/>
      <c r="E142" s="15" t="n"/>
      <c r="F142" s="15" t="n"/>
      <c r="G142" s="15" t="n"/>
      <c r="H142" s="15" t="n"/>
      <c r="I142" s="15" t="n"/>
      <c r="J142" s="15" t="n"/>
      <c r="K142" s="15" t="n"/>
      <c r="L142" s="15" t="n"/>
      <c r="M142" s="15" t="n"/>
      <c r="N142" s="15" t="n"/>
      <c r="O142" s="15" t="n"/>
      <c r="P142" s="15" t="n"/>
      <c r="Q142" s="15" t="n"/>
      <c r="R142" s="15" t="n"/>
      <c r="S142" s="15" t="n"/>
      <c r="T142" s="15" t="n"/>
      <c r="U142" s="15" t="n"/>
      <c r="V142" s="15" t="n"/>
      <c r="W142" s="15" t="n"/>
      <c r="X142" s="15" t="n"/>
      <c r="Y142" s="15" t="n"/>
      <c r="Z142" s="15" t="n"/>
    </row>
    <row r="143" ht="15.75" customHeight="1" s="18">
      <c r="A143" s="16" t="n"/>
      <c r="B143" s="15" t="n"/>
      <c r="C143" s="15" t="n"/>
      <c r="D143" s="15" t="n"/>
      <c r="E143" s="15" t="n"/>
      <c r="F143" s="15" t="n"/>
      <c r="G143" s="15" t="n"/>
      <c r="H143" s="15" t="n"/>
      <c r="I143" s="15" t="n"/>
      <c r="J143" s="15" t="n"/>
      <c r="K143" s="15" t="n"/>
      <c r="L143" s="15" t="n"/>
      <c r="M143" s="15" t="n"/>
      <c r="N143" s="15" t="n"/>
      <c r="O143" s="15" t="n"/>
      <c r="P143" s="15" t="n"/>
      <c r="Q143" s="15" t="n"/>
      <c r="R143" s="15" t="n"/>
      <c r="S143" s="15" t="n"/>
      <c r="T143" s="15" t="n"/>
      <c r="U143" s="15" t="n"/>
      <c r="V143" s="15" t="n"/>
      <c r="W143" s="15" t="n"/>
      <c r="X143" s="15" t="n"/>
      <c r="Y143" s="15" t="n"/>
      <c r="Z143" s="15" t="n"/>
    </row>
    <row r="144" ht="15.75" customHeight="1" s="18">
      <c r="A144" s="16" t="n"/>
      <c r="B144" s="15" t="n"/>
      <c r="C144" s="15" t="n"/>
      <c r="D144" s="15" t="n"/>
      <c r="E144" s="15" t="n"/>
      <c r="F144" s="15" t="n"/>
      <c r="G144" s="15" t="n"/>
      <c r="H144" s="15" t="n"/>
      <c r="I144" s="15" t="n"/>
      <c r="J144" s="15" t="n"/>
      <c r="K144" s="15" t="n"/>
      <c r="L144" s="15" t="n"/>
      <c r="M144" s="15" t="n"/>
      <c r="N144" s="15" t="n"/>
      <c r="O144" s="15" t="n"/>
      <c r="P144" s="15" t="n"/>
      <c r="Q144" s="15" t="n"/>
      <c r="R144" s="15" t="n"/>
      <c r="S144" s="15" t="n"/>
      <c r="T144" s="15" t="n"/>
      <c r="U144" s="15" t="n"/>
      <c r="V144" s="15" t="n"/>
      <c r="W144" s="15" t="n"/>
      <c r="X144" s="15" t="n"/>
      <c r="Y144" s="15" t="n"/>
      <c r="Z144" s="15" t="n"/>
    </row>
    <row r="145" ht="15.75" customHeight="1" s="18">
      <c r="A145" s="16" t="n"/>
      <c r="B145" s="15" t="n"/>
      <c r="C145" s="15" t="n"/>
      <c r="D145" s="15" t="n"/>
      <c r="E145" s="15" t="n"/>
      <c r="F145" s="15" t="n"/>
      <c r="G145" s="15" t="n"/>
      <c r="H145" s="15" t="n"/>
      <c r="I145" s="15" t="n"/>
      <c r="J145" s="15" t="n"/>
      <c r="K145" s="15" t="n"/>
      <c r="L145" s="15" t="n"/>
      <c r="M145" s="15" t="n"/>
      <c r="N145" s="15" t="n"/>
      <c r="O145" s="15" t="n"/>
      <c r="P145" s="15" t="n"/>
      <c r="Q145" s="15" t="n"/>
      <c r="R145" s="15" t="n"/>
      <c r="S145" s="15" t="n"/>
      <c r="T145" s="15" t="n"/>
      <c r="U145" s="15" t="n"/>
      <c r="V145" s="15" t="n"/>
      <c r="W145" s="15" t="n"/>
      <c r="X145" s="15" t="n"/>
      <c r="Y145" s="15" t="n"/>
      <c r="Z145" s="15" t="n"/>
    </row>
    <row r="146" ht="15.75" customHeight="1" s="18">
      <c r="A146" s="16" t="n"/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5" t="n"/>
      <c r="K146" s="15" t="n"/>
      <c r="L146" s="15" t="n"/>
      <c r="M146" s="15" t="n"/>
      <c r="N146" s="15" t="n"/>
      <c r="O146" s="15" t="n"/>
      <c r="P146" s="15" t="n"/>
      <c r="Q146" s="15" t="n"/>
      <c r="R146" s="15" t="n"/>
      <c r="S146" s="15" t="n"/>
      <c r="T146" s="15" t="n"/>
      <c r="U146" s="15" t="n"/>
      <c r="V146" s="15" t="n"/>
      <c r="W146" s="15" t="n"/>
      <c r="X146" s="15" t="n"/>
      <c r="Y146" s="15" t="n"/>
      <c r="Z146" s="15" t="n"/>
    </row>
    <row r="147" ht="15.75" customHeight="1" s="18">
      <c r="A147" s="16" t="n"/>
      <c r="B147" s="15" t="n"/>
      <c r="C147" s="15" t="n"/>
      <c r="D147" s="15" t="n"/>
      <c r="E147" s="15" t="n"/>
      <c r="F147" s="15" t="n"/>
      <c r="G147" s="15" t="n"/>
      <c r="H147" s="15" t="n"/>
      <c r="I147" s="15" t="n"/>
      <c r="J147" s="15" t="n"/>
      <c r="K147" s="15" t="n"/>
      <c r="L147" s="15" t="n"/>
      <c r="M147" s="15" t="n"/>
      <c r="N147" s="15" t="n"/>
      <c r="O147" s="15" t="n"/>
      <c r="P147" s="15" t="n"/>
      <c r="Q147" s="15" t="n"/>
      <c r="R147" s="15" t="n"/>
      <c r="S147" s="15" t="n"/>
      <c r="T147" s="15" t="n"/>
      <c r="U147" s="15" t="n"/>
      <c r="V147" s="15" t="n"/>
      <c r="W147" s="15" t="n"/>
      <c r="X147" s="15" t="n"/>
      <c r="Y147" s="15" t="n"/>
      <c r="Z147" s="15" t="n"/>
    </row>
    <row r="148" ht="15.75" customHeight="1" s="18">
      <c r="A148" s="16" t="n"/>
      <c r="B148" s="15" t="n"/>
      <c r="C148" s="15" t="n"/>
      <c r="D148" s="15" t="n"/>
      <c r="E148" s="15" t="n"/>
      <c r="F148" s="15" t="n"/>
      <c r="G148" s="15" t="n"/>
      <c r="H148" s="15" t="n"/>
      <c r="I148" s="15" t="n"/>
      <c r="J148" s="15" t="n"/>
      <c r="K148" s="15" t="n"/>
      <c r="L148" s="15" t="n"/>
      <c r="M148" s="15" t="n"/>
      <c r="N148" s="15" t="n"/>
      <c r="O148" s="15" t="n"/>
      <c r="P148" s="15" t="n"/>
      <c r="Q148" s="15" t="n"/>
      <c r="R148" s="15" t="n"/>
      <c r="S148" s="15" t="n"/>
      <c r="T148" s="15" t="n"/>
      <c r="U148" s="15" t="n"/>
      <c r="V148" s="15" t="n"/>
      <c r="W148" s="15" t="n"/>
      <c r="X148" s="15" t="n"/>
      <c r="Y148" s="15" t="n"/>
      <c r="Z148" s="15" t="n"/>
    </row>
    <row r="149" ht="15.75" customHeight="1" s="18">
      <c r="A149" s="16" t="n"/>
      <c r="B149" s="15" t="n"/>
      <c r="C149" s="15" t="n"/>
      <c r="D149" s="15" t="n"/>
      <c r="E149" s="15" t="n"/>
      <c r="F149" s="15" t="n"/>
      <c r="G149" s="15" t="n"/>
      <c r="H149" s="15" t="n"/>
      <c r="I149" s="15" t="n"/>
      <c r="J149" s="15" t="n"/>
      <c r="K149" s="15" t="n"/>
      <c r="L149" s="15" t="n"/>
      <c r="M149" s="15" t="n"/>
      <c r="N149" s="15" t="n"/>
      <c r="O149" s="15" t="n"/>
      <c r="P149" s="15" t="n"/>
      <c r="Q149" s="15" t="n"/>
      <c r="R149" s="15" t="n"/>
      <c r="S149" s="15" t="n"/>
      <c r="T149" s="15" t="n"/>
      <c r="U149" s="15" t="n"/>
      <c r="V149" s="15" t="n"/>
      <c r="W149" s="15" t="n"/>
      <c r="X149" s="15" t="n"/>
      <c r="Y149" s="15" t="n"/>
      <c r="Z149" s="15" t="n"/>
    </row>
    <row r="150" ht="15.75" customHeight="1" s="18">
      <c r="A150" s="16" t="n"/>
      <c r="B150" s="15" t="n"/>
      <c r="C150" s="15" t="n"/>
      <c r="D150" s="15" t="n"/>
      <c r="E150" s="15" t="n"/>
      <c r="F150" s="15" t="n"/>
      <c r="G150" s="15" t="n"/>
      <c r="H150" s="15" t="n"/>
      <c r="I150" s="15" t="n"/>
      <c r="J150" s="15" t="n"/>
      <c r="K150" s="15" t="n"/>
      <c r="L150" s="15" t="n"/>
      <c r="M150" s="15" t="n"/>
      <c r="N150" s="15" t="n"/>
      <c r="O150" s="15" t="n"/>
      <c r="P150" s="15" t="n"/>
      <c r="Q150" s="15" t="n"/>
      <c r="R150" s="15" t="n"/>
      <c r="S150" s="15" t="n"/>
      <c r="T150" s="15" t="n"/>
      <c r="U150" s="15" t="n"/>
      <c r="V150" s="15" t="n"/>
      <c r="W150" s="15" t="n"/>
      <c r="X150" s="15" t="n"/>
      <c r="Y150" s="15" t="n"/>
      <c r="Z150" s="15" t="n"/>
    </row>
    <row r="151" ht="15.75" customHeight="1" s="18">
      <c r="A151" s="16" t="n"/>
      <c r="B151" s="15" t="n"/>
      <c r="C151" s="15" t="n"/>
      <c r="D151" s="15" t="n"/>
      <c r="E151" s="15" t="n"/>
      <c r="F151" s="15" t="n"/>
      <c r="G151" s="15" t="n"/>
      <c r="H151" s="15" t="n"/>
      <c r="I151" s="15" t="n"/>
      <c r="J151" s="15" t="n"/>
      <c r="K151" s="15" t="n"/>
      <c r="L151" s="15" t="n"/>
      <c r="M151" s="15" t="n"/>
      <c r="N151" s="15" t="n"/>
      <c r="O151" s="15" t="n"/>
      <c r="P151" s="15" t="n"/>
      <c r="Q151" s="15" t="n"/>
      <c r="R151" s="15" t="n"/>
      <c r="S151" s="15" t="n"/>
      <c r="T151" s="15" t="n"/>
      <c r="U151" s="15" t="n"/>
      <c r="V151" s="15" t="n"/>
      <c r="W151" s="15" t="n"/>
      <c r="X151" s="15" t="n"/>
      <c r="Y151" s="15" t="n"/>
      <c r="Z151" s="15" t="n"/>
    </row>
    <row r="152" ht="15.75" customHeight="1" s="18">
      <c r="A152" s="16" t="n"/>
      <c r="B152" s="15" t="n"/>
      <c r="C152" s="15" t="n"/>
      <c r="D152" s="15" t="n"/>
      <c r="E152" s="15" t="n"/>
      <c r="F152" s="15" t="n"/>
      <c r="G152" s="15" t="n"/>
      <c r="H152" s="15" t="n"/>
      <c r="I152" s="15" t="n"/>
      <c r="J152" s="15" t="n"/>
      <c r="K152" s="15" t="n"/>
      <c r="L152" s="15" t="n"/>
      <c r="M152" s="15" t="n"/>
      <c r="N152" s="15" t="n"/>
      <c r="O152" s="15" t="n"/>
      <c r="P152" s="15" t="n"/>
      <c r="Q152" s="15" t="n"/>
      <c r="R152" s="15" t="n"/>
      <c r="S152" s="15" t="n"/>
      <c r="T152" s="15" t="n"/>
      <c r="U152" s="15" t="n"/>
      <c r="V152" s="15" t="n"/>
      <c r="W152" s="15" t="n"/>
      <c r="X152" s="15" t="n"/>
      <c r="Y152" s="15" t="n"/>
      <c r="Z152" s="15" t="n"/>
    </row>
    <row r="153" ht="15.75" customHeight="1" s="18">
      <c r="A153" s="16" t="n"/>
      <c r="B153" s="15" t="n"/>
      <c r="C153" s="15" t="n"/>
      <c r="D153" s="15" t="n"/>
      <c r="E153" s="15" t="n"/>
      <c r="F153" s="15" t="n"/>
      <c r="G153" s="15" t="n"/>
      <c r="H153" s="15" t="n"/>
      <c r="I153" s="15" t="n"/>
      <c r="J153" s="15" t="n"/>
      <c r="K153" s="15" t="n"/>
      <c r="L153" s="15" t="n"/>
      <c r="M153" s="15" t="n"/>
      <c r="N153" s="15" t="n"/>
      <c r="O153" s="15" t="n"/>
      <c r="P153" s="15" t="n"/>
      <c r="Q153" s="15" t="n"/>
      <c r="R153" s="15" t="n"/>
      <c r="S153" s="15" t="n"/>
      <c r="T153" s="15" t="n"/>
      <c r="U153" s="15" t="n"/>
      <c r="V153" s="15" t="n"/>
      <c r="W153" s="15" t="n"/>
      <c r="X153" s="15" t="n"/>
      <c r="Y153" s="15" t="n"/>
      <c r="Z153" s="15" t="n"/>
    </row>
    <row r="154" ht="15.75" customHeight="1" s="18">
      <c r="A154" s="16" t="n"/>
      <c r="B154" s="15" t="n"/>
      <c r="C154" s="15" t="n"/>
      <c r="D154" s="15" t="n"/>
      <c r="E154" s="15" t="n"/>
      <c r="F154" s="15" t="n"/>
      <c r="G154" s="15" t="n"/>
      <c r="H154" s="15" t="n"/>
      <c r="I154" s="15" t="n"/>
      <c r="J154" s="15" t="n"/>
      <c r="K154" s="15" t="n"/>
      <c r="L154" s="15" t="n"/>
      <c r="M154" s="15" t="n"/>
      <c r="N154" s="15" t="n"/>
      <c r="O154" s="15" t="n"/>
      <c r="P154" s="15" t="n"/>
      <c r="Q154" s="15" t="n"/>
      <c r="R154" s="15" t="n"/>
      <c r="S154" s="15" t="n"/>
      <c r="T154" s="15" t="n"/>
      <c r="U154" s="15" t="n"/>
      <c r="V154" s="15" t="n"/>
      <c r="W154" s="15" t="n"/>
      <c r="X154" s="15" t="n"/>
      <c r="Y154" s="15" t="n"/>
      <c r="Z154" s="15" t="n"/>
    </row>
    <row r="155" ht="15.75" customHeight="1" s="18">
      <c r="A155" s="16" t="n"/>
      <c r="B155" s="15" t="n"/>
      <c r="C155" s="15" t="n"/>
      <c r="D155" s="15" t="n"/>
      <c r="E155" s="15" t="n"/>
      <c r="F155" s="15" t="n"/>
      <c r="G155" s="15" t="n"/>
      <c r="H155" s="15" t="n"/>
      <c r="I155" s="15" t="n"/>
      <c r="J155" s="15" t="n"/>
      <c r="K155" s="15" t="n"/>
      <c r="L155" s="15" t="n"/>
      <c r="M155" s="15" t="n"/>
      <c r="N155" s="15" t="n"/>
      <c r="O155" s="15" t="n"/>
      <c r="P155" s="15" t="n"/>
      <c r="Q155" s="15" t="n"/>
      <c r="R155" s="15" t="n"/>
      <c r="S155" s="15" t="n"/>
      <c r="T155" s="15" t="n"/>
      <c r="U155" s="15" t="n"/>
      <c r="V155" s="15" t="n"/>
      <c r="W155" s="15" t="n"/>
      <c r="X155" s="15" t="n"/>
      <c r="Y155" s="15" t="n"/>
      <c r="Z155" s="15" t="n"/>
    </row>
    <row r="156" ht="15.75" customHeight="1" s="18">
      <c r="A156" s="16" t="n"/>
      <c r="B156" s="15" t="n"/>
      <c r="C156" s="15" t="n"/>
      <c r="D156" s="15" t="n"/>
      <c r="E156" s="15" t="n"/>
      <c r="F156" s="15" t="n"/>
      <c r="G156" s="15" t="n"/>
      <c r="H156" s="15" t="n"/>
      <c r="I156" s="15" t="n"/>
      <c r="J156" s="15" t="n"/>
      <c r="K156" s="15" t="n"/>
      <c r="L156" s="15" t="n"/>
      <c r="M156" s="15" t="n"/>
      <c r="N156" s="15" t="n"/>
      <c r="O156" s="15" t="n"/>
      <c r="P156" s="15" t="n"/>
      <c r="Q156" s="15" t="n"/>
      <c r="R156" s="15" t="n"/>
      <c r="S156" s="15" t="n"/>
      <c r="T156" s="15" t="n"/>
      <c r="U156" s="15" t="n"/>
      <c r="V156" s="15" t="n"/>
      <c r="W156" s="15" t="n"/>
      <c r="X156" s="15" t="n"/>
      <c r="Y156" s="15" t="n"/>
      <c r="Z156" s="15" t="n"/>
    </row>
    <row r="157" ht="15.75" customHeight="1" s="18">
      <c r="A157" s="16" t="n"/>
      <c r="B157" s="15" t="n"/>
      <c r="C157" s="15" t="n"/>
      <c r="D157" s="15" t="n"/>
      <c r="E157" s="15" t="n"/>
      <c r="F157" s="15" t="n"/>
      <c r="G157" s="15" t="n"/>
      <c r="H157" s="15" t="n"/>
      <c r="I157" s="15" t="n"/>
      <c r="J157" s="15" t="n"/>
      <c r="K157" s="15" t="n"/>
      <c r="L157" s="15" t="n"/>
      <c r="M157" s="15" t="n"/>
      <c r="N157" s="15" t="n"/>
      <c r="O157" s="15" t="n"/>
      <c r="P157" s="15" t="n"/>
      <c r="Q157" s="15" t="n"/>
      <c r="R157" s="15" t="n"/>
      <c r="S157" s="15" t="n"/>
      <c r="T157" s="15" t="n"/>
      <c r="U157" s="15" t="n"/>
      <c r="V157" s="15" t="n"/>
      <c r="W157" s="15" t="n"/>
      <c r="X157" s="15" t="n"/>
      <c r="Y157" s="15" t="n"/>
      <c r="Z157" s="15" t="n"/>
    </row>
    <row r="158" ht="15.75" customHeight="1" s="18">
      <c r="A158" s="16" t="n"/>
      <c r="B158" s="15" t="n"/>
      <c r="C158" s="15" t="n"/>
      <c r="D158" s="15" t="n"/>
      <c r="E158" s="15" t="n"/>
      <c r="F158" s="15" t="n"/>
      <c r="G158" s="15" t="n"/>
      <c r="H158" s="15" t="n"/>
      <c r="I158" s="15" t="n"/>
      <c r="J158" s="15" t="n"/>
      <c r="K158" s="15" t="n"/>
      <c r="L158" s="15" t="n"/>
      <c r="M158" s="15" t="n"/>
      <c r="N158" s="15" t="n"/>
      <c r="O158" s="15" t="n"/>
      <c r="P158" s="15" t="n"/>
      <c r="Q158" s="15" t="n"/>
      <c r="R158" s="15" t="n"/>
      <c r="S158" s="15" t="n"/>
      <c r="T158" s="15" t="n"/>
      <c r="U158" s="15" t="n"/>
      <c r="V158" s="15" t="n"/>
      <c r="W158" s="15" t="n"/>
      <c r="X158" s="15" t="n"/>
      <c r="Y158" s="15" t="n"/>
      <c r="Z158" s="15" t="n"/>
    </row>
    <row r="159" ht="15.75" customHeight="1" s="18">
      <c r="A159" s="16" t="n"/>
      <c r="B159" s="15" t="n"/>
      <c r="C159" s="15" t="n"/>
      <c r="D159" s="15" t="n"/>
      <c r="E159" s="15" t="n"/>
      <c r="F159" s="15" t="n"/>
      <c r="G159" s="15" t="n"/>
      <c r="H159" s="15" t="n"/>
      <c r="I159" s="15" t="n"/>
      <c r="J159" s="15" t="n"/>
      <c r="K159" s="15" t="n"/>
      <c r="L159" s="15" t="n"/>
      <c r="M159" s="15" t="n"/>
      <c r="N159" s="15" t="n"/>
      <c r="O159" s="15" t="n"/>
      <c r="P159" s="15" t="n"/>
      <c r="Q159" s="15" t="n"/>
      <c r="R159" s="15" t="n"/>
      <c r="S159" s="15" t="n"/>
      <c r="T159" s="15" t="n"/>
      <c r="U159" s="15" t="n"/>
      <c r="V159" s="15" t="n"/>
      <c r="W159" s="15" t="n"/>
      <c r="X159" s="15" t="n"/>
      <c r="Y159" s="15" t="n"/>
      <c r="Z159" s="15" t="n"/>
    </row>
    <row r="160" ht="15.75" customHeight="1" s="18">
      <c r="A160" s="16" t="n"/>
      <c r="B160" s="15" t="n"/>
      <c r="C160" s="15" t="n"/>
      <c r="D160" s="15" t="n"/>
      <c r="E160" s="15" t="n"/>
      <c r="F160" s="15" t="n"/>
      <c r="G160" s="15" t="n"/>
      <c r="H160" s="15" t="n"/>
      <c r="I160" s="15" t="n"/>
      <c r="J160" s="15" t="n"/>
      <c r="K160" s="15" t="n"/>
      <c r="L160" s="15" t="n"/>
      <c r="M160" s="15" t="n"/>
      <c r="N160" s="15" t="n"/>
      <c r="O160" s="15" t="n"/>
      <c r="P160" s="15" t="n"/>
      <c r="Q160" s="15" t="n"/>
      <c r="R160" s="15" t="n"/>
      <c r="S160" s="15" t="n"/>
      <c r="T160" s="15" t="n"/>
      <c r="U160" s="15" t="n"/>
      <c r="V160" s="15" t="n"/>
      <c r="W160" s="15" t="n"/>
      <c r="X160" s="15" t="n"/>
      <c r="Y160" s="15" t="n"/>
      <c r="Z160" s="15" t="n"/>
    </row>
    <row r="161" ht="15.75" customHeight="1" s="18">
      <c r="A161" s="16" t="n"/>
      <c r="B161" s="15" t="n"/>
      <c r="C161" s="15" t="n"/>
      <c r="D161" s="15" t="n"/>
      <c r="E161" s="15" t="n"/>
      <c r="F161" s="15" t="n"/>
      <c r="G161" s="15" t="n"/>
      <c r="H161" s="15" t="n"/>
      <c r="I161" s="15" t="n"/>
      <c r="J161" s="15" t="n"/>
      <c r="K161" s="15" t="n"/>
      <c r="L161" s="15" t="n"/>
      <c r="M161" s="15" t="n"/>
      <c r="N161" s="15" t="n"/>
      <c r="O161" s="15" t="n"/>
      <c r="P161" s="15" t="n"/>
      <c r="Q161" s="15" t="n"/>
      <c r="R161" s="15" t="n"/>
      <c r="S161" s="15" t="n"/>
      <c r="T161" s="15" t="n"/>
      <c r="U161" s="15" t="n"/>
      <c r="V161" s="15" t="n"/>
      <c r="W161" s="15" t="n"/>
      <c r="X161" s="15" t="n"/>
      <c r="Y161" s="15" t="n"/>
      <c r="Z161" s="15" t="n"/>
    </row>
    <row r="162" ht="15.75" customHeight="1" s="18">
      <c r="A162" s="16" t="n"/>
      <c r="B162" s="15" t="n"/>
      <c r="C162" s="15" t="n"/>
      <c r="D162" s="15" t="n"/>
      <c r="E162" s="15" t="n"/>
      <c r="F162" s="15" t="n"/>
      <c r="G162" s="15" t="n"/>
      <c r="H162" s="15" t="n"/>
      <c r="I162" s="15" t="n"/>
      <c r="J162" s="15" t="n"/>
      <c r="K162" s="15" t="n"/>
      <c r="L162" s="15" t="n"/>
      <c r="M162" s="15" t="n"/>
      <c r="N162" s="15" t="n"/>
      <c r="O162" s="15" t="n"/>
      <c r="P162" s="15" t="n"/>
      <c r="Q162" s="15" t="n"/>
      <c r="R162" s="15" t="n"/>
      <c r="S162" s="15" t="n"/>
      <c r="T162" s="15" t="n"/>
      <c r="U162" s="15" t="n"/>
      <c r="V162" s="15" t="n"/>
      <c r="W162" s="15" t="n"/>
      <c r="X162" s="15" t="n"/>
      <c r="Y162" s="15" t="n"/>
      <c r="Z162" s="15" t="n"/>
    </row>
    <row r="163" ht="15.75" customHeight="1" s="18">
      <c r="A163" s="16" t="n"/>
      <c r="B163" s="15" t="n"/>
      <c r="C163" s="15" t="n"/>
      <c r="D163" s="15" t="n"/>
      <c r="E163" s="15" t="n"/>
      <c r="F163" s="15" t="n"/>
      <c r="G163" s="15" t="n"/>
      <c r="H163" s="15" t="n"/>
      <c r="I163" s="15" t="n"/>
      <c r="J163" s="15" t="n"/>
      <c r="K163" s="15" t="n"/>
      <c r="L163" s="15" t="n"/>
      <c r="M163" s="15" t="n"/>
      <c r="N163" s="15" t="n"/>
      <c r="O163" s="15" t="n"/>
      <c r="P163" s="15" t="n"/>
      <c r="Q163" s="15" t="n"/>
      <c r="R163" s="15" t="n"/>
      <c r="S163" s="15" t="n"/>
      <c r="T163" s="15" t="n"/>
      <c r="U163" s="15" t="n"/>
      <c r="V163" s="15" t="n"/>
      <c r="W163" s="15" t="n"/>
      <c r="X163" s="15" t="n"/>
      <c r="Y163" s="15" t="n"/>
      <c r="Z163" s="15" t="n"/>
    </row>
    <row r="164" ht="15.75" customHeight="1" s="18">
      <c r="A164" s="16" t="n"/>
      <c r="B164" s="15" t="n"/>
      <c r="C164" s="15" t="n"/>
      <c r="D164" s="15" t="n"/>
      <c r="E164" s="15" t="n"/>
      <c r="F164" s="15" t="n"/>
      <c r="G164" s="15" t="n"/>
      <c r="H164" s="15" t="n"/>
      <c r="I164" s="15" t="n"/>
      <c r="J164" s="15" t="n"/>
      <c r="K164" s="15" t="n"/>
      <c r="L164" s="15" t="n"/>
      <c r="M164" s="15" t="n"/>
      <c r="N164" s="15" t="n"/>
      <c r="O164" s="15" t="n"/>
      <c r="P164" s="15" t="n"/>
      <c r="Q164" s="15" t="n"/>
      <c r="R164" s="15" t="n"/>
      <c r="S164" s="15" t="n"/>
      <c r="T164" s="15" t="n"/>
      <c r="U164" s="15" t="n"/>
      <c r="V164" s="15" t="n"/>
      <c r="W164" s="15" t="n"/>
      <c r="X164" s="15" t="n"/>
      <c r="Y164" s="15" t="n"/>
      <c r="Z164" s="15" t="n"/>
    </row>
    <row r="165" ht="15.75" customHeight="1" s="18">
      <c r="A165" s="16" t="n"/>
      <c r="B165" s="15" t="n"/>
      <c r="C165" s="15" t="n"/>
      <c r="D165" s="15" t="n"/>
      <c r="E165" s="15" t="n"/>
      <c r="F165" s="15" t="n"/>
      <c r="G165" s="15" t="n"/>
      <c r="H165" s="15" t="n"/>
      <c r="I165" s="15" t="n"/>
      <c r="J165" s="15" t="n"/>
      <c r="K165" s="15" t="n"/>
      <c r="L165" s="15" t="n"/>
      <c r="M165" s="15" t="n"/>
      <c r="N165" s="15" t="n"/>
      <c r="O165" s="15" t="n"/>
      <c r="P165" s="15" t="n"/>
      <c r="Q165" s="15" t="n"/>
      <c r="R165" s="15" t="n"/>
      <c r="S165" s="15" t="n"/>
      <c r="T165" s="15" t="n"/>
      <c r="U165" s="15" t="n"/>
      <c r="V165" s="15" t="n"/>
      <c r="W165" s="15" t="n"/>
      <c r="X165" s="15" t="n"/>
      <c r="Y165" s="15" t="n"/>
      <c r="Z165" s="15" t="n"/>
    </row>
    <row r="166" ht="15.75" customHeight="1" s="18">
      <c r="A166" s="16" t="n"/>
      <c r="B166" s="15" t="n"/>
      <c r="C166" s="15" t="n"/>
      <c r="D166" s="15" t="n"/>
      <c r="E166" s="15" t="n"/>
      <c r="F166" s="15" t="n"/>
      <c r="G166" s="15" t="n"/>
      <c r="H166" s="15" t="n"/>
      <c r="I166" s="15" t="n"/>
      <c r="J166" s="15" t="n"/>
      <c r="K166" s="15" t="n"/>
      <c r="L166" s="15" t="n"/>
      <c r="M166" s="15" t="n"/>
      <c r="N166" s="15" t="n"/>
      <c r="O166" s="15" t="n"/>
      <c r="P166" s="15" t="n"/>
      <c r="Q166" s="15" t="n"/>
      <c r="R166" s="15" t="n"/>
      <c r="S166" s="15" t="n"/>
      <c r="T166" s="15" t="n"/>
      <c r="U166" s="15" t="n"/>
      <c r="V166" s="15" t="n"/>
      <c r="W166" s="15" t="n"/>
      <c r="X166" s="15" t="n"/>
      <c r="Y166" s="15" t="n"/>
      <c r="Z166" s="15" t="n"/>
    </row>
    <row r="167" ht="15.75" customHeight="1" s="18">
      <c r="A167" s="16" t="n"/>
      <c r="B167" s="15" t="n"/>
      <c r="C167" s="15" t="n"/>
      <c r="D167" s="15" t="n"/>
      <c r="E167" s="15" t="n"/>
      <c r="F167" s="15" t="n"/>
      <c r="G167" s="15" t="n"/>
      <c r="H167" s="15" t="n"/>
      <c r="I167" s="15" t="n"/>
      <c r="J167" s="15" t="n"/>
      <c r="K167" s="15" t="n"/>
      <c r="L167" s="15" t="n"/>
      <c r="M167" s="15" t="n"/>
      <c r="N167" s="15" t="n"/>
      <c r="O167" s="15" t="n"/>
      <c r="P167" s="15" t="n"/>
      <c r="Q167" s="15" t="n"/>
      <c r="R167" s="15" t="n"/>
      <c r="S167" s="15" t="n"/>
      <c r="T167" s="15" t="n"/>
      <c r="U167" s="15" t="n"/>
      <c r="V167" s="15" t="n"/>
      <c r="W167" s="15" t="n"/>
      <c r="X167" s="15" t="n"/>
      <c r="Y167" s="15" t="n"/>
      <c r="Z167" s="15" t="n"/>
    </row>
    <row r="168" ht="15.75" customHeight="1" s="18">
      <c r="A168" s="16" t="n"/>
      <c r="B168" s="15" t="n"/>
      <c r="C168" s="15" t="n"/>
      <c r="D168" s="15" t="n"/>
      <c r="E168" s="15" t="n"/>
      <c r="F168" s="15" t="n"/>
      <c r="G168" s="15" t="n"/>
      <c r="H168" s="15" t="n"/>
      <c r="I168" s="15" t="n"/>
      <c r="J168" s="15" t="n"/>
      <c r="K168" s="15" t="n"/>
      <c r="L168" s="15" t="n"/>
      <c r="M168" s="15" t="n"/>
      <c r="N168" s="15" t="n"/>
      <c r="O168" s="15" t="n"/>
      <c r="P168" s="15" t="n"/>
      <c r="Q168" s="15" t="n"/>
      <c r="R168" s="15" t="n"/>
      <c r="S168" s="15" t="n"/>
      <c r="T168" s="15" t="n"/>
      <c r="U168" s="15" t="n"/>
      <c r="V168" s="15" t="n"/>
      <c r="W168" s="15" t="n"/>
      <c r="X168" s="15" t="n"/>
      <c r="Y168" s="15" t="n"/>
      <c r="Z168" s="15" t="n"/>
    </row>
    <row r="169" ht="15.75" customHeight="1" s="18">
      <c r="A169" s="16" t="n"/>
      <c r="B169" s="15" t="n"/>
      <c r="C169" s="15" t="n"/>
      <c r="D169" s="15" t="n"/>
      <c r="E169" s="15" t="n"/>
      <c r="F169" s="15" t="n"/>
      <c r="G169" s="15" t="n"/>
      <c r="H169" s="15" t="n"/>
      <c r="I169" s="15" t="n"/>
      <c r="J169" s="15" t="n"/>
      <c r="K169" s="15" t="n"/>
      <c r="L169" s="15" t="n"/>
      <c r="M169" s="15" t="n"/>
      <c r="N169" s="15" t="n"/>
      <c r="O169" s="15" t="n"/>
      <c r="P169" s="15" t="n"/>
      <c r="Q169" s="15" t="n"/>
      <c r="R169" s="15" t="n"/>
      <c r="S169" s="15" t="n"/>
      <c r="T169" s="15" t="n"/>
      <c r="U169" s="15" t="n"/>
      <c r="V169" s="15" t="n"/>
      <c r="W169" s="15" t="n"/>
      <c r="X169" s="15" t="n"/>
      <c r="Y169" s="15" t="n"/>
      <c r="Z169" s="15" t="n"/>
    </row>
    <row r="170" ht="15.75" customHeight="1" s="18">
      <c r="A170" s="16" t="n"/>
      <c r="B170" s="15" t="n"/>
      <c r="C170" s="15" t="n"/>
      <c r="D170" s="15" t="n"/>
      <c r="E170" s="15" t="n"/>
      <c r="F170" s="15" t="n"/>
      <c r="G170" s="15" t="n"/>
      <c r="H170" s="15" t="n"/>
      <c r="I170" s="15" t="n"/>
      <c r="J170" s="15" t="n"/>
      <c r="K170" s="15" t="n"/>
      <c r="L170" s="15" t="n"/>
      <c r="M170" s="15" t="n"/>
      <c r="N170" s="15" t="n"/>
      <c r="O170" s="15" t="n"/>
      <c r="P170" s="15" t="n"/>
      <c r="Q170" s="15" t="n"/>
      <c r="R170" s="15" t="n"/>
      <c r="S170" s="15" t="n"/>
      <c r="T170" s="15" t="n"/>
      <c r="U170" s="15" t="n"/>
      <c r="V170" s="15" t="n"/>
      <c r="W170" s="15" t="n"/>
      <c r="X170" s="15" t="n"/>
      <c r="Y170" s="15" t="n"/>
      <c r="Z170" s="15" t="n"/>
    </row>
    <row r="171" ht="15.75" customHeight="1" s="18">
      <c r="A171" s="16" t="n"/>
      <c r="B171" s="15" t="n"/>
      <c r="C171" s="15" t="n"/>
      <c r="D171" s="15" t="n"/>
      <c r="E171" s="15" t="n"/>
      <c r="F171" s="15" t="n"/>
      <c r="G171" s="15" t="n"/>
      <c r="H171" s="15" t="n"/>
      <c r="I171" s="15" t="n"/>
      <c r="J171" s="15" t="n"/>
      <c r="K171" s="15" t="n"/>
      <c r="L171" s="15" t="n"/>
      <c r="M171" s="15" t="n"/>
      <c r="N171" s="15" t="n"/>
      <c r="O171" s="15" t="n"/>
      <c r="P171" s="15" t="n"/>
      <c r="Q171" s="15" t="n"/>
      <c r="R171" s="15" t="n"/>
      <c r="S171" s="15" t="n"/>
      <c r="T171" s="15" t="n"/>
      <c r="U171" s="15" t="n"/>
      <c r="V171" s="15" t="n"/>
      <c r="W171" s="15" t="n"/>
      <c r="X171" s="15" t="n"/>
      <c r="Y171" s="15" t="n"/>
      <c r="Z171" s="15" t="n"/>
    </row>
    <row r="172" ht="15.75" customHeight="1" s="18">
      <c r="A172" s="16" t="n"/>
      <c r="B172" s="15" t="n"/>
      <c r="C172" s="15" t="n"/>
      <c r="D172" s="15" t="n"/>
      <c r="E172" s="15" t="n"/>
      <c r="F172" s="15" t="n"/>
      <c r="G172" s="15" t="n"/>
      <c r="H172" s="15" t="n"/>
      <c r="I172" s="15" t="n"/>
      <c r="J172" s="15" t="n"/>
      <c r="K172" s="15" t="n"/>
      <c r="L172" s="15" t="n"/>
      <c r="M172" s="15" t="n"/>
      <c r="N172" s="15" t="n"/>
      <c r="O172" s="15" t="n"/>
      <c r="P172" s="15" t="n"/>
      <c r="Q172" s="15" t="n"/>
      <c r="R172" s="15" t="n"/>
      <c r="S172" s="15" t="n"/>
      <c r="T172" s="15" t="n"/>
      <c r="U172" s="15" t="n"/>
      <c r="V172" s="15" t="n"/>
      <c r="W172" s="15" t="n"/>
      <c r="X172" s="15" t="n"/>
      <c r="Y172" s="15" t="n"/>
      <c r="Z172" s="15" t="n"/>
    </row>
    <row r="173" ht="15.75" customHeight="1" s="18">
      <c r="A173" s="16" t="n"/>
      <c r="B173" s="15" t="n"/>
      <c r="C173" s="15" t="n"/>
      <c r="D173" s="15" t="n"/>
      <c r="E173" s="15" t="n"/>
      <c r="F173" s="15" t="n"/>
      <c r="G173" s="15" t="n"/>
      <c r="H173" s="15" t="n"/>
      <c r="I173" s="15" t="n"/>
      <c r="J173" s="15" t="n"/>
      <c r="K173" s="15" t="n"/>
      <c r="L173" s="15" t="n"/>
      <c r="M173" s="15" t="n"/>
      <c r="N173" s="15" t="n"/>
      <c r="O173" s="15" t="n"/>
      <c r="P173" s="15" t="n"/>
      <c r="Q173" s="15" t="n"/>
      <c r="R173" s="15" t="n"/>
      <c r="S173" s="15" t="n"/>
      <c r="T173" s="15" t="n"/>
      <c r="U173" s="15" t="n"/>
      <c r="V173" s="15" t="n"/>
      <c r="W173" s="15" t="n"/>
      <c r="X173" s="15" t="n"/>
      <c r="Y173" s="15" t="n"/>
      <c r="Z173" s="15" t="n"/>
    </row>
    <row r="174" ht="15.75" customHeight="1" s="18">
      <c r="A174" s="16" t="n"/>
      <c r="B174" s="15" t="n"/>
      <c r="C174" s="15" t="n"/>
      <c r="D174" s="15" t="n"/>
      <c r="E174" s="15" t="n"/>
      <c r="F174" s="15" t="n"/>
      <c r="G174" s="15" t="n"/>
      <c r="H174" s="15" t="n"/>
      <c r="I174" s="15" t="n"/>
      <c r="J174" s="15" t="n"/>
      <c r="K174" s="15" t="n"/>
      <c r="L174" s="15" t="n"/>
      <c r="M174" s="15" t="n"/>
      <c r="N174" s="15" t="n"/>
      <c r="O174" s="15" t="n"/>
      <c r="P174" s="15" t="n"/>
      <c r="Q174" s="15" t="n"/>
      <c r="R174" s="15" t="n"/>
      <c r="S174" s="15" t="n"/>
      <c r="T174" s="15" t="n"/>
      <c r="U174" s="15" t="n"/>
      <c r="V174" s="15" t="n"/>
      <c r="W174" s="15" t="n"/>
      <c r="X174" s="15" t="n"/>
      <c r="Y174" s="15" t="n"/>
      <c r="Z174" s="15" t="n"/>
    </row>
    <row r="175" ht="15.75" customHeight="1" s="18">
      <c r="A175" s="16" t="n"/>
      <c r="B175" s="15" t="n"/>
      <c r="C175" s="15" t="n"/>
      <c r="D175" s="15" t="n"/>
      <c r="E175" s="15" t="n"/>
      <c r="F175" s="15" t="n"/>
      <c r="G175" s="15" t="n"/>
      <c r="H175" s="15" t="n"/>
      <c r="I175" s="15" t="n"/>
      <c r="J175" s="15" t="n"/>
      <c r="K175" s="15" t="n"/>
      <c r="L175" s="15" t="n"/>
      <c r="M175" s="15" t="n"/>
      <c r="N175" s="15" t="n"/>
      <c r="O175" s="15" t="n"/>
      <c r="P175" s="15" t="n"/>
      <c r="Q175" s="15" t="n"/>
      <c r="R175" s="15" t="n"/>
      <c r="S175" s="15" t="n"/>
      <c r="T175" s="15" t="n"/>
      <c r="U175" s="15" t="n"/>
      <c r="V175" s="15" t="n"/>
      <c r="W175" s="15" t="n"/>
      <c r="X175" s="15" t="n"/>
      <c r="Y175" s="15" t="n"/>
      <c r="Z175" s="15" t="n"/>
    </row>
    <row r="176" ht="15.75" customHeight="1" s="18">
      <c r="A176" s="16" t="n"/>
      <c r="B176" s="15" t="n"/>
      <c r="C176" s="15" t="n"/>
      <c r="D176" s="15" t="n"/>
      <c r="E176" s="15" t="n"/>
      <c r="F176" s="15" t="n"/>
      <c r="G176" s="15" t="n"/>
      <c r="H176" s="15" t="n"/>
      <c r="I176" s="15" t="n"/>
      <c r="J176" s="15" t="n"/>
      <c r="K176" s="15" t="n"/>
      <c r="L176" s="15" t="n"/>
      <c r="M176" s="15" t="n"/>
      <c r="N176" s="15" t="n"/>
      <c r="O176" s="15" t="n"/>
      <c r="P176" s="15" t="n"/>
      <c r="Q176" s="15" t="n"/>
      <c r="R176" s="15" t="n"/>
      <c r="S176" s="15" t="n"/>
      <c r="T176" s="15" t="n"/>
      <c r="U176" s="15" t="n"/>
      <c r="V176" s="15" t="n"/>
      <c r="W176" s="15" t="n"/>
      <c r="X176" s="15" t="n"/>
      <c r="Y176" s="15" t="n"/>
      <c r="Z176" s="15" t="n"/>
    </row>
    <row r="177" ht="15.75" customHeight="1" s="18">
      <c r="A177" s="16" t="n"/>
      <c r="B177" s="15" t="n"/>
      <c r="C177" s="15" t="n"/>
      <c r="D177" s="15" t="n"/>
      <c r="E177" s="15" t="n"/>
      <c r="F177" s="15" t="n"/>
      <c r="G177" s="15" t="n"/>
      <c r="H177" s="15" t="n"/>
      <c r="I177" s="15" t="n"/>
      <c r="J177" s="15" t="n"/>
      <c r="K177" s="15" t="n"/>
      <c r="L177" s="15" t="n"/>
      <c r="M177" s="15" t="n"/>
      <c r="N177" s="15" t="n"/>
      <c r="O177" s="15" t="n"/>
      <c r="P177" s="15" t="n"/>
      <c r="Q177" s="15" t="n"/>
      <c r="R177" s="15" t="n"/>
      <c r="S177" s="15" t="n"/>
      <c r="T177" s="15" t="n"/>
      <c r="U177" s="15" t="n"/>
      <c r="V177" s="15" t="n"/>
      <c r="W177" s="15" t="n"/>
      <c r="X177" s="15" t="n"/>
      <c r="Y177" s="15" t="n"/>
      <c r="Z177" s="15" t="n"/>
    </row>
    <row r="178" ht="15.75" customHeight="1" s="18">
      <c r="A178" s="16" t="n"/>
      <c r="B178" s="15" t="n"/>
      <c r="C178" s="15" t="n"/>
      <c r="D178" s="15" t="n"/>
      <c r="E178" s="15" t="n"/>
      <c r="F178" s="15" t="n"/>
      <c r="G178" s="15" t="n"/>
      <c r="H178" s="15" t="n"/>
      <c r="I178" s="15" t="n"/>
      <c r="J178" s="15" t="n"/>
      <c r="K178" s="15" t="n"/>
      <c r="L178" s="15" t="n"/>
      <c r="M178" s="15" t="n"/>
      <c r="N178" s="15" t="n"/>
      <c r="O178" s="15" t="n"/>
      <c r="P178" s="15" t="n"/>
      <c r="Q178" s="15" t="n"/>
      <c r="R178" s="15" t="n"/>
      <c r="S178" s="15" t="n"/>
      <c r="T178" s="15" t="n"/>
      <c r="U178" s="15" t="n"/>
      <c r="V178" s="15" t="n"/>
      <c r="W178" s="15" t="n"/>
      <c r="X178" s="15" t="n"/>
      <c r="Y178" s="15" t="n"/>
      <c r="Z178" s="15" t="n"/>
    </row>
    <row r="179" ht="15.75" customHeight="1" s="18">
      <c r="A179" s="16" t="n"/>
      <c r="B179" s="15" t="n"/>
      <c r="C179" s="15" t="n"/>
      <c r="D179" s="15" t="n"/>
      <c r="E179" s="15" t="n"/>
      <c r="F179" s="15" t="n"/>
      <c r="G179" s="15" t="n"/>
      <c r="H179" s="15" t="n"/>
      <c r="I179" s="15" t="n"/>
      <c r="J179" s="15" t="n"/>
      <c r="K179" s="15" t="n"/>
      <c r="L179" s="15" t="n"/>
      <c r="M179" s="15" t="n"/>
      <c r="N179" s="15" t="n"/>
      <c r="O179" s="15" t="n"/>
      <c r="P179" s="15" t="n"/>
      <c r="Q179" s="15" t="n"/>
      <c r="R179" s="15" t="n"/>
      <c r="S179" s="15" t="n"/>
      <c r="T179" s="15" t="n"/>
      <c r="U179" s="15" t="n"/>
      <c r="V179" s="15" t="n"/>
      <c r="W179" s="15" t="n"/>
      <c r="X179" s="15" t="n"/>
      <c r="Y179" s="15" t="n"/>
      <c r="Z179" s="15" t="n"/>
    </row>
    <row r="180" ht="15.75" customHeight="1" s="18">
      <c r="A180" s="16" t="n"/>
      <c r="B180" s="15" t="n"/>
      <c r="C180" s="15" t="n"/>
      <c r="D180" s="15" t="n"/>
      <c r="E180" s="15" t="n"/>
      <c r="F180" s="15" t="n"/>
      <c r="G180" s="15" t="n"/>
      <c r="H180" s="15" t="n"/>
      <c r="I180" s="15" t="n"/>
      <c r="J180" s="15" t="n"/>
      <c r="K180" s="15" t="n"/>
      <c r="L180" s="15" t="n"/>
      <c r="M180" s="15" t="n"/>
      <c r="N180" s="15" t="n"/>
      <c r="O180" s="15" t="n"/>
      <c r="P180" s="15" t="n"/>
      <c r="Q180" s="15" t="n"/>
      <c r="R180" s="15" t="n"/>
      <c r="S180" s="15" t="n"/>
      <c r="T180" s="15" t="n"/>
      <c r="U180" s="15" t="n"/>
      <c r="V180" s="15" t="n"/>
      <c r="W180" s="15" t="n"/>
      <c r="X180" s="15" t="n"/>
      <c r="Y180" s="15" t="n"/>
      <c r="Z180" s="15" t="n"/>
    </row>
    <row r="181" ht="15.75" customHeight="1" s="18">
      <c r="A181" s="16" t="n"/>
      <c r="B181" s="15" t="n"/>
      <c r="C181" s="15" t="n"/>
      <c r="D181" s="15" t="n"/>
      <c r="E181" s="15" t="n"/>
      <c r="F181" s="15" t="n"/>
      <c r="G181" s="15" t="n"/>
      <c r="H181" s="15" t="n"/>
      <c r="I181" s="15" t="n"/>
      <c r="J181" s="15" t="n"/>
      <c r="K181" s="15" t="n"/>
      <c r="L181" s="15" t="n"/>
      <c r="M181" s="15" t="n"/>
      <c r="N181" s="15" t="n"/>
      <c r="O181" s="15" t="n"/>
      <c r="P181" s="15" t="n"/>
      <c r="Q181" s="15" t="n"/>
      <c r="R181" s="15" t="n"/>
      <c r="S181" s="15" t="n"/>
      <c r="T181" s="15" t="n"/>
      <c r="U181" s="15" t="n"/>
      <c r="V181" s="15" t="n"/>
      <c r="W181" s="15" t="n"/>
      <c r="X181" s="15" t="n"/>
      <c r="Y181" s="15" t="n"/>
      <c r="Z181" s="15" t="n"/>
    </row>
    <row r="182" ht="15.75" customHeight="1" s="18">
      <c r="A182" s="16" t="n"/>
      <c r="B182" s="15" t="n"/>
      <c r="C182" s="15" t="n"/>
      <c r="D182" s="15" t="n"/>
      <c r="E182" s="15" t="n"/>
      <c r="F182" s="15" t="n"/>
      <c r="G182" s="15" t="n"/>
      <c r="H182" s="15" t="n"/>
      <c r="I182" s="15" t="n"/>
      <c r="J182" s="15" t="n"/>
      <c r="K182" s="15" t="n"/>
      <c r="L182" s="15" t="n"/>
      <c r="M182" s="15" t="n"/>
      <c r="N182" s="15" t="n"/>
      <c r="O182" s="15" t="n"/>
      <c r="P182" s="15" t="n"/>
      <c r="Q182" s="15" t="n"/>
      <c r="R182" s="15" t="n"/>
      <c r="S182" s="15" t="n"/>
      <c r="T182" s="15" t="n"/>
      <c r="U182" s="15" t="n"/>
      <c r="V182" s="15" t="n"/>
      <c r="W182" s="15" t="n"/>
      <c r="X182" s="15" t="n"/>
      <c r="Y182" s="15" t="n"/>
      <c r="Z182" s="15" t="n"/>
    </row>
    <row r="183" ht="15.75" customHeight="1" s="18">
      <c r="A183" s="16" t="n"/>
      <c r="B183" s="15" t="n"/>
      <c r="C183" s="15" t="n"/>
      <c r="D183" s="15" t="n"/>
      <c r="E183" s="15" t="n"/>
      <c r="F183" s="15" t="n"/>
      <c r="G183" s="15" t="n"/>
      <c r="H183" s="15" t="n"/>
      <c r="I183" s="15" t="n"/>
      <c r="J183" s="15" t="n"/>
      <c r="K183" s="15" t="n"/>
      <c r="L183" s="15" t="n"/>
      <c r="M183" s="15" t="n"/>
      <c r="N183" s="15" t="n"/>
      <c r="O183" s="15" t="n"/>
      <c r="P183" s="15" t="n"/>
      <c r="Q183" s="15" t="n"/>
      <c r="R183" s="15" t="n"/>
      <c r="S183" s="15" t="n"/>
      <c r="T183" s="15" t="n"/>
      <c r="U183" s="15" t="n"/>
      <c r="V183" s="15" t="n"/>
      <c r="W183" s="15" t="n"/>
      <c r="X183" s="15" t="n"/>
      <c r="Y183" s="15" t="n"/>
      <c r="Z183" s="15" t="n"/>
    </row>
    <row r="184" ht="15.75" customHeight="1" s="18">
      <c r="A184" s="16" t="n"/>
      <c r="B184" s="15" t="n"/>
      <c r="C184" s="15" t="n"/>
      <c r="D184" s="15" t="n"/>
      <c r="E184" s="15" t="n"/>
      <c r="F184" s="15" t="n"/>
      <c r="G184" s="15" t="n"/>
      <c r="H184" s="15" t="n"/>
      <c r="I184" s="15" t="n"/>
      <c r="J184" s="15" t="n"/>
      <c r="K184" s="15" t="n"/>
      <c r="L184" s="15" t="n"/>
      <c r="M184" s="15" t="n"/>
      <c r="N184" s="15" t="n"/>
      <c r="O184" s="15" t="n"/>
      <c r="P184" s="15" t="n"/>
      <c r="Q184" s="15" t="n"/>
      <c r="R184" s="15" t="n"/>
      <c r="S184" s="15" t="n"/>
      <c r="T184" s="15" t="n"/>
      <c r="U184" s="15" t="n"/>
      <c r="V184" s="15" t="n"/>
      <c r="W184" s="15" t="n"/>
      <c r="X184" s="15" t="n"/>
      <c r="Y184" s="15" t="n"/>
      <c r="Z184" s="15" t="n"/>
    </row>
    <row r="185" ht="15.75" customHeight="1" s="18">
      <c r="A185" s="16" t="n"/>
      <c r="B185" s="15" t="n"/>
      <c r="C185" s="15" t="n"/>
      <c r="D185" s="15" t="n"/>
      <c r="E185" s="15" t="n"/>
      <c r="F185" s="15" t="n"/>
      <c r="G185" s="15" t="n"/>
      <c r="H185" s="15" t="n"/>
      <c r="I185" s="15" t="n"/>
      <c r="J185" s="15" t="n"/>
      <c r="K185" s="15" t="n"/>
      <c r="L185" s="15" t="n"/>
      <c r="M185" s="15" t="n"/>
      <c r="N185" s="15" t="n"/>
      <c r="O185" s="15" t="n"/>
      <c r="P185" s="15" t="n"/>
      <c r="Q185" s="15" t="n"/>
      <c r="R185" s="15" t="n"/>
      <c r="S185" s="15" t="n"/>
      <c r="T185" s="15" t="n"/>
      <c r="U185" s="15" t="n"/>
      <c r="V185" s="15" t="n"/>
      <c r="W185" s="15" t="n"/>
      <c r="X185" s="15" t="n"/>
      <c r="Y185" s="15" t="n"/>
      <c r="Z185" s="15" t="n"/>
    </row>
    <row r="186" ht="15.75" customHeight="1" s="18">
      <c r="A186" s="16" t="n"/>
      <c r="B186" s="15" t="n"/>
      <c r="C186" s="15" t="n"/>
      <c r="D186" s="15" t="n"/>
      <c r="E186" s="15" t="n"/>
      <c r="F186" s="15" t="n"/>
      <c r="G186" s="15" t="n"/>
      <c r="H186" s="15" t="n"/>
      <c r="I186" s="15" t="n"/>
      <c r="J186" s="15" t="n"/>
      <c r="K186" s="15" t="n"/>
      <c r="L186" s="15" t="n"/>
      <c r="M186" s="15" t="n"/>
      <c r="N186" s="15" t="n"/>
      <c r="O186" s="15" t="n"/>
      <c r="P186" s="15" t="n"/>
      <c r="Q186" s="15" t="n"/>
      <c r="R186" s="15" t="n"/>
      <c r="S186" s="15" t="n"/>
      <c r="T186" s="15" t="n"/>
      <c r="U186" s="15" t="n"/>
      <c r="V186" s="15" t="n"/>
      <c r="W186" s="15" t="n"/>
      <c r="X186" s="15" t="n"/>
      <c r="Y186" s="15" t="n"/>
      <c r="Z186" s="15" t="n"/>
    </row>
    <row r="187" ht="15.75" customHeight="1" s="18">
      <c r="A187" s="16" t="n"/>
      <c r="B187" s="15" t="n"/>
      <c r="C187" s="15" t="n"/>
      <c r="D187" s="15" t="n"/>
      <c r="E187" s="15" t="n"/>
      <c r="F187" s="15" t="n"/>
      <c r="G187" s="15" t="n"/>
      <c r="H187" s="15" t="n"/>
      <c r="I187" s="15" t="n"/>
      <c r="J187" s="15" t="n"/>
      <c r="K187" s="15" t="n"/>
      <c r="L187" s="15" t="n"/>
      <c r="M187" s="15" t="n"/>
      <c r="N187" s="15" t="n"/>
      <c r="O187" s="15" t="n"/>
      <c r="P187" s="15" t="n"/>
      <c r="Q187" s="15" t="n"/>
      <c r="R187" s="15" t="n"/>
      <c r="S187" s="15" t="n"/>
      <c r="T187" s="15" t="n"/>
      <c r="U187" s="15" t="n"/>
      <c r="V187" s="15" t="n"/>
      <c r="W187" s="15" t="n"/>
      <c r="X187" s="15" t="n"/>
      <c r="Y187" s="15" t="n"/>
      <c r="Z187" s="15" t="n"/>
    </row>
    <row r="188" ht="15.75" customHeight="1" s="18">
      <c r="A188" s="16" t="n"/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  <c r="P188" s="15" t="n"/>
      <c r="Q188" s="15" t="n"/>
      <c r="R188" s="15" t="n"/>
      <c r="S188" s="15" t="n"/>
      <c r="T188" s="15" t="n"/>
      <c r="U188" s="15" t="n"/>
      <c r="V188" s="15" t="n"/>
      <c r="W188" s="15" t="n"/>
      <c r="X188" s="15" t="n"/>
      <c r="Y188" s="15" t="n"/>
      <c r="Z188" s="15" t="n"/>
    </row>
    <row r="189" ht="15.75" customHeight="1" s="18">
      <c r="A189" s="16" t="n"/>
      <c r="B189" s="15" t="n"/>
      <c r="C189" s="15" t="n"/>
      <c r="D189" s="15" t="n"/>
      <c r="E189" s="15" t="n"/>
      <c r="F189" s="15" t="n"/>
      <c r="G189" s="15" t="n"/>
      <c r="H189" s="15" t="n"/>
      <c r="I189" s="15" t="n"/>
      <c r="J189" s="15" t="n"/>
      <c r="K189" s="15" t="n"/>
      <c r="L189" s="15" t="n"/>
      <c r="M189" s="15" t="n"/>
      <c r="N189" s="15" t="n"/>
      <c r="O189" s="15" t="n"/>
      <c r="P189" s="15" t="n"/>
      <c r="Q189" s="15" t="n"/>
      <c r="R189" s="15" t="n"/>
      <c r="S189" s="15" t="n"/>
      <c r="T189" s="15" t="n"/>
      <c r="U189" s="15" t="n"/>
      <c r="V189" s="15" t="n"/>
      <c r="W189" s="15" t="n"/>
      <c r="X189" s="15" t="n"/>
      <c r="Y189" s="15" t="n"/>
      <c r="Z189" s="15" t="n"/>
    </row>
    <row r="190" ht="15.75" customHeight="1" s="18">
      <c r="A190" s="16" t="n"/>
      <c r="B190" s="15" t="n"/>
      <c r="C190" s="15" t="n"/>
      <c r="D190" s="15" t="n"/>
      <c r="E190" s="15" t="n"/>
      <c r="F190" s="15" t="n"/>
      <c r="G190" s="15" t="n"/>
      <c r="H190" s="15" t="n"/>
      <c r="I190" s="15" t="n"/>
      <c r="J190" s="15" t="n"/>
      <c r="K190" s="15" t="n"/>
      <c r="L190" s="15" t="n"/>
      <c r="M190" s="15" t="n"/>
      <c r="N190" s="15" t="n"/>
      <c r="O190" s="15" t="n"/>
      <c r="P190" s="15" t="n"/>
      <c r="Q190" s="15" t="n"/>
      <c r="R190" s="15" t="n"/>
      <c r="S190" s="15" t="n"/>
      <c r="T190" s="15" t="n"/>
      <c r="U190" s="15" t="n"/>
      <c r="V190" s="15" t="n"/>
      <c r="W190" s="15" t="n"/>
      <c r="X190" s="15" t="n"/>
      <c r="Y190" s="15" t="n"/>
      <c r="Z190" s="15" t="n"/>
    </row>
    <row r="191" ht="15.75" customHeight="1" s="18">
      <c r="A191" s="16" t="n"/>
      <c r="B191" s="15" t="n"/>
      <c r="C191" s="15" t="n"/>
      <c r="D191" s="15" t="n"/>
      <c r="E191" s="15" t="n"/>
      <c r="F191" s="15" t="n"/>
      <c r="G191" s="15" t="n"/>
      <c r="H191" s="15" t="n"/>
      <c r="I191" s="15" t="n"/>
      <c r="J191" s="15" t="n"/>
      <c r="K191" s="15" t="n"/>
      <c r="L191" s="15" t="n"/>
      <c r="M191" s="15" t="n"/>
      <c r="N191" s="15" t="n"/>
      <c r="O191" s="15" t="n"/>
      <c r="P191" s="15" t="n"/>
      <c r="Q191" s="15" t="n"/>
      <c r="R191" s="15" t="n"/>
      <c r="S191" s="15" t="n"/>
      <c r="T191" s="15" t="n"/>
      <c r="U191" s="15" t="n"/>
      <c r="V191" s="15" t="n"/>
      <c r="W191" s="15" t="n"/>
      <c r="X191" s="15" t="n"/>
      <c r="Y191" s="15" t="n"/>
      <c r="Z191" s="15" t="n"/>
    </row>
    <row r="192" ht="15.75" customHeight="1" s="18">
      <c r="A192" s="16" t="n"/>
      <c r="B192" s="15" t="n"/>
      <c r="C192" s="15" t="n"/>
      <c r="D192" s="15" t="n"/>
      <c r="E192" s="15" t="n"/>
      <c r="F192" s="15" t="n"/>
      <c r="G192" s="15" t="n"/>
      <c r="H192" s="15" t="n"/>
      <c r="I192" s="15" t="n"/>
      <c r="J192" s="15" t="n"/>
      <c r="K192" s="15" t="n"/>
      <c r="L192" s="15" t="n"/>
      <c r="M192" s="15" t="n"/>
      <c r="N192" s="15" t="n"/>
      <c r="O192" s="15" t="n"/>
      <c r="P192" s="15" t="n"/>
      <c r="Q192" s="15" t="n"/>
      <c r="R192" s="15" t="n"/>
      <c r="S192" s="15" t="n"/>
      <c r="T192" s="15" t="n"/>
      <c r="U192" s="15" t="n"/>
      <c r="V192" s="15" t="n"/>
      <c r="W192" s="15" t="n"/>
      <c r="X192" s="15" t="n"/>
      <c r="Y192" s="15" t="n"/>
      <c r="Z192" s="15" t="n"/>
    </row>
    <row r="193" ht="15.75" customHeight="1" s="18">
      <c r="A193" s="16" t="n"/>
      <c r="B193" s="15" t="n"/>
      <c r="C193" s="15" t="n"/>
      <c r="D193" s="15" t="n"/>
      <c r="E193" s="15" t="n"/>
      <c r="F193" s="15" t="n"/>
      <c r="G193" s="15" t="n"/>
      <c r="H193" s="15" t="n"/>
      <c r="I193" s="15" t="n"/>
      <c r="J193" s="15" t="n"/>
      <c r="K193" s="15" t="n"/>
      <c r="L193" s="15" t="n"/>
      <c r="M193" s="15" t="n"/>
      <c r="N193" s="15" t="n"/>
      <c r="O193" s="15" t="n"/>
      <c r="P193" s="15" t="n"/>
      <c r="Q193" s="15" t="n"/>
      <c r="R193" s="15" t="n"/>
      <c r="S193" s="15" t="n"/>
      <c r="T193" s="15" t="n"/>
      <c r="U193" s="15" t="n"/>
      <c r="V193" s="15" t="n"/>
      <c r="W193" s="15" t="n"/>
      <c r="X193" s="15" t="n"/>
      <c r="Y193" s="15" t="n"/>
      <c r="Z193" s="15" t="n"/>
    </row>
    <row r="194" ht="15.75" customHeight="1" s="18">
      <c r="A194" s="16" t="n"/>
      <c r="B194" s="15" t="n"/>
      <c r="C194" s="15" t="n"/>
      <c r="D194" s="15" t="n"/>
      <c r="E194" s="15" t="n"/>
      <c r="F194" s="15" t="n"/>
      <c r="G194" s="15" t="n"/>
      <c r="H194" s="15" t="n"/>
      <c r="I194" s="15" t="n"/>
      <c r="J194" s="15" t="n"/>
      <c r="K194" s="15" t="n"/>
      <c r="L194" s="15" t="n"/>
      <c r="M194" s="15" t="n"/>
      <c r="N194" s="15" t="n"/>
      <c r="O194" s="15" t="n"/>
      <c r="P194" s="15" t="n"/>
      <c r="Q194" s="15" t="n"/>
      <c r="R194" s="15" t="n"/>
      <c r="S194" s="15" t="n"/>
      <c r="T194" s="15" t="n"/>
      <c r="U194" s="15" t="n"/>
      <c r="V194" s="15" t="n"/>
      <c r="W194" s="15" t="n"/>
      <c r="X194" s="15" t="n"/>
      <c r="Y194" s="15" t="n"/>
      <c r="Z194" s="15" t="n"/>
    </row>
    <row r="195" ht="15.75" customHeight="1" s="18">
      <c r="A195" s="16" t="n"/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  <c r="P195" s="15" t="n"/>
      <c r="Q195" s="15" t="n"/>
      <c r="R195" s="15" t="n"/>
      <c r="S195" s="15" t="n"/>
      <c r="T195" s="15" t="n"/>
      <c r="U195" s="15" t="n"/>
      <c r="V195" s="15" t="n"/>
      <c r="W195" s="15" t="n"/>
      <c r="X195" s="15" t="n"/>
      <c r="Y195" s="15" t="n"/>
      <c r="Z195" s="15" t="n"/>
    </row>
    <row r="196" ht="15.75" customHeight="1" s="18">
      <c r="A196" s="16" t="n"/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  <c r="P196" s="15" t="n"/>
      <c r="Q196" s="15" t="n"/>
      <c r="R196" s="15" t="n"/>
      <c r="S196" s="15" t="n"/>
      <c r="T196" s="15" t="n"/>
      <c r="U196" s="15" t="n"/>
      <c r="V196" s="15" t="n"/>
      <c r="W196" s="15" t="n"/>
      <c r="X196" s="15" t="n"/>
      <c r="Y196" s="15" t="n"/>
      <c r="Z196" s="15" t="n"/>
    </row>
    <row r="197" ht="15.75" customHeight="1" s="18">
      <c r="A197" s="16" t="n"/>
      <c r="B197" s="15" t="n"/>
      <c r="C197" s="15" t="n"/>
      <c r="D197" s="15" t="n"/>
      <c r="E197" s="15" t="n"/>
      <c r="F197" s="15" t="n"/>
      <c r="G197" s="15" t="n"/>
      <c r="H197" s="15" t="n"/>
      <c r="I197" s="15" t="n"/>
      <c r="J197" s="15" t="n"/>
      <c r="K197" s="15" t="n"/>
      <c r="L197" s="15" t="n"/>
      <c r="M197" s="15" t="n"/>
      <c r="N197" s="15" t="n"/>
      <c r="O197" s="15" t="n"/>
      <c r="P197" s="15" t="n"/>
      <c r="Q197" s="15" t="n"/>
      <c r="R197" s="15" t="n"/>
      <c r="S197" s="15" t="n"/>
      <c r="T197" s="15" t="n"/>
      <c r="U197" s="15" t="n"/>
      <c r="V197" s="15" t="n"/>
      <c r="W197" s="15" t="n"/>
      <c r="X197" s="15" t="n"/>
      <c r="Y197" s="15" t="n"/>
      <c r="Z197" s="15" t="n"/>
    </row>
    <row r="198" ht="15.75" customHeight="1" s="18">
      <c r="A198" s="16" t="n"/>
      <c r="B198" s="15" t="n"/>
      <c r="C198" s="15" t="n"/>
      <c r="D198" s="15" t="n"/>
      <c r="E198" s="15" t="n"/>
      <c r="F198" s="15" t="n"/>
      <c r="G198" s="15" t="n"/>
      <c r="H198" s="15" t="n"/>
      <c r="I198" s="15" t="n"/>
      <c r="J198" s="15" t="n"/>
      <c r="K198" s="15" t="n"/>
      <c r="L198" s="15" t="n"/>
      <c r="M198" s="15" t="n"/>
      <c r="N198" s="15" t="n"/>
      <c r="O198" s="15" t="n"/>
      <c r="P198" s="15" t="n"/>
      <c r="Q198" s="15" t="n"/>
      <c r="R198" s="15" t="n"/>
      <c r="S198" s="15" t="n"/>
      <c r="T198" s="15" t="n"/>
      <c r="U198" s="15" t="n"/>
      <c r="V198" s="15" t="n"/>
      <c r="W198" s="15" t="n"/>
      <c r="X198" s="15" t="n"/>
      <c r="Y198" s="15" t="n"/>
      <c r="Z198" s="15" t="n"/>
    </row>
    <row r="199" ht="15.75" customHeight="1" s="18">
      <c r="A199" s="16" t="n"/>
      <c r="B199" s="15" t="n"/>
      <c r="C199" s="15" t="n"/>
      <c r="D199" s="15" t="n"/>
      <c r="E199" s="15" t="n"/>
      <c r="F199" s="15" t="n"/>
      <c r="G199" s="15" t="n"/>
      <c r="H199" s="15" t="n"/>
      <c r="I199" s="15" t="n"/>
      <c r="J199" s="15" t="n"/>
      <c r="K199" s="15" t="n"/>
      <c r="L199" s="15" t="n"/>
      <c r="M199" s="15" t="n"/>
      <c r="N199" s="15" t="n"/>
      <c r="O199" s="15" t="n"/>
      <c r="P199" s="15" t="n"/>
      <c r="Q199" s="15" t="n"/>
      <c r="R199" s="15" t="n"/>
      <c r="S199" s="15" t="n"/>
      <c r="T199" s="15" t="n"/>
      <c r="U199" s="15" t="n"/>
      <c r="V199" s="15" t="n"/>
      <c r="W199" s="15" t="n"/>
      <c r="X199" s="15" t="n"/>
      <c r="Y199" s="15" t="n"/>
      <c r="Z199" s="15" t="n"/>
    </row>
    <row r="200" ht="15.75" customHeight="1" s="18">
      <c r="A200" s="16" t="n"/>
      <c r="B200" s="15" t="n"/>
      <c r="C200" s="15" t="n"/>
      <c r="D200" s="15" t="n"/>
      <c r="E200" s="15" t="n"/>
      <c r="F200" s="15" t="n"/>
      <c r="G200" s="15" t="n"/>
      <c r="H200" s="15" t="n"/>
      <c r="I200" s="15" t="n"/>
      <c r="J200" s="15" t="n"/>
      <c r="K200" s="15" t="n"/>
      <c r="L200" s="15" t="n"/>
      <c r="M200" s="15" t="n"/>
      <c r="N200" s="15" t="n"/>
      <c r="O200" s="15" t="n"/>
      <c r="P200" s="15" t="n"/>
      <c r="Q200" s="15" t="n"/>
      <c r="R200" s="15" t="n"/>
      <c r="S200" s="15" t="n"/>
      <c r="T200" s="15" t="n"/>
      <c r="U200" s="15" t="n"/>
      <c r="V200" s="15" t="n"/>
      <c r="W200" s="15" t="n"/>
      <c r="X200" s="15" t="n"/>
      <c r="Y200" s="15" t="n"/>
      <c r="Z200" s="15" t="n"/>
    </row>
    <row r="201" ht="15.75" customHeight="1" s="18">
      <c r="A201" s="16" t="n"/>
      <c r="B201" s="15" t="n"/>
      <c r="C201" s="15" t="n"/>
      <c r="D201" s="15" t="n"/>
      <c r="E201" s="15" t="n"/>
      <c r="F201" s="15" t="n"/>
      <c r="G201" s="15" t="n"/>
      <c r="H201" s="15" t="n"/>
      <c r="I201" s="15" t="n"/>
      <c r="J201" s="15" t="n"/>
      <c r="K201" s="15" t="n"/>
      <c r="L201" s="15" t="n"/>
      <c r="M201" s="15" t="n"/>
      <c r="N201" s="15" t="n"/>
      <c r="O201" s="15" t="n"/>
      <c r="P201" s="15" t="n"/>
      <c r="Q201" s="15" t="n"/>
      <c r="R201" s="15" t="n"/>
      <c r="S201" s="15" t="n"/>
      <c r="T201" s="15" t="n"/>
      <c r="U201" s="15" t="n"/>
      <c r="V201" s="15" t="n"/>
      <c r="W201" s="15" t="n"/>
      <c r="X201" s="15" t="n"/>
      <c r="Y201" s="15" t="n"/>
      <c r="Z201" s="15" t="n"/>
    </row>
    <row r="202" ht="15.75" customHeight="1" s="18">
      <c r="A202" s="16" t="n"/>
      <c r="B202" s="15" t="n"/>
      <c r="C202" s="15" t="n"/>
      <c r="D202" s="15" t="n"/>
      <c r="E202" s="15" t="n"/>
      <c r="F202" s="15" t="n"/>
      <c r="G202" s="15" t="n"/>
      <c r="H202" s="15" t="n"/>
      <c r="I202" s="15" t="n"/>
      <c r="J202" s="15" t="n"/>
      <c r="K202" s="15" t="n"/>
      <c r="L202" s="15" t="n"/>
      <c r="M202" s="15" t="n"/>
      <c r="N202" s="15" t="n"/>
      <c r="O202" s="15" t="n"/>
      <c r="P202" s="15" t="n"/>
      <c r="Q202" s="15" t="n"/>
      <c r="R202" s="15" t="n"/>
      <c r="S202" s="15" t="n"/>
      <c r="T202" s="15" t="n"/>
      <c r="U202" s="15" t="n"/>
      <c r="V202" s="15" t="n"/>
      <c r="W202" s="15" t="n"/>
      <c r="X202" s="15" t="n"/>
      <c r="Y202" s="15" t="n"/>
      <c r="Z202" s="15" t="n"/>
    </row>
    <row r="203" ht="15.75" customHeight="1" s="18">
      <c r="A203" s="16" t="n"/>
      <c r="B203" s="15" t="n"/>
      <c r="C203" s="15" t="n"/>
      <c r="D203" s="15" t="n"/>
      <c r="E203" s="15" t="n"/>
      <c r="F203" s="15" t="n"/>
      <c r="G203" s="15" t="n"/>
      <c r="H203" s="15" t="n"/>
      <c r="I203" s="15" t="n"/>
      <c r="J203" s="15" t="n"/>
      <c r="K203" s="15" t="n"/>
      <c r="L203" s="15" t="n"/>
      <c r="M203" s="15" t="n"/>
      <c r="N203" s="15" t="n"/>
      <c r="O203" s="15" t="n"/>
      <c r="P203" s="15" t="n"/>
      <c r="Q203" s="15" t="n"/>
      <c r="R203" s="15" t="n"/>
      <c r="S203" s="15" t="n"/>
      <c r="T203" s="15" t="n"/>
      <c r="U203" s="15" t="n"/>
      <c r="V203" s="15" t="n"/>
      <c r="W203" s="15" t="n"/>
      <c r="X203" s="15" t="n"/>
      <c r="Y203" s="15" t="n"/>
      <c r="Z203" s="15" t="n"/>
    </row>
    <row r="204" ht="15.75" customHeight="1" s="18">
      <c r="A204" s="16" t="n"/>
      <c r="B204" s="15" t="n"/>
      <c r="C204" s="15" t="n"/>
      <c r="D204" s="15" t="n"/>
      <c r="E204" s="15" t="n"/>
      <c r="F204" s="15" t="n"/>
      <c r="G204" s="15" t="n"/>
      <c r="H204" s="15" t="n"/>
      <c r="I204" s="15" t="n"/>
      <c r="J204" s="15" t="n"/>
      <c r="K204" s="15" t="n"/>
      <c r="L204" s="15" t="n"/>
      <c r="M204" s="15" t="n"/>
      <c r="N204" s="15" t="n"/>
      <c r="O204" s="15" t="n"/>
      <c r="P204" s="15" t="n"/>
      <c r="Q204" s="15" t="n"/>
      <c r="R204" s="15" t="n"/>
      <c r="S204" s="15" t="n"/>
      <c r="T204" s="15" t="n"/>
      <c r="U204" s="15" t="n"/>
      <c r="V204" s="15" t="n"/>
      <c r="W204" s="15" t="n"/>
      <c r="X204" s="15" t="n"/>
      <c r="Y204" s="15" t="n"/>
      <c r="Z204" s="15" t="n"/>
    </row>
    <row r="205" ht="15.75" customHeight="1" s="18">
      <c r="A205" s="16" t="n"/>
      <c r="B205" s="15" t="n"/>
      <c r="C205" s="15" t="n"/>
      <c r="D205" s="15" t="n"/>
      <c r="E205" s="15" t="n"/>
      <c r="F205" s="15" t="n"/>
      <c r="G205" s="15" t="n"/>
      <c r="H205" s="15" t="n"/>
      <c r="I205" s="15" t="n"/>
      <c r="J205" s="15" t="n"/>
      <c r="K205" s="15" t="n"/>
      <c r="L205" s="15" t="n"/>
      <c r="M205" s="15" t="n"/>
      <c r="N205" s="15" t="n"/>
      <c r="O205" s="15" t="n"/>
      <c r="P205" s="15" t="n"/>
      <c r="Q205" s="15" t="n"/>
      <c r="R205" s="15" t="n"/>
      <c r="S205" s="15" t="n"/>
      <c r="T205" s="15" t="n"/>
      <c r="U205" s="15" t="n"/>
      <c r="V205" s="15" t="n"/>
      <c r="W205" s="15" t="n"/>
      <c r="X205" s="15" t="n"/>
      <c r="Y205" s="15" t="n"/>
      <c r="Z205" s="15" t="n"/>
    </row>
    <row r="206" ht="15.75" customHeight="1" s="18">
      <c r="A206" s="16" t="n"/>
      <c r="B206" s="15" t="n"/>
      <c r="C206" s="15" t="n"/>
      <c r="D206" s="15" t="n"/>
      <c r="E206" s="15" t="n"/>
      <c r="F206" s="15" t="n"/>
      <c r="G206" s="15" t="n"/>
      <c r="H206" s="15" t="n"/>
      <c r="I206" s="15" t="n"/>
      <c r="J206" s="15" t="n"/>
      <c r="K206" s="15" t="n"/>
      <c r="L206" s="15" t="n"/>
      <c r="M206" s="15" t="n"/>
      <c r="N206" s="15" t="n"/>
      <c r="O206" s="15" t="n"/>
      <c r="P206" s="15" t="n"/>
      <c r="Q206" s="15" t="n"/>
      <c r="R206" s="15" t="n"/>
      <c r="S206" s="15" t="n"/>
      <c r="T206" s="15" t="n"/>
      <c r="U206" s="15" t="n"/>
      <c r="V206" s="15" t="n"/>
      <c r="W206" s="15" t="n"/>
      <c r="X206" s="15" t="n"/>
      <c r="Y206" s="15" t="n"/>
      <c r="Z206" s="15" t="n"/>
    </row>
    <row r="207" ht="15.75" customHeight="1" s="18">
      <c r="A207" s="16" t="n"/>
      <c r="B207" s="15" t="n"/>
      <c r="C207" s="15" t="n"/>
      <c r="D207" s="15" t="n"/>
      <c r="E207" s="15" t="n"/>
      <c r="F207" s="15" t="n"/>
      <c r="G207" s="15" t="n"/>
      <c r="H207" s="15" t="n"/>
      <c r="I207" s="15" t="n"/>
      <c r="J207" s="15" t="n"/>
      <c r="K207" s="15" t="n"/>
      <c r="L207" s="15" t="n"/>
      <c r="M207" s="15" t="n"/>
      <c r="N207" s="15" t="n"/>
      <c r="O207" s="15" t="n"/>
      <c r="P207" s="15" t="n"/>
      <c r="Q207" s="15" t="n"/>
      <c r="R207" s="15" t="n"/>
      <c r="S207" s="15" t="n"/>
      <c r="T207" s="15" t="n"/>
      <c r="U207" s="15" t="n"/>
      <c r="V207" s="15" t="n"/>
      <c r="W207" s="15" t="n"/>
      <c r="X207" s="15" t="n"/>
      <c r="Y207" s="15" t="n"/>
      <c r="Z207" s="15" t="n"/>
    </row>
    <row r="208" ht="15.75" customHeight="1" s="18">
      <c r="A208" s="16" t="n"/>
      <c r="B208" s="15" t="n"/>
      <c r="C208" s="15" t="n"/>
      <c r="D208" s="15" t="n"/>
      <c r="E208" s="15" t="n"/>
      <c r="F208" s="15" t="n"/>
      <c r="G208" s="15" t="n"/>
      <c r="H208" s="15" t="n"/>
      <c r="I208" s="15" t="n"/>
      <c r="J208" s="15" t="n"/>
      <c r="K208" s="15" t="n"/>
      <c r="L208" s="15" t="n"/>
      <c r="M208" s="15" t="n"/>
      <c r="N208" s="15" t="n"/>
      <c r="O208" s="15" t="n"/>
      <c r="P208" s="15" t="n"/>
      <c r="Q208" s="15" t="n"/>
      <c r="R208" s="15" t="n"/>
      <c r="S208" s="15" t="n"/>
      <c r="T208" s="15" t="n"/>
      <c r="U208" s="15" t="n"/>
      <c r="V208" s="15" t="n"/>
      <c r="W208" s="15" t="n"/>
      <c r="X208" s="15" t="n"/>
      <c r="Y208" s="15" t="n"/>
      <c r="Z208" s="15" t="n"/>
    </row>
    <row r="209" ht="15.75" customHeight="1" s="18">
      <c r="A209" s="16" t="n"/>
      <c r="B209" s="15" t="n"/>
      <c r="C209" s="15" t="n"/>
      <c r="D209" s="15" t="n"/>
      <c r="E209" s="15" t="n"/>
      <c r="F209" s="15" t="n"/>
      <c r="G209" s="15" t="n"/>
      <c r="H209" s="15" t="n"/>
      <c r="I209" s="15" t="n"/>
      <c r="J209" s="15" t="n"/>
      <c r="K209" s="15" t="n"/>
      <c r="L209" s="15" t="n"/>
      <c r="M209" s="15" t="n"/>
      <c r="N209" s="15" t="n"/>
      <c r="O209" s="15" t="n"/>
      <c r="P209" s="15" t="n"/>
      <c r="Q209" s="15" t="n"/>
      <c r="R209" s="15" t="n"/>
      <c r="S209" s="15" t="n"/>
      <c r="T209" s="15" t="n"/>
      <c r="U209" s="15" t="n"/>
      <c r="V209" s="15" t="n"/>
      <c r="W209" s="15" t="n"/>
      <c r="X209" s="15" t="n"/>
      <c r="Y209" s="15" t="n"/>
      <c r="Z209" s="15" t="n"/>
    </row>
    <row r="210" ht="15.75" customHeight="1" s="18">
      <c r="A210" s="16" t="n"/>
      <c r="B210" s="15" t="n"/>
      <c r="C210" s="15" t="n"/>
      <c r="D210" s="15" t="n"/>
      <c r="E210" s="15" t="n"/>
      <c r="F210" s="15" t="n"/>
      <c r="G210" s="15" t="n"/>
      <c r="H210" s="15" t="n"/>
      <c r="I210" s="15" t="n"/>
      <c r="J210" s="15" t="n"/>
      <c r="K210" s="15" t="n"/>
      <c r="L210" s="15" t="n"/>
      <c r="M210" s="15" t="n"/>
      <c r="N210" s="15" t="n"/>
      <c r="O210" s="15" t="n"/>
      <c r="P210" s="15" t="n"/>
      <c r="Q210" s="15" t="n"/>
      <c r="R210" s="15" t="n"/>
      <c r="S210" s="15" t="n"/>
      <c r="T210" s="15" t="n"/>
      <c r="U210" s="15" t="n"/>
      <c r="V210" s="15" t="n"/>
      <c r="W210" s="15" t="n"/>
      <c r="X210" s="15" t="n"/>
      <c r="Y210" s="15" t="n"/>
      <c r="Z210" s="15" t="n"/>
    </row>
    <row r="211" ht="15.75" customHeight="1" s="18">
      <c r="A211" s="16" t="n"/>
      <c r="B211" s="15" t="n"/>
      <c r="C211" s="15" t="n"/>
      <c r="D211" s="15" t="n"/>
      <c r="E211" s="15" t="n"/>
      <c r="F211" s="15" t="n"/>
      <c r="G211" s="15" t="n"/>
      <c r="H211" s="15" t="n"/>
      <c r="I211" s="15" t="n"/>
      <c r="J211" s="15" t="n"/>
      <c r="K211" s="15" t="n"/>
      <c r="L211" s="15" t="n"/>
      <c r="M211" s="15" t="n"/>
      <c r="N211" s="15" t="n"/>
      <c r="O211" s="15" t="n"/>
      <c r="P211" s="15" t="n"/>
      <c r="Q211" s="15" t="n"/>
      <c r="R211" s="15" t="n"/>
      <c r="S211" s="15" t="n"/>
      <c r="T211" s="15" t="n"/>
      <c r="U211" s="15" t="n"/>
      <c r="V211" s="15" t="n"/>
      <c r="W211" s="15" t="n"/>
      <c r="X211" s="15" t="n"/>
      <c r="Y211" s="15" t="n"/>
      <c r="Z211" s="15" t="n"/>
    </row>
    <row r="212" ht="15.75" customHeight="1" s="18">
      <c r="A212" s="16" t="n"/>
      <c r="B212" s="15" t="n"/>
      <c r="C212" s="15" t="n"/>
      <c r="D212" s="15" t="n"/>
      <c r="E212" s="15" t="n"/>
      <c r="F212" s="15" t="n"/>
      <c r="G212" s="15" t="n"/>
      <c r="H212" s="15" t="n"/>
      <c r="I212" s="15" t="n"/>
      <c r="J212" s="15" t="n"/>
      <c r="K212" s="15" t="n"/>
      <c r="L212" s="15" t="n"/>
      <c r="M212" s="15" t="n"/>
      <c r="N212" s="15" t="n"/>
      <c r="O212" s="15" t="n"/>
      <c r="P212" s="15" t="n"/>
      <c r="Q212" s="15" t="n"/>
      <c r="R212" s="15" t="n"/>
      <c r="S212" s="15" t="n"/>
      <c r="T212" s="15" t="n"/>
      <c r="U212" s="15" t="n"/>
      <c r="V212" s="15" t="n"/>
      <c r="W212" s="15" t="n"/>
      <c r="X212" s="15" t="n"/>
      <c r="Y212" s="15" t="n"/>
      <c r="Z212" s="15" t="n"/>
    </row>
    <row r="213" ht="15.75" customHeight="1" s="18">
      <c r="A213" s="16" t="n"/>
      <c r="B213" s="15" t="n"/>
      <c r="C213" s="15" t="n"/>
      <c r="D213" s="15" t="n"/>
      <c r="E213" s="15" t="n"/>
      <c r="F213" s="15" t="n"/>
      <c r="G213" s="15" t="n"/>
      <c r="H213" s="15" t="n"/>
      <c r="I213" s="15" t="n"/>
      <c r="J213" s="15" t="n"/>
      <c r="K213" s="15" t="n"/>
      <c r="L213" s="15" t="n"/>
      <c r="M213" s="15" t="n"/>
      <c r="N213" s="15" t="n"/>
      <c r="O213" s="15" t="n"/>
      <c r="P213" s="15" t="n"/>
      <c r="Q213" s="15" t="n"/>
      <c r="R213" s="15" t="n"/>
      <c r="S213" s="15" t="n"/>
      <c r="T213" s="15" t="n"/>
      <c r="U213" s="15" t="n"/>
      <c r="V213" s="15" t="n"/>
      <c r="W213" s="15" t="n"/>
      <c r="X213" s="15" t="n"/>
      <c r="Y213" s="15" t="n"/>
      <c r="Z213" s="15" t="n"/>
    </row>
    <row r="214" ht="15.75" customHeight="1" s="18">
      <c r="A214" s="16" t="n"/>
      <c r="B214" s="15" t="n"/>
      <c r="C214" s="15" t="n"/>
      <c r="D214" s="15" t="n"/>
      <c r="E214" s="15" t="n"/>
      <c r="F214" s="15" t="n"/>
      <c r="G214" s="15" t="n"/>
      <c r="H214" s="15" t="n"/>
      <c r="I214" s="15" t="n"/>
      <c r="J214" s="15" t="n"/>
      <c r="K214" s="15" t="n"/>
      <c r="L214" s="15" t="n"/>
      <c r="M214" s="15" t="n"/>
      <c r="N214" s="15" t="n"/>
      <c r="O214" s="15" t="n"/>
      <c r="P214" s="15" t="n"/>
      <c r="Q214" s="15" t="n"/>
      <c r="R214" s="15" t="n"/>
      <c r="S214" s="15" t="n"/>
      <c r="T214" s="15" t="n"/>
      <c r="U214" s="15" t="n"/>
      <c r="V214" s="15" t="n"/>
      <c r="W214" s="15" t="n"/>
      <c r="X214" s="15" t="n"/>
      <c r="Y214" s="15" t="n"/>
      <c r="Z214" s="15" t="n"/>
    </row>
    <row r="215" ht="15.75" customHeight="1" s="18">
      <c r="A215" s="16" t="n"/>
      <c r="B215" s="15" t="n"/>
      <c r="C215" s="15" t="n"/>
      <c r="D215" s="15" t="n"/>
      <c r="E215" s="15" t="n"/>
      <c r="F215" s="15" t="n"/>
      <c r="G215" s="15" t="n"/>
      <c r="H215" s="15" t="n"/>
      <c r="I215" s="15" t="n"/>
      <c r="J215" s="15" t="n"/>
      <c r="K215" s="15" t="n"/>
      <c r="L215" s="15" t="n"/>
      <c r="M215" s="15" t="n"/>
      <c r="N215" s="15" t="n"/>
      <c r="O215" s="15" t="n"/>
      <c r="P215" s="15" t="n"/>
      <c r="Q215" s="15" t="n"/>
      <c r="R215" s="15" t="n"/>
      <c r="S215" s="15" t="n"/>
      <c r="T215" s="15" t="n"/>
      <c r="U215" s="15" t="n"/>
      <c r="V215" s="15" t="n"/>
      <c r="W215" s="15" t="n"/>
      <c r="X215" s="15" t="n"/>
      <c r="Y215" s="15" t="n"/>
      <c r="Z215" s="15" t="n"/>
    </row>
    <row r="216" ht="15.75" customHeight="1" s="18">
      <c r="A216" s="16" t="n"/>
      <c r="B216" s="15" t="n"/>
      <c r="C216" s="15" t="n"/>
      <c r="D216" s="15" t="n"/>
      <c r="E216" s="15" t="n"/>
      <c r="F216" s="15" t="n"/>
      <c r="G216" s="15" t="n"/>
      <c r="H216" s="15" t="n"/>
      <c r="I216" s="15" t="n"/>
      <c r="J216" s="15" t="n"/>
      <c r="K216" s="15" t="n"/>
      <c r="L216" s="15" t="n"/>
      <c r="M216" s="15" t="n"/>
      <c r="N216" s="15" t="n"/>
      <c r="O216" s="15" t="n"/>
      <c r="P216" s="15" t="n"/>
      <c r="Q216" s="15" t="n"/>
      <c r="R216" s="15" t="n"/>
      <c r="S216" s="15" t="n"/>
      <c r="T216" s="15" t="n"/>
      <c r="U216" s="15" t="n"/>
      <c r="V216" s="15" t="n"/>
      <c r="W216" s="15" t="n"/>
      <c r="X216" s="15" t="n"/>
      <c r="Y216" s="15" t="n"/>
      <c r="Z216" s="15" t="n"/>
    </row>
    <row r="217" ht="15.75" customHeight="1" s="18">
      <c r="A217" s="16" t="n"/>
      <c r="B217" s="15" t="n"/>
      <c r="C217" s="15" t="n"/>
      <c r="D217" s="15" t="n"/>
      <c r="E217" s="15" t="n"/>
      <c r="F217" s="15" t="n"/>
      <c r="G217" s="15" t="n"/>
      <c r="H217" s="15" t="n"/>
      <c r="I217" s="15" t="n"/>
      <c r="J217" s="15" t="n"/>
      <c r="K217" s="15" t="n"/>
      <c r="L217" s="15" t="n"/>
      <c r="M217" s="15" t="n"/>
      <c r="N217" s="15" t="n"/>
      <c r="O217" s="15" t="n"/>
      <c r="P217" s="15" t="n"/>
      <c r="Q217" s="15" t="n"/>
      <c r="R217" s="15" t="n"/>
      <c r="S217" s="15" t="n"/>
      <c r="T217" s="15" t="n"/>
      <c r="U217" s="15" t="n"/>
      <c r="V217" s="15" t="n"/>
      <c r="W217" s="15" t="n"/>
      <c r="X217" s="15" t="n"/>
      <c r="Y217" s="15" t="n"/>
      <c r="Z217" s="15" t="n"/>
    </row>
    <row r="218" ht="15.75" customHeight="1" s="18">
      <c r="A218" s="16" t="n"/>
      <c r="B218" s="15" t="n"/>
      <c r="C218" s="15" t="n"/>
      <c r="D218" s="15" t="n"/>
      <c r="E218" s="15" t="n"/>
      <c r="F218" s="15" t="n"/>
      <c r="G218" s="15" t="n"/>
      <c r="H218" s="15" t="n"/>
      <c r="I218" s="15" t="n"/>
      <c r="J218" s="15" t="n"/>
      <c r="K218" s="15" t="n"/>
      <c r="L218" s="15" t="n"/>
      <c r="M218" s="15" t="n"/>
      <c r="N218" s="15" t="n"/>
      <c r="O218" s="15" t="n"/>
      <c r="P218" s="15" t="n"/>
      <c r="Q218" s="15" t="n"/>
      <c r="R218" s="15" t="n"/>
      <c r="S218" s="15" t="n"/>
      <c r="T218" s="15" t="n"/>
      <c r="U218" s="15" t="n"/>
      <c r="V218" s="15" t="n"/>
      <c r="W218" s="15" t="n"/>
      <c r="X218" s="15" t="n"/>
      <c r="Y218" s="15" t="n"/>
      <c r="Z218" s="15" t="n"/>
    </row>
    <row r="219" ht="15.75" customHeight="1" s="18">
      <c r="A219" s="16" t="n"/>
      <c r="B219" s="15" t="n"/>
      <c r="C219" s="15" t="n"/>
      <c r="D219" s="15" t="n"/>
      <c r="E219" s="15" t="n"/>
      <c r="F219" s="15" t="n"/>
      <c r="G219" s="15" t="n"/>
      <c r="H219" s="15" t="n"/>
      <c r="I219" s="15" t="n"/>
      <c r="J219" s="15" t="n"/>
      <c r="K219" s="15" t="n"/>
      <c r="L219" s="15" t="n"/>
      <c r="M219" s="15" t="n"/>
      <c r="N219" s="15" t="n"/>
      <c r="O219" s="15" t="n"/>
      <c r="P219" s="15" t="n"/>
      <c r="Q219" s="15" t="n"/>
      <c r="R219" s="15" t="n"/>
      <c r="S219" s="15" t="n"/>
      <c r="T219" s="15" t="n"/>
      <c r="U219" s="15" t="n"/>
      <c r="V219" s="15" t="n"/>
      <c r="W219" s="15" t="n"/>
      <c r="X219" s="15" t="n"/>
      <c r="Y219" s="15" t="n"/>
      <c r="Z219" s="15" t="n"/>
    </row>
    <row r="220" ht="15.75" customHeight="1" s="18">
      <c r="A220" s="16" t="n"/>
      <c r="B220" s="15" t="n"/>
      <c r="C220" s="15" t="n"/>
      <c r="D220" s="15" t="n"/>
      <c r="E220" s="15" t="n"/>
      <c r="F220" s="15" t="n"/>
      <c r="G220" s="15" t="n"/>
      <c r="H220" s="15" t="n"/>
      <c r="I220" s="15" t="n"/>
      <c r="J220" s="15" t="n"/>
      <c r="K220" s="15" t="n"/>
      <c r="L220" s="15" t="n"/>
      <c r="M220" s="15" t="n"/>
      <c r="N220" s="15" t="n"/>
      <c r="O220" s="15" t="n"/>
      <c r="P220" s="15" t="n"/>
      <c r="Q220" s="15" t="n"/>
      <c r="R220" s="15" t="n"/>
      <c r="S220" s="15" t="n"/>
      <c r="T220" s="15" t="n"/>
      <c r="U220" s="15" t="n"/>
      <c r="V220" s="15" t="n"/>
      <c r="W220" s="15" t="n"/>
      <c r="X220" s="15" t="n"/>
      <c r="Y220" s="15" t="n"/>
      <c r="Z220" s="15" t="n"/>
    </row>
    <row r="221" ht="15.75" customHeight="1" s="18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</row>
    <row r="222" ht="15.75" customHeight="1" s="18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</row>
    <row r="223" ht="15.75" customHeight="1" s="18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</row>
    <row r="224" ht="15.75" customHeight="1" s="18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</row>
    <row r="225" ht="15.75" customHeight="1" s="18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</row>
    <row r="226" ht="15.75" customHeight="1" s="18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</row>
    <row r="227" ht="15.75" customHeight="1" s="18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</row>
    <row r="228" ht="15.75" customHeight="1" s="1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</row>
    <row r="229" ht="15.75" customHeight="1" s="18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</row>
    <row r="230" ht="15.75" customHeight="1" s="18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</row>
    <row r="231" ht="15.75" customHeight="1" s="18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</row>
    <row r="232" ht="15.75" customHeight="1" s="18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</row>
    <row r="233" ht="15.75" customHeight="1" s="18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</row>
    <row r="234" ht="15.75" customHeight="1" s="18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</row>
    <row r="235" ht="15.75" customHeight="1" s="18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</row>
    <row r="236" ht="15.75" customHeight="1" s="18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</row>
    <row r="237" ht="15.75" customHeight="1" s="18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</row>
    <row r="238" ht="15.75" customHeight="1" s="1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</row>
    <row r="239" ht="15.75" customHeight="1" s="18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</row>
    <row r="240" ht="15.75" customHeight="1" s="18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</row>
    <row r="241" ht="15.75" customHeight="1" s="18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</row>
    <row r="242" ht="15.75" customHeight="1" s="18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</row>
    <row r="243" ht="15.75" customHeight="1" s="18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</row>
    <row r="244" ht="15.75" customHeight="1" s="18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</row>
    <row r="245" ht="15.75" customHeight="1" s="18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</row>
    <row r="246" ht="15.75" customHeight="1" s="18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</row>
    <row r="247" ht="15.75" customHeight="1" s="18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</row>
    <row r="248" ht="15.75" customHeight="1" s="1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</row>
    <row r="249" ht="15.75" customHeight="1" s="18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</row>
    <row r="250" ht="15.75" customHeight="1" s="18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</row>
    <row r="251" ht="15.75" customHeight="1" s="18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</row>
    <row r="252" ht="15.75" customHeight="1" s="18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</row>
    <row r="253" ht="15.75" customHeight="1" s="18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</row>
    <row r="254" ht="15.75" customHeight="1" s="18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</row>
    <row r="255" ht="15.75" customHeight="1" s="18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</row>
    <row r="256" ht="15.75" customHeight="1" s="18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</row>
    <row r="257" ht="15.75" customHeight="1" s="18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</row>
    <row r="258" ht="15.75" customHeight="1" s="1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</row>
    <row r="259" ht="15.75" customHeight="1" s="18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</row>
    <row r="260" ht="15.75" customHeight="1" s="18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</row>
    <row r="261" ht="15.75" customHeight="1" s="18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</row>
    <row r="262" ht="15.75" customHeight="1" s="18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</row>
    <row r="263" ht="15.75" customHeight="1" s="18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</row>
    <row r="264" ht="15.75" customHeight="1" s="18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</row>
    <row r="265" ht="15.75" customHeight="1" s="18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</row>
    <row r="266" ht="15.75" customHeight="1" s="18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</row>
    <row r="267" ht="15.75" customHeight="1" s="18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</row>
    <row r="268" ht="15.75" customHeight="1" s="1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</row>
    <row r="269" ht="15.75" customHeight="1" s="18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</row>
    <row r="270" ht="15.75" customHeight="1" s="18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</row>
    <row r="271" ht="15.75" customHeight="1" s="18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</row>
    <row r="272" ht="15.75" customHeight="1" s="18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</row>
    <row r="273" ht="15.75" customHeight="1" s="18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</row>
    <row r="274" ht="15.75" customHeight="1" s="18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</row>
    <row r="275" ht="15.75" customHeight="1" s="18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</row>
    <row r="276" ht="15.75" customHeight="1" s="18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</row>
    <row r="277" ht="15.75" customHeight="1" s="18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</row>
    <row r="278" ht="15.75" customHeight="1" s="1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</row>
    <row r="279" ht="15.75" customHeight="1" s="18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</row>
    <row r="280" ht="15.75" customHeight="1" s="18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</row>
    <row r="281" ht="15.75" customHeight="1" s="18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</row>
    <row r="282" ht="15.75" customHeight="1" s="18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</row>
    <row r="283" ht="15.75" customHeight="1" s="18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</row>
    <row r="284" ht="15.75" customHeight="1" s="18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</row>
    <row r="285" ht="15.75" customHeight="1" s="18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</row>
    <row r="286" ht="15.75" customHeight="1" s="18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</row>
    <row r="287" ht="15.75" customHeight="1" s="18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</row>
    <row r="288" ht="15.75" customHeight="1" s="1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</row>
    <row r="289" ht="15.75" customHeight="1" s="18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</row>
    <row r="290" ht="15.75" customHeight="1" s="18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</row>
    <row r="291" ht="15.75" customHeight="1" s="18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</row>
    <row r="292" ht="15.75" customHeight="1" s="18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</row>
    <row r="293" ht="15.75" customHeight="1" s="18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</row>
    <row r="294" ht="15.75" customHeight="1" s="18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</row>
    <row r="295" ht="15.75" customHeight="1" s="18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</row>
    <row r="296" ht="15.75" customHeight="1" s="18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</row>
    <row r="297" ht="15.75" customHeight="1" s="18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</row>
    <row r="298" ht="15.75" customHeight="1" s="1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</row>
    <row r="299" ht="15.75" customHeight="1" s="18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</row>
    <row r="300" ht="15.75" customHeight="1" s="18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</row>
    <row r="301" ht="15.75" customHeight="1" s="18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</row>
    <row r="302" ht="15.75" customHeight="1" s="18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</row>
    <row r="303" ht="15.75" customHeight="1" s="18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</row>
    <row r="304" ht="15.75" customHeight="1" s="18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</row>
    <row r="305" ht="15.75" customHeight="1" s="18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</row>
    <row r="306" ht="15.75" customHeight="1" s="18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</row>
    <row r="307" ht="15.75" customHeight="1" s="18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</row>
    <row r="308" ht="15.75" customHeight="1" s="1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</row>
    <row r="309" ht="15.75" customHeight="1" s="18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</row>
    <row r="310" ht="15.75" customHeight="1" s="18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</row>
    <row r="311" ht="15.75" customHeight="1" s="18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</row>
    <row r="312" ht="15.75" customHeight="1" s="18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</row>
    <row r="313" ht="15.75" customHeight="1" s="18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</row>
    <row r="314" ht="15.75" customHeight="1" s="18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</row>
    <row r="315" ht="15.75" customHeight="1" s="18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</row>
    <row r="316" ht="15.75" customHeight="1" s="18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</row>
    <row r="317" ht="15.75" customHeight="1" s="18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</row>
    <row r="318" ht="15.75" customHeight="1" s="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</row>
    <row r="319" ht="15.75" customHeight="1" s="18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</row>
    <row r="320" ht="15.75" customHeight="1" s="18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</row>
    <row r="321" ht="15.75" customHeight="1" s="18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</row>
    <row r="322" ht="15.75" customHeight="1" s="18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</row>
    <row r="323" ht="15.75" customHeight="1" s="18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</row>
    <row r="324" ht="15.75" customHeight="1" s="18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</row>
    <row r="325" ht="15.75" customHeight="1" s="18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</row>
    <row r="326" ht="15.75" customHeight="1" s="18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</row>
    <row r="327" ht="15.75" customHeight="1" s="18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</row>
    <row r="328" ht="15.75" customHeight="1" s="1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</row>
    <row r="329" ht="15.75" customHeight="1" s="18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</row>
    <row r="330" ht="15.75" customHeight="1" s="18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</row>
    <row r="331" ht="15.75" customHeight="1" s="18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</row>
    <row r="332" ht="15.75" customHeight="1" s="18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</row>
    <row r="333" ht="15.75" customHeight="1" s="18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</row>
    <row r="334" ht="15.75" customHeight="1" s="18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</row>
    <row r="335" ht="15.75" customHeight="1" s="18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</row>
    <row r="336" ht="15.75" customHeight="1" s="18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</row>
    <row r="337" ht="15.75" customHeight="1" s="18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</row>
    <row r="338" ht="15.75" customHeight="1" s="1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</row>
    <row r="339" ht="15.75" customHeight="1" s="18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</row>
    <row r="340" ht="15.75" customHeight="1" s="18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</row>
    <row r="341" ht="15.75" customHeight="1" s="18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</row>
    <row r="342" ht="15.75" customHeight="1" s="18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</row>
    <row r="343" ht="15.75" customHeight="1" s="18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</row>
    <row r="344" ht="15.75" customHeight="1" s="18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</row>
    <row r="345" ht="15.75" customHeight="1" s="18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</row>
    <row r="346" ht="15.75" customHeight="1" s="18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</row>
    <row r="347" ht="15.75" customHeight="1" s="18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</row>
    <row r="348" ht="15.75" customHeight="1" s="1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</row>
    <row r="349" ht="15.75" customHeight="1" s="18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</row>
    <row r="350" ht="15.75" customHeight="1" s="18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</row>
    <row r="351" ht="15.75" customHeight="1" s="18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</row>
    <row r="352" ht="15.75" customHeight="1" s="18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</row>
    <row r="353" ht="15.75" customHeight="1" s="18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</row>
    <row r="354" ht="15.75" customHeight="1" s="18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</row>
    <row r="355" ht="15.75" customHeight="1" s="18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</row>
    <row r="356" ht="15.75" customHeight="1" s="18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</row>
    <row r="357" ht="15.75" customHeight="1" s="18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</row>
    <row r="358" ht="15.75" customHeight="1" s="1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</row>
    <row r="359" ht="15.75" customHeight="1" s="18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</row>
    <row r="360" ht="15.75" customHeight="1" s="18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</row>
    <row r="361" ht="15.75" customHeight="1" s="18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</row>
    <row r="362" ht="15.75" customHeight="1" s="18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</row>
    <row r="363" ht="15.75" customHeight="1" s="18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</row>
    <row r="364" ht="15.75" customHeight="1" s="18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</row>
    <row r="365" ht="15.75" customHeight="1" s="18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</row>
    <row r="366" ht="15.75" customHeight="1" s="18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</row>
    <row r="367" ht="15.75" customHeight="1" s="18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</row>
    <row r="368" ht="15.75" customHeight="1" s="1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</row>
    <row r="369" ht="15.75" customHeight="1" s="18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</row>
    <row r="370" ht="15.75" customHeight="1" s="18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</row>
    <row r="371" ht="15.75" customHeight="1" s="18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</row>
    <row r="372" ht="15.75" customHeight="1" s="18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</row>
    <row r="373" ht="15.75" customHeight="1" s="18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</row>
    <row r="374" ht="15.75" customHeight="1" s="18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</row>
    <row r="375" ht="15.75" customHeight="1" s="18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</row>
    <row r="376" ht="15.75" customHeight="1" s="18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</row>
    <row r="377" ht="15.75" customHeight="1" s="18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</row>
    <row r="378" ht="15.75" customHeight="1" s="1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</row>
    <row r="379" ht="15.75" customHeight="1" s="18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</row>
    <row r="380" ht="15.75" customHeight="1" s="18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</row>
    <row r="381" ht="15.75" customHeight="1" s="18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</row>
    <row r="382" ht="15.75" customHeight="1" s="18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</row>
    <row r="383" ht="15.75" customHeight="1" s="18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</row>
    <row r="384" ht="15.75" customHeight="1" s="18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</row>
    <row r="385" ht="15.75" customHeight="1" s="18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</row>
    <row r="386" ht="15.75" customHeight="1" s="18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</row>
    <row r="387" ht="15.75" customHeight="1" s="18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</row>
    <row r="388" ht="15.75" customHeight="1" s="1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</row>
    <row r="389" ht="15.75" customHeight="1" s="18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</row>
    <row r="390" ht="15.75" customHeight="1" s="18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</row>
    <row r="391" ht="15.75" customHeight="1" s="18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</row>
    <row r="392" ht="15.75" customHeight="1" s="18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</row>
    <row r="393" ht="15.75" customHeight="1" s="18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</row>
    <row r="394" ht="15.75" customHeight="1" s="18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</row>
    <row r="395" ht="15.75" customHeight="1" s="18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</row>
    <row r="396" ht="15.75" customHeight="1" s="18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</row>
    <row r="397" ht="15.75" customHeight="1" s="18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</row>
    <row r="398" ht="15.75" customHeight="1" s="1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</row>
    <row r="399" ht="15.75" customHeight="1" s="18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</row>
    <row r="400" ht="15.75" customHeight="1" s="18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</row>
    <row r="401" ht="15.75" customHeight="1" s="18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</row>
    <row r="402" ht="15.75" customHeight="1" s="18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</row>
    <row r="403" ht="15.75" customHeight="1" s="18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</row>
    <row r="404" ht="15.75" customHeight="1" s="18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</row>
    <row r="405" ht="15.75" customHeight="1" s="18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</row>
    <row r="406" ht="15.75" customHeight="1" s="18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</row>
    <row r="407" ht="15.75" customHeight="1" s="18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</row>
    <row r="408" ht="15.75" customHeight="1" s="1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</row>
    <row r="409" ht="15.75" customHeight="1" s="18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</row>
    <row r="410" ht="15.75" customHeight="1" s="18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</row>
    <row r="411" ht="15.75" customHeight="1" s="18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</row>
    <row r="412" ht="15.75" customHeight="1" s="18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</row>
    <row r="413" ht="15.75" customHeight="1" s="18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</row>
    <row r="414" ht="15.75" customHeight="1" s="18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</row>
    <row r="415" ht="15.75" customHeight="1" s="18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</row>
    <row r="416" ht="15.75" customHeight="1" s="18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</row>
    <row r="417" ht="15.75" customHeight="1" s="18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</row>
    <row r="418" ht="15.75" customHeight="1" s="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</row>
    <row r="419" ht="15.75" customHeight="1" s="18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</row>
    <row r="420" ht="15.75" customHeight="1" s="18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</row>
    <row r="421" ht="15.75" customHeight="1" s="18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</row>
    <row r="422" ht="15.75" customHeight="1" s="18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</row>
    <row r="423" ht="15.75" customHeight="1" s="18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</row>
    <row r="424" ht="15.75" customHeight="1" s="18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</row>
    <row r="425" ht="15.75" customHeight="1" s="18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</row>
    <row r="426" ht="15.75" customHeight="1" s="18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</row>
    <row r="427" ht="15.75" customHeight="1" s="18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</row>
    <row r="428" ht="15.75" customHeight="1" s="1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</row>
    <row r="429" ht="15.75" customHeight="1" s="18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</row>
    <row r="430" ht="15.75" customHeight="1" s="18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</row>
    <row r="431" ht="15.75" customHeight="1" s="18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</row>
    <row r="432" ht="15.75" customHeight="1" s="18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</row>
    <row r="433" ht="15.75" customHeight="1" s="18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</row>
    <row r="434" ht="15.75" customHeight="1" s="18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</row>
    <row r="435" ht="15.75" customHeight="1" s="18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</row>
    <row r="436" ht="15.75" customHeight="1" s="18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</row>
    <row r="437" ht="15.75" customHeight="1" s="18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</row>
    <row r="438" ht="15.75" customHeight="1" s="1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</row>
    <row r="439" ht="15.75" customHeight="1" s="18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</row>
    <row r="440" ht="15.75" customHeight="1" s="18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</row>
    <row r="441" ht="15.75" customHeight="1" s="18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</row>
    <row r="442" ht="15.75" customHeight="1" s="18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</row>
    <row r="443" ht="15.75" customHeight="1" s="18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</row>
    <row r="444" ht="15.75" customHeight="1" s="18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</row>
    <row r="445" ht="15.75" customHeight="1" s="18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</row>
    <row r="446" ht="15.75" customHeight="1" s="18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</row>
    <row r="447" ht="15.75" customHeight="1" s="18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</row>
    <row r="448" ht="15.75" customHeight="1" s="1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</row>
    <row r="449" ht="15.75" customHeight="1" s="18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</row>
    <row r="450" ht="15.75" customHeight="1" s="18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</row>
    <row r="451" ht="15.75" customHeight="1" s="18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</row>
    <row r="452" ht="15.75" customHeight="1" s="18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</row>
    <row r="453" ht="15.75" customHeight="1" s="18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</row>
    <row r="454" ht="15.75" customHeight="1" s="18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</row>
    <row r="455" ht="15.75" customHeight="1" s="18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</row>
    <row r="456" ht="15.75" customHeight="1" s="18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</row>
    <row r="457" ht="15.75" customHeight="1" s="18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</row>
    <row r="458" ht="15.75" customHeight="1" s="1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</row>
    <row r="459" ht="15.75" customHeight="1" s="18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</row>
    <row r="460" ht="15.75" customHeight="1" s="18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</row>
    <row r="461" ht="15.75" customHeight="1" s="18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</row>
    <row r="462" ht="15.75" customHeight="1" s="18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</row>
    <row r="463" ht="15.75" customHeight="1" s="18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</row>
    <row r="464" ht="15.75" customHeight="1" s="18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</row>
    <row r="465" ht="15.75" customHeight="1" s="18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</row>
    <row r="466" ht="15.75" customHeight="1" s="18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</row>
    <row r="467" ht="15.75" customHeight="1" s="18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</row>
    <row r="468" ht="15.75" customHeight="1" s="1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</row>
    <row r="469" ht="15.75" customHeight="1" s="18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</row>
    <row r="470" ht="15.75" customHeight="1" s="18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</row>
    <row r="471" ht="15.75" customHeight="1" s="18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</row>
    <row r="472" ht="15.75" customHeight="1" s="18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</row>
    <row r="473" ht="15.75" customHeight="1" s="18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</row>
    <row r="474" ht="15.75" customHeight="1" s="18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</row>
    <row r="475" ht="15.75" customHeight="1" s="18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</row>
    <row r="476" ht="15.75" customHeight="1" s="18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</row>
    <row r="477" ht="15.75" customHeight="1" s="18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</row>
    <row r="478" ht="15.75" customHeight="1" s="1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</row>
    <row r="479" ht="15.75" customHeight="1" s="18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</row>
    <row r="480" ht="15.75" customHeight="1" s="18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</row>
    <row r="481" ht="15.75" customHeight="1" s="18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</row>
    <row r="482" ht="15.75" customHeight="1" s="18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</row>
    <row r="483" ht="15.75" customHeight="1" s="18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</row>
    <row r="484" ht="15.75" customHeight="1" s="18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</row>
    <row r="485" ht="15.75" customHeight="1" s="18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</row>
    <row r="486" ht="15.75" customHeight="1" s="18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</row>
    <row r="487" ht="15.75" customHeight="1" s="18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</row>
    <row r="488" ht="15.75" customHeight="1" s="1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</row>
    <row r="489" ht="15.75" customHeight="1" s="18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</row>
    <row r="490" ht="15.75" customHeight="1" s="18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</row>
    <row r="491" ht="15.75" customHeight="1" s="18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</row>
    <row r="492" ht="15.75" customHeight="1" s="18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</row>
    <row r="493" ht="15.75" customHeight="1" s="18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</row>
    <row r="494" ht="15.75" customHeight="1" s="18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</row>
    <row r="495" ht="15.75" customHeight="1" s="18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</row>
    <row r="496" ht="15.75" customHeight="1" s="18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</row>
    <row r="497" ht="15.75" customHeight="1" s="18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</row>
    <row r="498" ht="15.75" customHeight="1" s="1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</row>
    <row r="499" ht="15.75" customHeight="1" s="18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</row>
    <row r="500" ht="15.75" customHeight="1" s="18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</row>
    <row r="501" ht="15.75" customHeight="1" s="18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</row>
    <row r="502" ht="15.75" customHeight="1" s="18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</row>
    <row r="503" ht="15.75" customHeight="1" s="18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</row>
    <row r="504" ht="15.75" customHeight="1" s="18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</row>
    <row r="505" ht="15.75" customHeight="1" s="18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</row>
    <row r="506" ht="15.75" customHeight="1" s="18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</row>
    <row r="507" ht="15.75" customHeight="1" s="18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</row>
    <row r="508" ht="15.75" customHeight="1" s="1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</row>
    <row r="509" ht="15.75" customHeight="1" s="18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</row>
    <row r="510" ht="15.75" customHeight="1" s="18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</row>
    <row r="511" ht="15.75" customHeight="1" s="18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</row>
    <row r="512" ht="15.75" customHeight="1" s="18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</row>
    <row r="513" ht="15.75" customHeight="1" s="18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</row>
    <row r="514" ht="15.75" customHeight="1" s="18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</row>
    <row r="515" ht="15.75" customHeight="1" s="18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</row>
    <row r="516" ht="15.75" customHeight="1" s="18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</row>
    <row r="517" ht="15.75" customHeight="1" s="18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</row>
    <row r="518" ht="15.75" customHeight="1" s="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</row>
    <row r="519" ht="15.75" customHeight="1" s="18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</row>
    <row r="520" ht="15.75" customHeight="1" s="18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</row>
    <row r="521" ht="15.75" customHeight="1" s="18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</row>
    <row r="522" ht="15.75" customHeight="1" s="18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</row>
    <row r="523" ht="15.75" customHeight="1" s="18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</row>
    <row r="524" ht="15.75" customHeight="1" s="18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</row>
    <row r="525" ht="15.75" customHeight="1" s="18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</row>
    <row r="526" ht="15.75" customHeight="1" s="18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</row>
    <row r="527" ht="15.75" customHeight="1" s="18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</row>
    <row r="528" ht="15.75" customHeight="1" s="1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</row>
    <row r="529" ht="15.75" customHeight="1" s="18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</row>
    <row r="530" ht="15.75" customHeight="1" s="18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</row>
    <row r="531" ht="15.75" customHeight="1" s="18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</row>
    <row r="532" ht="15.75" customHeight="1" s="18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</row>
    <row r="533" ht="15.75" customHeight="1" s="18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</row>
    <row r="534" ht="15.75" customHeight="1" s="18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</row>
    <row r="535" ht="15.75" customHeight="1" s="18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</row>
    <row r="536" ht="15.75" customHeight="1" s="18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</row>
    <row r="537" ht="15.75" customHeight="1" s="18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</row>
    <row r="538" ht="15.75" customHeight="1" s="1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</row>
    <row r="539" ht="15.75" customHeight="1" s="18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</row>
    <row r="540" ht="15.75" customHeight="1" s="18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</row>
    <row r="541" ht="15.75" customHeight="1" s="18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</row>
    <row r="542" ht="15.75" customHeight="1" s="18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</row>
    <row r="543" ht="15.75" customHeight="1" s="18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</row>
    <row r="544" ht="15.75" customHeight="1" s="18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</row>
    <row r="545" ht="15.75" customHeight="1" s="18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</row>
    <row r="546" ht="15.75" customHeight="1" s="18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</row>
    <row r="547" ht="15.75" customHeight="1" s="18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</row>
    <row r="548" ht="15.75" customHeight="1" s="1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</row>
    <row r="549" ht="15.75" customHeight="1" s="18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</row>
    <row r="550" ht="15.75" customHeight="1" s="18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</row>
    <row r="551" ht="15.75" customHeight="1" s="18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</row>
    <row r="552" ht="15.75" customHeight="1" s="18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</row>
    <row r="553" ht="15.75" customHeight="1" s="18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</row>
    <row r="554" ht="15.75" customHeight="1" s="18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</row>
    <row r="555" ht="15.75" customHeight="1" s="18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</row>
    <row r="556" ht="15.75" customHeight="1" s="18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</row>
    <row r="557" ht="15.75" customHeight="1" s="18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</row>
    <row r="558" ht="15.75" customHeight="1" s="1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</row>
    <row r="559" ht="15.75" customHeight="1" s="18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</row>
    <row r="560" ht="15.75" customHeight="1" s="18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</row>
    <row r="561" ht="15.75" customHeight="1" s="18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</row>
    <row r="562" ht="15.75" customHeight="1" s="18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</row>
    <row r="563" ht="15.75" customHeight="1" s="18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</row>
    <row r="564" ht="15.75" customHeight="1" s="18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</row>
    <row r="565" ht="15.75" customHeight="1" s="18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</row>
    <row r="566" ht="15.75" customHeight="1" s="18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</row>
    <row r="567" ht="15.75" customHeight="1" s="18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</row>
    <row r="568" ht="15.75" customHeight="1" s="1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</row>
    <row r="569" ht="15.75" customHeight="1" s="18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</row>
    <row r="570" ht="15.75" customHeight="1" s="18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</row>
    <row r="571" ht="15.75" customHeight="1" s="18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</row>
    <row r="572" ht="15.75" customHeight="1" s="18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</row>
    <row r="573" ht="15.75" customHeight="1" s="18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</row>
    <row r="574" ht="15.75" customHeight="1" s="18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</row>
    <row r="575" ht="15.75" customHeight="1" s="18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</row>
    <row r="576" ht="15.75" customHeight="1" s="18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</row>
    <row r="577" ht="15.75" customHeight="1" s="18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</row>
    <row r="578" ht="15.75" customHeight="1" s="1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</row>
    <row r="579" ht="15.75" customHeight="1" s="18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</row>
    <row r="580" ht="15.75" customHeight="1" s="18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</row>
    <row r="581" ht="15.75" customHeight="1" s="18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</row>
    <row r="582" ht="15.75" customHeight="1" s="18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</row>
    <row r="583" ht="15.75" customHeight="1" s="18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</row>
    <row r="584" ht="15.75" customHeight="1" s="18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</row>
    <row r="585" ht="15.75" customHeight="1" s="18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</row>
    <row r="586" ht="15.75" customHeight="1" s="18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</row>
    <row r="587" ht="15.75" customHeight="1" s="18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</row>
    <row r="588" ht="15.75" customHeight="1" s="1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</row>
    <row r="589" ht="15.75" customHeight="1" s="18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</row>
    <row r="590" ht="15.75" customHeight="1" s="18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</row>
    <row r="591" ht="15.75" customHeight="1" s="18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</row>
    <row r="592" ht="15.75" customHeight="1" s="18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</row>
    <row r="593" ht="15.75" customHeight="1" s="18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</row>
    <row r="594" ht="15.75" customHeight="1" s="18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</row>
    <row r="595" ht="15.75" customHeight="1" s="18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</row>
    <row r="596" ht="15.75" customHeight="1" s="18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</row>
    <row r="597" ht="15.75" customHeight="1" s="18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</row>
    <row r="598" ht="15.75" customHeight="1" s="1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</row>
    <row r="599" ht="15.75" customHeight="1" s="18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</row>
    <row r="600" ht="15.75" customHeight="1" s="18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</row>
    <row r="601" ht="15.75" customHeight="1" s="18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</row>
    <row r="602" ht="15.75" customHeight="1" s="18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</row>
    <row r="603" ht="15.75" customHeight="1" s="18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</row>
    <row r="604" ht="15.75" customHeight="1" s="18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</row>
    <row r="605" ht="15.75" customHeight="1" s="18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</row>
    <row r="606" ht="15.75" customHeight="1" s="18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</row>
    <row r="607" ht="15.75" customHeight="1" s="18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</row>
    <row r="608" ht="15.75" customHeight="1" s="1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</row>
    <row r="609" ht="15.75" customHeight="1" s="18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</row>
    <row r="610" ht="15.75" customHeight="1" s="18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</row>
    <row r="611" ht="15.75" customHeight="1" s="18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</row>
    <row r="612" ht="15.75" customHeight="1" s="18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</row>
    <row r="613" ht="15.75" customHeight="1" s="18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</row>
    <row r="614" ht="15.75" customHeight="1" s="18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</row>
    <row r="615" ht="15.75" customHeight="1" s="18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</row>
    <row r="616" ht="15.75" customHeight="1" s="18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</row>
    <row r="617" ht="15.75" customHeight="1" s="18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</row>
    <row r="618" ht="15.75" customHeight="1" s="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</row>
    <row r="619" ht="15.75" customHeight="1" s="18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</row>
    <row r="620" ht="15.75" customHeight="1" s="18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</row>
    <row r="621" ht="15.75" customHeight="1" s="18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</row>
    <row r="622" ht="15.75" customHeight="1" s="18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</row>
    <row r="623" ht="15.75" customHeight="1" s="18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</row>
    <row r="624" ht="15.75" customHeight="1" s="18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</row>
    <row r="625" ht="15.75" customHeight="1" s="18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</row>
    <row r="626" ht="15.75" customHeight="1" s="18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</row>
    <row r="627" ht="15.75" customHeight="1" s="18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</row>
    <row r="628" ht="15.75" customHeight="1" s="1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</row>
    <row r="629" ht="15.75" customHeight="1" s="18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</row>
    <row r="630" ht="15.75" customHeight="1" s="18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</row>
    <row r="631" ht="15.75" customHeight="1" s="18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</row>
    <row r="632" ht="15.75" customHeight="1" s="18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</row>
    <row r="633" ht="15.75" customHeight="1" s="18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</row>
    <row r="634" ht="15.75" customHeight="1" s="18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</row>
    <row r="635" ht="15.75" customHeight="1" s="18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</row>
    <row r="636" ht="15.75" customHeight="1" s="18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</row>
    <row r="637" ht="15.75" customHeight="1" s="18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</row>
    <row r="638" ht="15.75" customHeight="1" s="1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</row>
    <row r="639" ht="15.75" customHeight="1" s="18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</row>
    <row r="640" ht="15.75" customHeight="1" s="18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</row>
    <row r="641" ht="15.75" customHeight="1" s="18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</row>
    <row r="642" ht="15.75" customHeight="1" s="18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</row>
    <row r="643" ht="15.75" customHeight="1" s="18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</row>
    <row r="644" ht="15.75" customHeight="1" s="18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</row>
    <row r="645" ht="15.75" customHeight="1" s="18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</row>
    <row r="646" ht="15.75" customHeight="1" s="18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</row>
    <row r="647" ht="15.75" customHeight="1" s="18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</row>
    <row r="648" ht="15.75" customHeight="1" s="1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</row>
    <row r="649" ht="15.75" customHeight="1" s="18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</row>
    <row r="650" ht="15.75" customHeight="1" s="18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</row>
    <row r="651" ht="15.75" customHeight="1" s="18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</row>
    <row r="652" ht="15.75" customHeight="1" s="18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</row>
    <row r="653" ht="15.75" customHeight="1" s="18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</row>
    <row r="654" ht="15.75" customHeight="1" s="18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</row>
    <row r="655" ht="15.75" customHeight="1" s="18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</row>
    <row r="656" ht="15.75" customHeight="1" s="18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</row>
    <row r="657" ht="15.75" customHeight="1" s="18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</row>
    <row r="658" ht="15.75" customHeight="1" s="1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</row>
    <row r="659" ht="15.75" customHeight="1" s="18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</row>
    <row r="660" ht="15.75" customHeight="1" s="18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</row>
    <row r="661" ht="15.75" customHeight="1" s="18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</row>
    <row r="662" ht="15.75" customHeight="1" s="18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</row>
    <row r="663" ht="15.75" customHeight="1" s="18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</row>
    <row r="664" ht="15.75" customHeight="1" s="18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</row>
    <row r="665" ht="15.75" customHeight="1" s="18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</row>
    <row r="666" ht="15.75" customHeight="1" s="18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</row>
    <row r="667" ht="15.75" customHeight="1" s="18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</row>
    <row r="668" ht="15.75" customHeight="1" s="1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</row>
    <row r="669" ht="15.75" customHeight="1" s="18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</row>
    <row r="670" ht="15.75" customHeight="1" s="18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</row>
    <row r="671" ht="15.75" customHeight="1" s="18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</row>
    <row r="672" ht="15.75" customHeight="1" s="18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</row>
    <row r="673" ht="15.75" customHeight="1" s="18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</row>
    <row r="674" ht="15.75" customHeight="1" s="18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</row>
    <row r="675" ht="15.75" customHeight="1" s="18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</row>
    <row r="676" ht="15.75" customHeight="1" s="18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</row>
    <row r="677" ht="15.75" customHeight="1" s="18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</row>
    <row r="678" ht="15.75" customHeight="1" s="1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</row>
    <row r="679" ht="15.75" customHeight="1" s="18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</row>
    <row r="680" ht="15.75" customHeight="1" s="18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</row>
    <row r="681" ht="15.75" customHeight="1" s="18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</row>
    <row r="682" ht="15.75" customHeight="1" s="18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</row>
    <row r="683" ht="15.75" customHeight="1" s="18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</row>
    <row r="684" ht="15.75" customHeight="1" s="18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</row>
    <row r="685" ht="15.75" customHeight="1" s="18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</row>
    <row r="686" ht="15.75" customHeight="1" s="18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</row>
    <row r="687" ht="15.75" customHeight="1" s="18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</row>
    <row r="688" ht="15.75" customHeight="1" s="1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</row>
    <row r="689" ht="15.75" customHeight="1" s="18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</row>
    <row r="690" ht="15.75" customHeight="1" s="18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</row>
    <row r="691" ht="15.75" customHeight="1" s="18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</row>
    <row r="692" ht="15.75" customHeight="1" s="18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</row>
    <row r="693" ht="15.75" customHeight="1" s="18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</row>
    <row r="694" ht="15.75" customHeight="1" s="18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</row>
    <row r="695" ht="15.75" customHeight="1" s="18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</row>
    <row r="696" ht="15.75" customHeight="1" s="18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</row>
    <row r="697" ht="15.75" customHeight="1" s="18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</row>
    <row r="698" ht="15.75" customHeight="1" s="1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</row>
    <row r="699" ht="15.75" customHeight="1" s="18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</row>
    <row r="700" ht="15.75" customHeight="1" s="18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</row>
    <row r="701" ht="15.75" customHeight="1" s="18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</row>
    <row r="702" ht="15.75" customHeight="1" s="18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</row>
    <row r="703" ht="15.75" customHeight="1" s="18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</row>
    <row r="704" ht="15.75" customHeight="1" s="18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</row>
    <row r="705" ht="15.75" customHeight="1" s="18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</row>
    <row r="706" ht="15.75" customHeight="1" s="18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</row>
    <row r="707" ht="15.75" customHeight="1" s="18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</row>
    <row r="708" ht="15.75" customHeight="1" s="1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</row>
    <row r="709" ht="15.75" customHeight="1" s="18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</row>
    <row r="710" ht="15.75" customHeight="1" s="18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</row>
    <row r="711" ht="15.75" customHeight="1" s="18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</row>
    <row r="712" ht="15.75" customHeight="1" s="18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</row>
    <row r="713" ht="15.75" customHeight="1" s="18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</row>
    <row r="714" ht="15.75" customHeight="1" s="18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</row>
    <row r="715" ht="15.75" customHeight="1" s="18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</row>
    <row r="716" ht="15.75" customHeight="1" s="18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</row>
    <row r="717" ht="15.75" customHeight="1" s="18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</row>
    <row r="718" ht="15.75" customHeight="1" s="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</row>
    <row r="719" ht="15.75" customHeight="1" s="18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</row>
    <row r="720" ht="15.75" customHeight="1" s="18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</row>
    <row r="721" ht="15.75" customHeight="1" s="18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</row>
    <row r="722" ht="15.75" customHeight="1" s="18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</row>
    <row r="723" ht="15.75" customHeight="1" s="18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</row>
    <row r="724" ht="15.75" customHeight="1" s="18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</row>
    <row r="725" ht="15.75" customHeight="1" s="18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</row>
    <row r="726" ht="15.75" customHeight="1" s="18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</row>
    <row r="727" ht="15.75" customHeight="1" s="18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</row>
    <row r="728" ht="15.75" customHeight="1" s="1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</row>
    <row r="729" ht="15.75" customHeight="1" s="18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</row>
    <row r="730" ht="15.75" customHeight="1" s="18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</row>
    <row r="731" ht="15.75" customHeight="1" s="18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</row>
    <row r="732" ht="15.75" customHeight="1" s="18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</row>
    <row r="733" ht="15.75" customHeight="1" s="18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</row>
    <row r="734" ht="15.75" customHeight="1" s="18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</row>
    <row r="735" ht="15.75" customHeight="1" s="18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</row>
    <row r="736" ht="15.75" customHeight="1" s="18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</row>
    <row r="737" ht="15.75" customHeight="1" s="18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</row>
    <row r="738" ht="15.75" customHeight="1" s="1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</row>
    <row r="739" ht="15.75" customHeight="1" s="18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</row>
    <row r="740" ht="15.75" customHeight="1" s="18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</row>
    <row r="741" ht="15.75" customHeight="1" s="18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</row>
    <row r="742" ht="15.75" customHeight="1" s="18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</row>
    <row r="743" ht="15.75" customHeight="1" s="18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</row>
    <row r="744" ht="15.75" customHeight="1" s="18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</row>
    <row r="745" ht="15.75" customHeight="1" s="18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</row>
    <row r="746" ht="15.75" customHeight="1" s="18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</row>
    <row r="747" ht="15.75" customHeight="1" s="18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</row>
    <row r="748" ht="15.75" customHeight="1" s="1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</row>
    <row r="749" ht="15.75" customHeight="1" s="18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</row>
    <row r="750" ht="15.75" customHeight="1" s="18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</row>
    <row r="751" ht="15.75" customHeight="1" s="18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</row>
    <row r="752" ht="15.75" customHeight="1" s="18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</row>
    <row r="753" ht="15.75" customHeight="1" s="18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</row>
    <row r="754" ht="15.75" customHeight="1" s="18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</row>
    <row r="755" ht="15.75" customHeight="1" s="18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</row>
    <row r="756" ht="15.75" customHeight="1" s="18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</row>
    <row r="757" ht="15.75" customHeight="1" s="18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</row>
    <row r="758" ht="15.75" customHeight="1" s="1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</row>
    <row r="759" ht="15.75" customHeight="1" s="18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</row>
    <row r="760" ht="15.75" customHeight="1" s="18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</row>
    <row r="761" ht="15.75" customHeight="1" s="18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</row>
    <row r="762" ht="15.75" customHeight="1" s="18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</row>
    <row r="763" ht="15.75" customHeight="1" s="18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</row>
    <row r="764" ht="15.75" customHeight="1" s="18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</row>
    <row r="765" ht="15.75" customHeight="1" s="18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</row>
    <row r="766" ht="15.75" customHeight="1" s="18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</row>
    <row r="767" ht="15.75" customHeight="1" s="18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</row>
    <row r="768" ht="15.75" customHeight="1" s="1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</row>
    <row r="769" ht="15.75" customHeight="1" s="18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</row>
    <row r="770" ht="15.75" customHeight="1" s="18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</row>
    <row r="771" ht="15.75" customHeight="1" s="18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</row>
    <row r="772" ht="15.75" customHeight="1" s="18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</row>
    <row r="773" ht="15.75" customHeight="1" s="18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</row>
    <row r="774" ht="15.75" customHeight="1" s="18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</row>
    <row r="775" ht="15.75" customHeight="1" s="18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</row>
    <row r="776" ht="15.75" customHeight="1" s="18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</row>
    <row r="777" ht="15.75" customHeight="1" s="18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</row>
    <row r="778" ht="15.75" customHeight="1" s="1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</row>
    <row r="779" ht="15.75" customHeight="1" s="18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</row>
    <row r="780" ht="15.75" customHeight="1" s="18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</row>
    <row r="781" ht="15.75" customHeight="1" s="18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</row>
    <row r="782" ht="15.75" customHeight="1" s="18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</row>
    <row r="783" ht="15.75" customHeight="1" s="18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</row>
    <row r="784" ht="15.75" customHeight="1" s="18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</row>
    <row r="785" ht="15.75" customHeight="1" s="18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</row>
    <row r="786" ht="15.75" customHeight="1" s="18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</row>
    <row r="787" ht="15.75" customHeight="1" s="18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</row>
    <row r="788" ht="15.75" customHeight="1" s="1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</row>
    <row r="789" ht="15.75" customHeight="1" s="18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</row>
    <row r="790" ht="15.75" customHeight="1" s="18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</row>
    <row r="791" ht="15.75" customHeight="1" s="18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</row>
    <row r="792" ht="15.75" customHeight="1" s="18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</row>
    <row r="793" ht="15.75" customHeight="1" s="18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</row>
    <row r="794" ht="15.75" customHeight="1" s="18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</row>
    <row r="795" ht="15.75" customHeight="1" s="18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</row>
    <row r="796" ht="15.75" customHeight="1" s="18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</row>
    <row r="797" ht="15.75" customHeight="1" s="18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</row>
    <row r="798" ht="15.75" customHeight="1" s="1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</row>
    <row r="799" ht="15.75" customHeight="1" s="18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</row>
    <row r="800" ht="15.75" customHeight="1" s="18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</row>
    <row r="801" ht="15.75" customHeight="1" s="18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</row>
    <row r="802" ht="15.75" customHeight="1" s="18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</row>
    <row r="803" ht="15.75" customHeight="1" s="18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</row>
    <row r="804" ht="15.75" customHeight="1" s="18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</row>
    <row r="805" ht="15.75" customHeight="1" s="18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</row>
    <row r="806" ht="15.75" customHeight="1" s="18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</row>
    <row r="807" ht="15.75" customHeight="1" s="18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</row>
    <row r="808" ht="15.75" customHeight="1" s="1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</row>
    <row r="809" ht="15.75" customHeight="1" s="18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</row>
    <row r="810" ht="15.75" customHeight="1" s="18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</row>
    <row r="811" ht="15.75" customHeight="1" s="18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</row>
    <row r="812" ht="15.75" customHeight="1" s="18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</row>
    <row r="813" ht="15.75" customHeight="1" s="18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</row>
    <row r="814" ht="15.75" customHeight="1" s="18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</row>
    <row r="815" ht="15.75" customHeight="1" s="18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</row>
    <row r="816" ht="15.75" customHeight="1" s="18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</row>
    <row r="817" ht="15.75" customHeight="1" s="18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</row>
    <row r="818" ht="15.75" customHeight="1" s="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</row>
    <row r="819" ht="15.75" customHeight="1" s="18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</row>
    <row r="820" ht="15.75" customHeight="1" s="18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</row>
    <row r="821" ht="15.75" customHeight="1" s="18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</row>
    <row r="822" ht="15.75" customHeight="1" s="18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</row>
    <row r="823" ht="15.75" customHeight="1" s="18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</row>
    <row r="824" ht="15.75" customHeight="1" s="18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</row>
    <row r="825" ht="15.75" customHeight="1" s="18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</row>
    <row r="826" ht="15.75" customHeight="1" s="18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</row>
    <row r="827" ht="15.75" customHeight="1" s="18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</row>
    <row r="828" ht="15.75" customHeight="1" s="1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</row>
    <row r="829" ht="15.75" customHeight="1" s="18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</row>
    <row r="830" ht="15.75" customHeight="1" s="18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</row>
    <row r="831" ht="15.75" customHeight="1" s="18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</row>
    <row r="832" ht="15.75" customHeight="1" s="18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</row>
    <row r="833" ht="15.75" customHeight="1" s="18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</row>
    <row r="834" ht="15.75" customHeight="1" s="18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</row>
    <row r="835" ht="15.75" customHeight="1" s="18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</row>
    <row r="836" ht="15.75" customHeight="1" s="18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</row>
    <row r="837" ht="15.75" customHeight="1" s="18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</row>
    <row r="838" ht="15.75" customHeight="1" s="1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</row>
    <row r="839" ht="15.75" customHeight="1" s="18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</row>
    <row r="840" ht="15.75" customHeight="1" s="18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</row>
    <row r="841" ht="15.75" customHeight="1" s="18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</row>
    <row r="842" ht="15.75" customHeight="1" s="18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</row>
    <row r="843" ht="15.75" customHeight="1" s="18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</row>
    <row r="844" ht="15.75" customHeight="1" s="18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</row>
    <row r="845" ht="15.75" customHeight="1" s="18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</row>
    <row r="846" ht="15.75" customHeight="1" s="18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</row>
    <row r="847" ht="15.75" customHeight="1" s="18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</row>
    <row r="848" ht="15.75" customHeight="1" s="1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</row>
    <row r="849" ht="15.75" customHeight="1" s="18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</row>
    <row r="850" ht="15.75" customHeight="1" s="18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</row>
    <row r="851" ht="15.75" customHeight="1" s="18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</row>
    <row r="852" ht="15.75" customHeight="1" s="18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</row>
    <row r="853" ht="15.75" customHeight="1" s="18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</row>
    <row r="854" ht="15.75" customHeight="1" s="18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</row>
    <row r="855" ht="15.75" customHeight="1" s="18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</row>
    <row r="856" ht="15.75" customHeight="1" s="18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</row>
    <row r="857" ht="15.75" customHeight="1" s="18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</row>
    <row r="858" ht="15.75" customHeight="1" s="1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</row>
    <row r="859" ht="15.75" customHeight="1" s="18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</row>
    <row r="860" ht="15.75" customHeight="1" s="18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</row>
    <row r="861" ht="15.75" customHeight="1" s="18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</row>
    <row r="862" ht="15.75" customHeight="1" s="18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</row>
    <row r="863" ht="15.75" customHeight="1" s="18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</row>
    <row r="864" ht="15.75" customHeight="1" s="18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</row>
    <row r="865" ht="15.75" customHeight="1" s="18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</row>
    <row r="866" ht="15.75" customHeight="1" s="18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</row>
    <row r="867" ht="15.75" customHeight="1" s="18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</row>
    <row r="868" ht="15.75" customHeight="1" s="1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</row>
    <row r="869" ht="15.75" customHeight="1" s="18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</row>
    <row r="870" ht="15.75" customHeight="1" s="18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</row>
    <row r="871" ht="15.75" customHeight="1" s="18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</row>
    <row r="872" ht="15.75" customHeight="1" s="18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</row>
    <row r="873" ht="15.75" customHeight="1" s="18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</row>
    <row r="874" ht="15.75" customHeight="1" s="18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</row>
    <row r="875" ht="15.75" customHeight="1" s="18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</row>
    <row r="876" ht="15.75" customHeight="1" s="18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</row>
    <row r="877" ht="15.75" customHeight="1" s="18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</row>
    <row r="878" ht="15.75" customHeight="1" s="1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</row>
    <row r="879" ht="15.75" customHeight="1" s="18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</row>
    <row r="880" ht="15.75" customHeight="1" s="18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</row>
    <row r="881" ht="15.75" customHeight="1" s="18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</row>
    <row r="882" ht="15.75" customHeight="1" s="18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</row>
    <row r="883" ht="15.75" customHeight="1" s="18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</row>
    <row r="884" ht="15.75" customHeight="1" s="18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</row>
    <row r="885" ht="15.75" customHeight="1" s="18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</row>
    <row r="886" ht="15.75" customHeight="1" s="18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</row>
    <row r="887" ht="15.75" customHeight="1" s="18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</row>
    <row r="888" ht="15.75" customHeight="1" s="1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</row>
    <row r="889" ht="15.75" customHeight="1" s="18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</row>
    <row r="890" ht="15.75" customHeight="1" s="18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</row>
    <row r="891" ht="15.75" customHeight="1" s="18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</row>
    <row r="892" ht="15.75" customHeight="1" s="18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</row>
    <row r="893" ht="15.75" customHeight="1" s="18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</row>
    <row r="894" ht="15.75" customHeight="1" s="18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</row>
    <row r="895" ht="15.75" customHeight="1" s="18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</row>
    <row r="896" ht="15.75" customHeight="1" s="18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</row>
    <row r="897" ht="15.75" customHeight="1" s="18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</row>
    <row r="898" ht="15.75" customHeight="1" s="1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</row>
    <row r="899" ht="15.75" customHeight="1" s="18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</row>
    <row r="900" ht="15.75" customHeight="1" s="18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</row>
    <row r="901" ht="15.75" customHeight="1" s="18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</row>
    <row r="902" ht="15.75" customHeight="1" s="18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</row>
    <row r="903" ht="15.75" customHeight="1" s="18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</row>
    <row r="904" ht="15.75" customHeight="1" s="18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</row>
    <row r="905" ht="15.75" customHeight="1" s="18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</row>
    <row r="906" ht="15.75" customHeight="1" s="18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</row>
    <row r="907" ht="15.75" customHeight="1" s="18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</row>
    <row r="908" ht="15.75" customHeight="1" s="1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</row>
    <row r="909" ht="15.75" customHeight="1" s="18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</row>
    <row r="910" ht="15.75" customHeight="1" s="18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</row>
    <row r="911" ht="15.75" customHeight="1" s="18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</row>
    <row r="912" ht="15.75" customHeight="1" s="18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</row>
    <row r="913" ht="15.75" customHeight="1" s="18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</row>
    <row r="914" ht="15.75" customHeight="1" s="18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</row>
    <row r="915" ht="15.75" customHeight="1" s="18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</row>
    <row r="916" ht="15.75" customHeight="1" s="18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</row>
    <row r="917" ht="15.75" customHeight="1" s="18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</row>
    <row r="918" ht="15.75" customHeight="1" s="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</row>
    <row r="919" ht="15.75" customHeight="1" s="18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</row>
    <row r="920" ht="15.75" customHeight="1" s="18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</row>
    <row r="921" ht="15.75" customHeight="1" s="18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</row>
    <row r="922" ht="15.75" customHeight="1" s="18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</row>
    <row r="923" ht="15.75" customHeight="1" s="18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</row>
    <row r="924" ht="15.75" customHeight="1" s="18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</row>
    <row r="925" ht="15.75" customHeight="1" s="18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</row>
    <row r="926" ht="15.75" customHeight="1" s="18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</row>
    <row r="927" ht="15.75" customHeight="1" s="18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</row>
    <row r="928" ht="15.75" customHeight="1" s="1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</row>
    <row r="929" ht="15.75" customHeight="1" s="18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</row>
    <row r="930" ht="15.75" customHeight="1" s="18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</row>
    <row r="931" ht="15.75" customHeight="1" s="18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</row>
    <row r="932" ht="15.75" customHeight="1" s="18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</row>
    <row r="933" ht="15.75" customHeight="1" s="18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</row>
    <row r="934" ht="15.75" customHeight="1" s="18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</row>
    <row r="935" ht="15.75" customHeight="1" s="18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</row>
    <row r="936" ht="15.75" customHeight="1" s="18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</row>
    <row r="937" ht="15.75" customHeight="1" s="18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</row>
    <row r="938" ht="15.75" customHeight="1" s="1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</row>
    <row r="939" ht="15.75" customHeight="1" s="18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</row>
    <row r="940" ht="15.75" customHeight="1" s="18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</row>
    <row r="941" ht="15.75" customHeight="1" s="18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</row>
    <row r="942" ht="15.75" customHeight="1" s="18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</row>
    <row r="943" ht="15.75" customHeight="1" s="18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</row>
    <row r="944" ht="15.75" customHeight="1" s="18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</row>
    <row r="945" ht="15.75" customHeight="1" s="18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</row>
    <row r="946" ht="15.75" customHeight="1" s="18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</row>
    <row r="947" ht="15.75" customHeight="1" s="18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</row>
    <row r="948" ht="15.75" customHeight="1" s="1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</row>
    <row r="949" ht="15.75" customHeight="1" s="18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</row>
    <row r="950" ht="15.75" customHeight="1" s="18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</row>
    <row r="951" ht="15.75" customHeight="1" s="18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</row>
    <row r="952" ht="15.75" customHeight="1" s="18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</row>
    <row r="953" ht="15.75" customHeight="1" s="18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</row>
    <row r="954" ht="15.75" customHeight="1" s="18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</row>
    <row r="955" ht="15.75" customHeight="1" s="18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</row>
    <row r="956" ht="15.75" customHeight="1" s="18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</row>
    <row r="957" ht="15.75" customHeight="1" s="18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</row>
    <row r="958" ht="15.75" customHeight="1" s="1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</row>
    <row r="959" ht="15.75" customHeight="1" s="18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</row>
    <row r="960" ht="15.75" customHeight="1" s="18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</row>
    <row r="961" ht="15.75" customHeight="1" s="18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</row>
    <row r="962" ht="15.75" customHeight="1" s="18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</row>
    <row r="963" ht="15.75" customHeight="1" s="18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</row>
    <row r="964" ht="15.75" customHeight="1" s="18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</row>
    <row r="965" ht="15.75" customHeight="1" s="18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</row>
    <row r="966" ht="15.75" customHeight="1" s="18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</row>
    <row r="967" ht="15.75" customHeight="1" s="18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</row>
    <row r="968" ht="15.75" customHeight="1" s="1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</row>
    <row r="969" ht="15.75" customHeight="1" s="18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</row>
    <row r="970" ht="15.75" customHeight="1" s="18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</row>
    <row r="971" ht="15.75" customHeight="1" s="18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</row>
    <row r="972" ht="15.75" customHeight="1" s="18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</row>
    <row r="973" ht="15.75" customHeight="1" s="18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</row>
    <row r="974" ht="15.75" customHeight="1" s="18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</row>
    <row r="975" ht="15.75" customHeight="1" s="18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</row>
    <row r="976" ht="15.75" customHeight="1" s="18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</row>
    <row r="977" ht="15.75" customHeight="1" s="18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</row>
    <row r="978" ht="15.75" customHeight="1" s="1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</row>
    <row r="979" ht="15.75" customHeight="1" s="18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</row>
    <row r="980" ht="15.75" customHeight="1" s="18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</row>
    <row r="981" ht="15.75" customHeight="1" s="18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</row>
    <row r="982" ht="15.75" customHeight="1" s="18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</row>
    <row r="983" ht="15.75" customHeight="1" s="18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</row>
    <row r="984" ht="15.75" customHeight="1" s="18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</row>
    <row r="985" ht="15.75" customHeight="1" s="18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</row>
    <row r="986" ht="15.75" customHeight="1" s="18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</row>
    <row r="987" ht="15.75" customHeight="1" s="18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</row>
    <row r="988" ht="15.75" customHeight="1" s="1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</row>
    <row r="989" ht="15.75" customHeight="1" s="18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</row>
    <row r="990" ht="15.75" customHeight="1" s="18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</row>
    <row r="991" ht="15.75" customHeight="1" s="18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</row>
    <row r="992" ht="15.75" customHeight="1" s="18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</row>
    <row r="993" ht="15.75" customHeight="1" s="18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</row>
    <row r="994" ht="15.75" customHeight="1" s="18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</row>
    <row r="995" ht="15.75" customHeight="1" s="18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</row>
    <row r="996" ht="15.75" customHeight="1" s="18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</row>
    <row r="997" ht="15.75" customHeight="1" s="18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</row>
    <row r="998" ht="15.75" customHeight="1" s="1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</row>
    <row r="999" ht="15.75" customHeight="1" s="18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</row>
    <row r="1000" ht="15.75" customHeight="1" s="18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</row>
  </sheetData>
  <autoFilter ref="A1:H100"/>
  <pageMargins left="0.7" right="0.7" top="0.75" bottom="0.7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2026-01-29T08:46:37Z</dcterms:created>
  <dcterms:modified xsi:type="dcterms:W3CDTF">2026-01-31T02:12:39Z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0x0101007BC1C2D7F0F8F94F9A3368160BFD365C</vt:lpwstr>
  </property>
  <property name="MediaServiceImageTags" fmtid="{D5CDD505-2E9C-101B-9397-08002B2CF9AE}" pid="3">
    <vt:lpwstr/>
  </property>
</Properties>
</file>
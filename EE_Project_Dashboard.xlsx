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Projects" sheetId="2" state="visible" r:id="rId2"/>
    <sheet name="Tasks" sheetId="3" state="visible" r:id="rId3"/>
    <sheet name="RASI" sheetId="4" state="visible" r:id="rId4"/>
    <sheet name="HR" sheetId="5" state="visible" r:id="rId5"/>
  </sheets>
  <definedNames>
    <definedName name="_xlnm._FilterDatabase" localSheetId="1" hidden="1">'Projects'!$A$1:$J$100</definedName>
    <definedName name="_xlnm._FilterDatabase" localSheetId="2" hidden="1">'Tasks'!$A$1:$K$501</definedName>
    <definedName name="_xlnm._FilterDatabase" localSheetId="4" hidden="1">'HR'!$A$1:$H$100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</fonts>
  <fills count="5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4">
    <border/>
    <border>
      <left/>
      <right/>
      <top/>
      <bottom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9" fontId="1" fillId="0" borderId="0" applyAlignment="1" pivotButton="0" quotePrefix="0" xfId="0">
      <alignment vertical="bottom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0" fontId="3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center" vertical="center"/>
    </xf>
    <xf numFmtId="9" fontId="6" fillId="0" borderId="3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b val="1"/>
      </font>
      <fill>
        <patternFill patternType="solid">
          <fgColor rgb="FFFF6B6B"/>
          <bgColor rgb="FFFF6B6B"/>
        </patternFill>
      </fill>
      <border/>
    </dxf>
    <dxf>
      <font>
        <b val="1"/>
      </font>
      <fill>
        <patternFill patternType="solid">
          <fgColor rgb="FFFFA94D"/>
          <bgColor rgb="FFFFA94D"/>
        </patternFill>
      </fill>
      <border/>
    </dxf>
    <dxf>
      <font>
        <b val="1"/>
      </font>
      <fill>
        <patternFill patternType="solid">
          <fgColor rgb="FF69DB7C"/>
          <bgColor rgb="FF69DB7C"/>
        </patternFill>
      </fill>
      <border/>
    </dxf>
    <dxf>
      <font>
        <b val="1"/>
      </font>
      <fill>
        <patternFill patternType="solid">
          <fgColor rgb="FF74C0FC"/>
          <bgColor rgb="FF74C0FC"/>
        </patternFill>
      </fill>
      <border/>
    </dxf>
    <dxf>
      <font>
        <b val="1"/>
      </font>
      <fill>
        <patternFill patternType="solid">
          <fgColor rgb="FFB197FC"/>
          <bgColor rgb="FFB197FC"/>
        </patternFill>
      </fill>
      <border/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Z1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ColWidth="14.43" defaultRowHeight="15" customHeight="1"/>
  <cols>
    <col width="12" customWidth="1" style="18" min="1" max="1"/>
    <col width="45" customWidth="1" style="18" min="2" max="2"/>
    <col width="10" customWidth="1" style="18" min="3" max="6"/>
    <col width="10" customWidth="1" style="18" min="4" max="4"/>
    <col width="10" customWidth="1" style="18" min="5" max="5"/>
    <col width="10" customWidth="1" style="18" min="6" max="6"/>
    <col width="10" customWidth="1" style="18" min="7" max="7"/>
    <col width="10" customWidth="1" style="18" min="8" max="8"/>
    <col width="10" customWidth="1" style="18" min="9" max="9"/>
    <col width="10" customWidth="1" style="18" min="10" max="10"/>
    <col width="10" customWidth="1" style="18" min="11" max="11"/>
    <col width="10" customWidth="1" style="18" min="12" max="12"/>
    <col width="10" customWidth="1" style="18" min="13" max="13"/>
    <col width="10" customWidth="1" style="18" min="14" max="14"/>
    <col width="10" customWidth="1" style="18" min="15" max="15"/>
    <col width="10" customWidth="1" style="18" min="16" max="16"/>
    <col width="10" customWidth="1" style="18" min="17" max="17"/>
    <col width="10" customWidth="1" style="18" min="18" max="18"/>
    <col width="10" customWidth="1" style="18" min="19" max="19"/>
    <col width="10" customWidth="1" style="18" min="20" max="20"/>
    <col width="10" customWidth="1" style="18" min="21" max="21"/>
    <col width="10" customWidth="1" style="18" min="22" max="22"/>
    <col width="10" customWidth="1" style="18" min="23" max="23"/>
    <col width="10" customWidth="1" style="18" min="24" max="24"/>
    <col width="10" customWidth="1" style="18" min="25" max="25"/>
    <col width="10" customWidth="1" style="18" min="26" max="26"/>
  </cols>
  <sheetData>
    <row r="1" ht="15" customHeight="1" s="18">
      <c r="A1" s="19" t="inlineStr">
        <is>
          <t>Project ID</t>
        </is>
      </c>
      <c r="B1" s="19" t="inlineStr">
        <is>
          <t>Project Name</t>
        </is>
      </c>
      <c r="C1" s="19" t="inlineStr">
        <is>
          <t>T1/2025</t>
        </is>
      </c>
      <c r="D1" s="19" t="inlineStr">
        <is>
          <t>T2/2025</t>
        </is>
      </c>
      <c r="E1" s="19" t="inlineStr">
        <is>
          <t>T3/2025</t>
        </is>
      </c>
      <c r="F1" s="19" t="inlineStr">
        <is>
          <t>T4/2025</t>
        </is>
      </c>
      <c r="G1" s="19" t="inlineStr">
        <is>
          <t>T5/2025</t>
        </is>
      </c>
      <c r="H1" s="19" t="inlineStr">
        <is>
          <t>T6/2025</t>
        </is>
      </c>
      <c r="I1" s="19" t="inlineStr">
        <is>
          <t>T7/2025</t>
        </is>
      </c>
      <c r="J1" s="19" t="inlineStr">
        <is>
          <t>T8/2025</t>
        </is>
      </c>
      <c r="K1" s="19" t="inlineStr">
        <is>
          <t>T9/2025</t>
        </is>
      </c>
      <c r="L1" s="19" t="inlineStr">
        <is>
          <t>T10/2025</t>
        </is>
      </c>
      <c r="M1" s="19" t="inlineStr">
        <is>
          <t>T11/2025</t>
        </is>
      </c>
      <c r="N1" s="19" t="inlineStr">
        <is>
          <t>T12/2025</t>
        </is>
      </c>
      <c r="O1" s="19" t="inlineStr">
        <is>
          <t>T1/2026</t>
        </is>
      </c>
      <c r="P1" s="19" t="inlineStr">
        <is>
          <t>T2/2026</t>
        </is>
      </c>
      <c r="Q1" s="19" t="inlineStr">
        <is>
          <t>T3/2026</t>
        </is>
      </c>
      <c r="R1" s="19" t="inlineStr">
        <is>
          <t>T4/2026</t>
        </is>
      </c>
      <c r="S1" s="19" t="inlineStr">
        <is>
          <t>T5/2026</t>
        </is>
      </c>
      <c r="T1" s="19" t="inlineStr">
        <is>
          <t>T6/2026</t>
        </is>
      </c>
      <c r="U1" s="19" t="inlineStr">
        <is>
          <t>T7/2026</t>
        </is>
      </c>
      <c r="V1" s="19" t="inlineStr">
        <is>
          <t>T8/2026</t>
        </is>
      </c>
      <c r="W1" s="19" t="inlineStr">
        <is>
          <t>T9/2026</t>
        </is>
      </c>
      <c r="X1" s="19" t="inlineStr">
        <is>
          <t>T10/2026</t>
        </is>
      </c>
      <c r="Y1" s="19" t="inlineStr">
        <is>
          <t>T11/2026</t>
        </is>
      </c>
      <c r="Z1" s="19" t="inlineStr">
        <is>
          <t>T12/2026</t>
        </is>
      </c>
    </row>
    <row r="2" ht="15" customHeight="1" s="18">
      <c r="A2" s="20">
        <f>IF(Projects!B2="","",Projects!B2)</f>
        <v/>
      </c>
      <c r="B2" s="21">
        <f>IF(Projects!C2="","",Projects!C2)</f>
        <v/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15" customHeight="1" s="18">
      <c r="A3" s="20">
        <f>IF(Projects!B3="","",Projects!B3)</f>
        <v/>
      </c>
      <c r="B3" s="21">
        <f>IF(Projects!C3="","",Projects!C3)</f>
        <v/>
      </c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5" customHeight="1" s="18">
      <c r="A4" s="20">
        <f>IF(Projects!B4="","",Projects!B4)</f>
        <v/>
      </c>
      <c r="B4" s="21">
        <f>IF(Projects!C4="","",Projects!C4)</f>
        <v/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15" customHeight="1" s="18">
      <c r="A5" s="20">
        <f>IF(Projects!B5="","",Projects!B5)</f>
        <v/>
      </c>
      <c r="B5" s="21">
        <f>IF(Projects!C5="","",Projects!C5)</f>
        <v/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15" customHeight="1" s="18">
      <c r="A6" s="20">
        <f>IF(Projects!B6="","",Projects!B6)</f>
        <v/>
      </c>
      <c r="B6" s="21">
        <f>IF(Projects!C6="","",Projects!C6)</f>
        <v/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15" customHeight="1" s="18">
      <c r="A7" s="20">
        <f>IF(Projects!B7="","",Projects!B7)</f>
        <v/>
      </c>
      <c r="B7" s="21">
        <f>IF(Projects!C7="","",Projects!C7)</f>
        <v/>
      </c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15" customHeight="1" s="18">
      <c r="A8" s="20">
        <f>IF(Projects!B8="","",Projects!B8)</f>
        <v/>
      </c>
      <c r="B8" s="21">
        <f>IF(Projects!C8="","",Projects!C8)</f>
        <v/>
      </c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15" customHeight="1" s="18">
      <c r="A9" s="20">
        <f>IF(Projects!B9="","",Projects!B9)</f>
        <v/>
      </c>
      <c r="B9" s="21">
        <f>IF(Projects!C9="","",Projects!C9)</f>
        <v/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15" customHeight="1" s="18">
      <c r="A10" s="20">
        <f>IF(Projects!B10="","",Projects!B10)</f>
        <v/>
      </c>
      <c r="B10" s="21">
        <f>IF(Projects!C10="","",Projects!C10)</f>
        <v/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15" customHeight="1" s="18">
      <c r="A11" s="20">
        <f>IF(Projects!B11="","",Projects!B11)</f>
        <v/>
      </c>
      <c r="B11" s="21">
        <f>IF(Projects!C11="","",Projects!C11)</f>
        <v/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15" customHeight="1" s="18">
      <c r="A12" s="20">
        <f>IF(Projects!B12="","",Projects!B12)</f>
        <v/>
      </c>
      <c r="B12" s="21">
        <f>IF(Projects!C12="","",Projects!C12)</f>
        <v/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15" customHeight="1" s="18">
      <c r="A13" s="20">
        <f>IF(Projects!B13="","",Projects!B13)</f>
        <v/>
      </c>
      <c r="B13" s="21">
        <f>IF(Projects!C13="","",Projects!C13)</f>
        <v/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15" customHeight="1" s="18">
      <c r="A14" s="20">
        <f>IF(Projects!B14="","",Projects!B14)</f>
        <v/>
      </c>
      <c r="B14" s="21">
        <f>IF(Projects!C14="","",Projects!C14)</f>
        <v/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15" customHeight="1" s="18">
      <c r="A15" s="20">
        <f>IF(Projects!B15="","",Projects!B15)</f>
        <v/>
      </c>
      <c r="B15" s="21">
        <f>IF(Projects!C15="","",Projects!C15)</f>
        <v/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15" customHeight="1" s="18">
      <c r="A16" s="20">
        <f>IF(Projects!B16="","",Projects!B16)</f>
        <v/>
      </c>
      <c r="B16" s="21">
        <f>IF(Projects!C16="","",Projects!C16)</f>
        <v/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15" customHeight="1" s="18">
      <c r="A17" s="20">
        <f>IF(Projects!B17="","",Projects!B17)</f>
        <v/>
      </c>
      <c r="B17" s="21">
        <f>IF(Projects!C17="","",Projects!C17)</f>
        <v/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15" customHeight="1" s="18">
      <c r="A18" s="20">
        <f>IF(Projects!B18="","",Projects!B18)</f>
        <v/>
      </c>
      <c r="B18" s="21">
        <f>IF(Projects!C18="","",Projects!C18)</f>
        <v/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15" customHeight="1" s="18">
      <c r="A19" s="20">
        <f>IF(Projects!B19="","",Projects!B19)</f>
        <v/>
      </c>
      <c r="B19" s="21">
        <f>IF(Projects!C19="","",Projects!C19)</f>
        <v/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15" customHeight="1" s="18">
      <c r="A20" s="20">
        <f>IF(Projects!B20="","",Projects!B20)</f>
        <v/>
      </c>
      <c r="B20" s="21">
        <f>IF(Projects!C20="","",Projects!C20)</f>
        <v/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15.75" customHeight="1" s="18">
      <c r="A21" s="20">
        <f>IF(Projects!B21="","",Projects!B21)</f>
        <v/>
      </c>
      <c r="B21" s="21">
        <f>IF(Projects!C21="","",Projects!C21)</f>
        <v/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15.75" customHeight="1" s="18">
      <c r="A22" s="20">
        <f>IF(Projects!B22="","",Projects!B22)</f>
        <v/>
      </c>
      <c r="B22" s="21">
        <f>IF(Projects!C22="","",Projects!C22)</f>
        <v/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15.75" customHeight="1" s="18">
      <c r="A23" s="20">
        <f>IF(Projects!B23="","",Projects!B23)</f>
        <v/>
      </c>
      <c r="B23" s="21">
        <f>IF(Projects!C23="","",Projects!C23)</f>
        <v/>
      </c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15.75" customHeight="1" s="18">
      <c r="A24" s="20">
        <f>IF(Projects!B24="","",Projects!B24)</f>
        <v/>
      </c>
      <c r="B24" s="21">
        <f>IF(Projects!C24="","",Projects!C24)</f>
        <v/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15.75" customHeight="1" s="18">
      <c r="A25" s="20">
        <f>IF(Projects!B25="","",Projects!B25)</f>
        <v/>
      </c>
      <c r="B25" s="21">
        <f>IF(Projects!C25="","",Projects!C25)</f>
        <v/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15.75" customHeight="1" s="18">
      <c r="A26" s="20">
        <f>IF(Projects!B26="","",Projects!B26)</f>
        <v/>
      </c>
      <c r="B26" s="21">
        <f>IF(Projects!C26="","",Projects!C26)</f>
        <v/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15.75" customHeight="1" s="18">
      <c r="A27" s="20">
        <f>IF(Projects!B27="","",Projects!B27)</f>
        <v/>
      </c>
      <c r="B27" s="21">
        <f>IF(Projects!C27="","",Projects!C27)</f>
        <v/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15.75" customHeight="1" s="18">
      <c r="A28" s="20">
        <f>IF(Projects!B28="","",Projects!B28)</f>
        <v/>
      </c>
      <c r="B28" s="21">
        <f>IF(Projects!C28="","",Projects!C28)</f>
        <v/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15.75" customHeight="1" s="18">
      <c r="A29" s="20">
        <f>IF(Projects!B29="","",Projects!B29)</f>
        <v/>
      </c>
      <c r="B29" s="21">
        <f>IF(Projects!C29="","",Projects!C29)</f>
        <v/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15.75" customHeight="1" s="18">
      <c r="A30" s="20">
        <f>IF(Projects!B30="","",Projects!B30)</f>
        <v/>
      </c>
      <c r="B30" s="21">
        <f>IF(Projects!C30="","",Projects!C30)</f>
        <v/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15.75" customHeight="1" s="18">
      <c r="A31" s="20">
        <f>IF(Projects!B31="","",Projects!B31)</f>
        <v/>
      </c>
      <c r="B31" s="21">
        <f>IF(Projects!C31="","",Projects!C31)</f>
        <v/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15.75" customHeight="1" s="18">
      <c r="A32" s="20">
        <f>IF(Projects!B32="","",Projects!B32)</f>
        <v/>
      </c>
      <c r="B32" s="21">
        <f>IF(Projects!C32="","",Projects!C32)</f>
        <v/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15.75" customHeight="1" s="18">
      <c r="A33" s="20">
        <f>IF(Projects!B33="","",Projects!B33)</f>
        <v/>
      </c>
      <c r="B33" s="21">
        <f>IF(Projects!C33="","",Projects!C33)</f>
        <v/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15.75" customHeight="1" s="18">
      <c r="A34" s="20">
        <f>IF(Projects!B34="","",Projects!B34)</f>
        <v/>
      </c>
      <c r="B34" s="21">
        <f>IF(Projects!C34="","",Projects!C34)</f>
        <v/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15.75" customHeight="1" s="18">
      <c r="A35" s="20">
        <f>IF(Projects!B35="","",Projects!B35)</f>
        <v/>
      </c>
      <c r="B35" s="21">
        <f>IF(Projects!C35="","",Projects!C35)</f>
        <v/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15.75" customHeight="1" s="18">
      <c r="A36" s="20">
        <f>IF(Projects!B36="","",Projects!B36)</f>
        <v/>
      </c>
      <c r="B36" s="21">
        <f>IF(Projects!C36="","",Projects!C36)</f>
        <v/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15.75" customHeight="1" s="18">
      <c r="A37" s="20">
        <f>IF(Projects!B37="","",Projects!B37)</f>
        <v/>
      </c>
      <c r="B37" s="21">
        <f>IF(Projects!C37="","",Projects!C37)</f>
        <v/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15.75" customHeight="1" s="18">
      <c r="A38" s="20">
        <f>IF(Projects!B38="","",Projects!B38)</f>
        <v/>
      </c>
      <c r="B38" s="21">
        <f>IF(Projects!C38="","",Projects!C38)</f>
        <v/>
      </c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15.75" customHeight="1" s="18">
      <c r="A39" s="20">
        <f>IF(Projects!B39="","",Projects!B39)</f>
        <v/>
      </c>
      <c r="B39" s="21">
        <f>IF(Projects!C39="","",Projects!C39)</f>
        <v/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15.75" customHeight="1" s="18">
      <c r="A40" s="20">
        <f>IF(Projects!B40="","",Projects!B40)</f>
        <v/>
      </c>
      <c r="B40" s="21">
        <f>IF(Projects!C40="","",Projects!C40)</f>
        <v/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15.75" customHeight="1" s="18">
      <c r="A41" s="20">
        <f>IF(Projects!B41="","",Projects!B41)</f>
        <v/>
      </c>
      <c r="B41" s="21">
        <f>IF(Projects!C41="","",Projects!C41)</f>
        <v/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15.75" customHeight="1" s="18">
      <c r="A42" s="20">
        <f>IF(Projects!B42="","",Projects!B42)</f>
        <v/>
      </c>
      <c r="B42" s="21">
        <f>IF(Projects!C42="","",Projects!C42)</f>
        <v/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15.75" customHeight="1" s="18">
      <c r="A43" s="20">
        <f>IF(Projects!B43="","",Projects!B43)</f>
        <v/>
      </c>
      <c r="B43" s="21">
        <f>IF(Projects!C43="","",Projects!C43)</f>
        <v/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15.75" customHeight="1" s="18">
      <c r="A44" s="20">
        <f>IF(Projects!B44="","",Projects!B44)</f>
        <v/>
      </c>
      <c r="B44" s="21">
        <f>IF(Projects!C44="","",Projects!C44)</f>
        <v/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15.75" customHeight="1" s="18">
      <c r="A45" s="20">
        <f>IF(Projects!B45="","",Projects!B45)</f>
        <v/>
      </c>
      <c r="B45" s="21">
        <f>IF(Projects!C45="","",Projects!C45)</f>
        <v/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15.75" customHeight="1" s="18">
      <c r="A46" s="20">
        <f>IF(Projects!B46="","",Projects!B46)</f>
        <v/>
      </c>
      <c r="B46" s="21">
        <f>IF(Projects!C46="","",Projects!C46)</f>
        <v/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15.75" customHeight="1" s="18">
      <c r="A47" s="20">
        <f>IF(Projects!B47="","",Projects!B47)</f>
        <v/>
      </c>
      <c r="B47" s="21">
        <f>IF(Projects!C47="","",Projects!C47)</f>
        <v/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15.75" customHeight="1" s="18">
      <c r="A48" s="20">
        <f>IF(Projects!B48="","",Projects!B48)</f>
        <v/>
      </c>
      <c r="B48" s="21">
        <f>IF(Projects!C48="","",Projects!C48)</f>
        <v/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15.75" customHeight="1" s="18">
      <c r="A49" s="20">
        <f>IF(Projects!B49="","",Projects!B49)</f>
        <v/>
      </c>
      <c r="B49" s="21">
        <f>IF(Projects!C49="","",Projects!C49)</f>
        <v/>
      </c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15.75" customHeight="1" s="18">
      <c r="A50" s="20">
        <f>IF(Projects!B50="","",Projects!B50)</f>
        <v/>
      </c>
      <c r="B50" s="21">
        <f>IF(Projects!C50="","",Projects!C50)</f>
        <v/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15.75" customHeight="1" s="18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C2:Z50">
    <cfRule type="cellIs" priority="1" operator="equal" dxfId="5">
      <formula>"Plan"</formula>
    </cfRule>
    <cfRule type="cellIs" priority="2" operator="equal" dxfId="6">
      <formula>"Active"</formula>
    </cfRule>
    <cfRule type="cellIs" priority="3" operator="equal" dxfId="7">
      <formula>"Done"</formula>
    </cfRule>
    <cfRule type="cellIs" priority="4" operator="equal" dxfId="8">
      <formula>"Delay"</formula>
    </cfRule>
  </conditionalFormatting>
  <dataValidations count="1">
    <dataValidation sqref="C2:Z50" showDropDown="0" showInputMessage="0" showErrorMessage="0" allowBlank="1" type="list">
      <formula1>"Plan,Active,Done,Delay"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.29" customWidth="1" style="18" min="1" max="1"/>
    <col width="11.14" customWidth="1" style="18" min="2" max="2"/>
    <col width="54.43" customWidth="1" style="18" min="3" max="3"/>
    <col width="24.29" customWidth="1" style="18" min="4" max="4"/>
    <col width="15.86" customWidth="1" style="18" min="5" max="5"/>
    <col width="16.86" customWidth="1" style="18" min="6" max="6"/>
    <col width="22.57" customWidth="1" style="18" min="7" max="7"/>
    <col width="50.86" customWidth="1" style="18" min="8" max="8"/>
    <col width="12" customWidth="1" style="18" min="9" max="9"/>
    <col width="14" customWidth="1" style="18" min="10" max="10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PIC</t>
        </is>
      </c>
      <c r="E1" s="19" t="inlineStr">
        <is>
          <t>Start Date</t>
        </is>
      </c>
      <c r="F1" s="19" t="inlineStr">
        <is>
          <t>Deadline</t>
        </is>
      </c>
      <c r="G1" s="19" t="inlineStr">
        <is>
          <t>% Complete</t>
        </is>
      </c>
      <c r="H1" s="19" t="inlineStr">
        <is>
          <t>Notes</t>
        </is>
      </c>
      <c r="I1" s="19" t="inlineStr">
        <is>
          <t>Priority</t>
        </is>
      </c>
      <c r="J1" s="19" t="inlineStr">
        <is>
          <t>Status</t>
        </is>
      </c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" customHeight="1" s="18">
      <c r="A2" s="20" t="n">
        <v>1</v>
      </c>
      <c r="B2" s="20" t="inlineStr">
        <is>
          <t>BATERY00</t>
        </is>
      </c>
      <c r="C2" s="21" t="inlineStr">
        <is>
          <t>Thiết kế Battery cho Robot</t>
        </is>
      </c>
      <c r="D2" s="21">
        <f>LEFT(IF(RASI!D2="R",HR!$C$2&amp;", ","")&amp;IF(RASI!E2="R",HR!$C$3&amp;", ","")&amp;IF(RASI!F2="R",HR!$C$4&amp;", ","")&amp;IF(RASI!G2="R",HR!$C$5&amp;", ","")&amp;IF(RASI!H2="R",HR!$C$6&amp;", ","")&amp;IF(RASI!I2="R",HR!$C$7&amp;", ","")&amp;IF(RASI!J2="R",HR!$C$8&amp;", ",""),MAX(0,LEN(IF(RASI!D2="R",HR!$C$2&amp;", ","")&amp;IF(RASI!E2="R",HR!$C$3&amp;", ","")&amp;IF(RASI!F2="R",HR!$C$4&amp;", ","")&amp;IF(RASI!G2="R",HR!$C$5&amp;", ","")&amp;IF(RASI!H2="R",HR!$C$6&amp;", ","")&amp;IF(RASI!I2="R",HR!$C$7&amp;", ","")&amp;IF(RASI!J2="R",HR!$C$8&amp;", ",""))-2))</f>
        <v/>
      </c>
      <c r="E2" s="22" t="n"/>
      <c r="F2" s="22" t="n"/>
      <c r="G2" s="23">
        <f>IF(OR(B2="",SUMIF(Tasks!$B:$B,B2,Tasks!$F:$F)=0),"",SUMIFS(Tasks!$F:$F,Tasks!$B:$B,B2,Tasks!$G:$G,"Done")/SUMIF(Tasks!$B:$B,B2,Tasks!$F:$F))</f>
        <v/>
      </c>
      <c r="H2" s="21" t="n"/>
      <c r="I2" s="20" t="n"/>
      <c r="J2" s="20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5" customHeight="1" s="18">
      <c r="A3" s="20" t="n">
        <v>2</v>
      </c>
      <c r="B3" s="20" t="inlineStr">
        <is>
          <t>HOTSW00</t>
        </is>
      </c>
      <c r="C3" s="21" t="inlineStr">
        <is>
          <t>Thiết kế mạch Hot Swap cho Robot</t>
        </is>
      </c>
      <c r="D3" s="21">
        <f>LEFT(IF(RASI!D3="R",HR!$C$2&amp;", ","")&amp;IF(RASI!E3="R",HR!$C$3&amp;", ","")&amp;IF(RASI!F3="R",HR!$C$4&amp;", ","")&amp;IF(RASI!G3="R",HR!$C$5&amp;", ","")&amp;IF(RASI!H3="R",HR!$C$6&amp;", ","")&amp;IF(RASI!I3="R",HR!$C$7&amp;", ","")&amp;IF(RASI!J3="R",HR!$C$8&amp;", ",""),MAX(0,LEN(IF(RASI!D3="R",HR!$C$2&amp;", ","")&amp;IF(RASI!E3="R",HR!$C$3&amp;", ","")&amp;IF(RASI!F3="R",HR!$C$4&amp;", ","")&amp;IF(RASI!G3="R",HR!$C$5&amp;", ","")&amp;IF(RASI!H3="R",HR!$C$6&amp;", ","")&amp;IF(RASI!I3="R",HR!$C$7&amp;", ","")&amp;IF(RASI!J3="R",HR!$C$8&amp;", ",""))-2))</f>
        <v/>
      </c>
      <c r="E3" s="22" t="n"/>
      <c r="F3" s="22" t="n"/>
      <c r="G3" s="23">
        <f>IF(OR(B3="",SUMIF(Tasks!$B:$B,B3,Tasks!$F:$F)=0),"",SUMIFS(Tasks!$F:$F,Tasks!$B:$B,B3,Tasks!$G:$G,"Done")/SUMIF(Tasks!$B:$B,B3,Tasks!$F:$F))</f>
        <v/>
      </c>
      <c r="H3" s="21" t="n"/>
      <c r="I3" s="20" t="n"/>
      <c r="J3" s="20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5" customHeight="1" s="18">
      <c r="A4" s="20" t="n">
        <v>3</v>
      </c>
      <c r="B4" s="20" t="inlineStr">
        <is>
          <t>EMBPC00</t>
        </is>
      </c>
      <c r="C4" s="21" t="inlineStr">
        <is>
          <t>Thiết kế máy tính nhúng của VMO</t>
        </is>
      </c>
      <c r="D4" s="21">
        <f>LEFT(IF(RASI!D4="R",HR!$C$2&amp;", ","")&amp;IF(RASI!E4="R",HR!$C$3&amp;", ","")&amp;IF(RASI!F4="R",HR!$C$4&amp;", ","")&amp;IF(RASI!G4="R",HR!$C$5&amp;", ","")&amp;IF(RASI!H4="R",HR!$C$6&amp;", ","")&amp;IF(RASI!I4="R",HR!$C$7&amp;", ","")&amp;IF(RASI!J4="R",HR!$C$8&amp;", ",""),MAX(0,LEN(IF(RASI!D4="R",HR!$C$2&amp;", ","")&amp;IF(RASI!E4="R",HR!$C$3&amp;", ","")&amp;IF(RASI!F4="R",HR!$C$4&amp;", ","")&amp;IF(RASI!G4="R",HR!$C$5&amp;", ","")&amp;IF(RASI!H4="R",HR!$C$6&amp;", ","")&amp;IF(RASI!I4="R",HR!$C$7&amp;", ","")&amp;IF(RASI!J4="R",HR!$C$8&amp;", ",""))-2))</f>
        <v/>
      </c>
      <c r="E4" s="22" t="n"/>
      <c r="F4" s="22" t="n"/>
      <c r="G4" s="23">
        <f>IF(OR(B4="",SUMIF(Tasks!$B:$B,B4,Tasks!$F:$F)=0),"",SUMIFS(Tasks!$F:$F,Tasks!$B:$B,B4,Tasks!$G:$G,"Done")/SUMIF(Tasks!$B:$B,B4,Tasks!$F:$F))</f>
        <v/>
      </c>
      <c r="H4" s="21" t="n"/>
      <c r="I4" s="20" t="n"/>
      <c r="J4" s="20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5" customHeight="1" s="18">
      <c r="A5" s="20" t="n">
        <v>4</v>
      </c>
      <c r="B5" s="20" t="inlineStr">
        <is>
          <t>PDU00</t>
        </is>
      </c>
      <c r="C5" s="21" t="inlineStr">
        <is>
          <t>Thiết kế mạch Power Distribution Units cho Robot</t>
        </is>
      </c>
      <c r="D5" s="21">
        <f>LEFT(IF(RASI!D5="R",HR!$C$2&amp;", ","")&amp;IF(RASI!E5="R",HR!$C$3&amp;", ","")&amp;IF(RASI!F5="R",HR!$C$4&amp;", ","")&amp;IF(RASI!G5="R",HR!$C$5&amp;", ","")&amp;IF(RASI!H5="R",HR!$C$6&amp;", ","")&amp;IF(RASI!I5="R",HR!$C$7&amp;", ","")&amp;IF(RASI!J5="R",HR!$C$8&amp;", ",""),MAX(0,LEN(IF(RASI!D5="R",HR!$C$2&amp;", ","")&amp;IF(RASI!E5="R",HR!$C$3&amp;", ","")&amp;IF(RASI!F5="R",HR!$C$4&amp;", ","")&amp;IF(RASI!G5="R",HR!$C$5&amp;", ","")&amp;IF(RASI!H5="R",HR!$C$6&amp;", ","")&amp;IF(RASI!I5="R",HR!$C$7&amp;", ","")&amp;IF(RASI!J5="R",HR!$C$8&amp;", ",""))-2))</f>
        <v/>
      </c>
      <c r="E5" s="22" t="n"/>
      <c r="F5" s="22" t="n"/>
      <c r="G5" s="23">
        <f>IF(OR(B5="",SUMIF(Tasks!$B:$B,B5,Tasks!$F:$F)=0),"",SUMIFS(Tasks!$F:$F,Tasks!$B:$B,B5,Tasks!$G:$G,"Done")/SUMIF(Tasks!$B:$B,B5,Tasks!$F:$F))</f>
        <v/>
      </c>
      <c r="H5" s="21" t="n"/>
      <c r="I5" s="20" t="n"/>
      <c r="J5" s="20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5" customHeight="1" s="18">
      <c r="A6" s="20" t="n">
        <v>5</v>
      </c>
      <c r="B6" s="20" t="inlineStr">
        <is>
          <t>LLB00</t>
        </is>
      </c>
      <c r="C6" s="21" t="inlineStr">
        <is>
          <t>Thiết kế mạch Low Level Board cho Robot</t>
        </is>
      </c>
      <c r="D6" s="21">
        <f>LEFT(IF(RASI!D6="R",HR!$C$2&amp;", ","")&amp;IF(RASI!E6="R",HR!$C$3&amp;", ","")&amp;IF(RASI!F6="R",HR!$C$4&amp;", ","")&amp;IF(RASI!G6="R",HR!$C$5&amp;", ","")&amp;IF(RASI!H6="R",HR!$C$6&amp;", ","")&amp;IF(RASI!I6="R",HR!$C$7&amp;", ","")&amp;IF(RASI!J6="R",HR!$C$8&amp;", ",""),MAX(0,LEN(IF(RASI!D6="R",HR!$C$2&amp;", ","")&amp;IF(RASI!E6="R",HR!$C$3&amp;", ","")&amp;IF(RASI!F6="R",HR!$C$4&amp;", ","")&amp;IF(RASI!G6="R",HR!$C$5&amp;", ","")&amp;IF(RASI!H6="R",HR!$C$6&amp;", ","")&amp;IF(RASI!I6="R",HR!$C$7&amp;", ","")&amp;IF(RASI!J6="R",HR!$C$8&amp;", ",""))-2))</f>
        <v/>
      </c>
      <c r="E6" s="22" t="n"/>
      <c r="F6" s="22" t="n"/>
      <c r="G6" s="23">
        <f>IF(OR(B6="",SUMIF(Tasks!$B:$B,B6,Tasks!$F:$F)=0),"",SUMIFS(Tasks!$F:$F,Tasks!$B:$B,B6,Tasks!$G:$G,"Done")/SUMIF(Tasks!$B:$B,B6,Tasks!$F:$F))</f>
        <v/>
      </c>
      <c r="H6" s="21" t="n"/>
      <c r="I6" s="20" t="n"/>
      <c r="J6" s="20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5" customHeight="1" s="18">
      <c r="A7" s="20" t="n">
        <v>6</v>
      </c>
      <c r="B7" s="20" t="inlineStr">
        <is>
          <t>HUB00</t>
        </is>
      </c>
      <c r="C7" s="21" t="inlineStr">
        <is>
          <t>Thiết kế Mạch Hub Ethernet USB</t>
        </is>
      </c>
      <c r="D7" s="21">
        <f>LEFT(IF(RASI!D7="R",HR!$C$2&amp;", ","")&amp;IF(RASI!E7="R",HR!$C$3&amp;", ","")&amp;IF(RASI!F7="R",HR!$C$4&amp;", ","")&amp;IF(RASI!G7="R",HR!$C$5&amp;", ","")&amp;IF(RASI!H7="R",HR!$C$6&amp;", ","")&amp;IF(RASI!I7="R",HR!$C$7&amp;", ","")&amp;IF(RASI!J7="R",HR!$C$8&amp;", ",""),MAX(0,LEN(IF(RASI!D7="R",HR!$C$2&amp;", ","")&amp;IF(RASI!E7="R",HR!$C$3&amp;", ","")&amp;IF(RASI!F7="R",HR!$C$4&amp;", ","")&amp;IF(RASI!G7="R",HR!$C$5&amp;", ","")&amp;IF(RASI!H7="R",HR!$C$6&amp;", ","")&amp;IF(RASI!I7="R",HR!$C$7&amp;", ","")&amp;IF(RASI!J7="R",HR!$C$8&amp;", ",""))-2))</f>
        <v/>
      </c>
      <c r="E7" s="22" t="n"/>
      <c r="F7" s="22" t="n"/>
      <c r="G7" s="23">
        <f>IF(OR(B7="",SUMIF(Tasks!$B:$B,B7,Tasks!$F:$F)=0),"",SUMIFS(Tasks!$F:$F,Tasks!$B:$B,B7,Tasks!$G:$G,"Done")/SUMIF(Tasks!$B:$B,B7,Tasks!$F:$F))</f>
        <v/>
      </c>
      <c r="H7" s="21" t="n"/>
      <c r="I7" s="20" t="n"/>
      <c r="J7" s="20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5" customHeight="1" s="18">
      <c r="A8" s="20" t="n">
        <v>7</v>
      </c>
      <c r="B8" s="20" t="inlineStr">
        <is>
          <t>WHR00</t>
        </is>
      </c>
      <c r="C8" s="21" t="inlineStr">
        <is>
          <t>Tìm và làm việc với đối tác sản xuất dây cáp điện cho Robot</t>
        </is>
      </c>
      <c r="D8" s="21">
        <f>LEFT(IF(RASI!D8="R",HR!$C$2&amp;", ","")&amp;IF(RASI!E8="R",HR!$C$3&amp;", ","")&amp;IF(RASI!F8="R",HR!$C$4&amp;", ","")&amp;IF(RASI!G8="R",HR!$C$5&amp;", ","")&amp;IF(RASI!H8="R",HR!$C$6&amp;", ","")&amp;IF(RASI!I8="R",HR!$C$7&amp;", ","")&amp;IF(RASI!J8="R",HR!$C$8&amp;", ",""),MAX(0,LEN(IF(RASI!D8="R",HR!$C$2&amp;", ","")&amp;IF(RASI!E8="R",HR!$C$3&amp;", ","")&amp;IF(RASI!F8="R",HR!$C$4&amp;", ","")&amp;IF(RASI!G8="R",HR!$C$5&amp;", ","")&amp;IF(RASI!H8="R",HR!$C$6&amp;", ","")&amp;IF(RASI!I8="R",HR!$C$7&amp;", ","")&amp;IF(RASI!J8="R",HR!$C$8&amp;", ",""))-2))</f>
        <v/>
      </c>
      <c r="E8" s="22" t="n"/>
      <c r="F8" s="22" t="n"/>
      <c r="G8" s="23">
        <f>IF(OR(B8="",SUMIF(Tasks!$B:$B,B8,Tasks!$F:$F)=0),"",SUMIFS(Tasks!$F:$F,Tasks!$B:$B,B8,Tasks!$G:$G,"Done")/SUMIF(Tasks!$B:$B,B8,Tasks!$F:$F))</f>
        <v/>
      </c>
      <c r="H8" s="21" t="n"/>
      <c r="I8" s="20" t="n"/>
      <c r="J8" s="20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5" customHeight="1" s="18">
      <c r="A9" s="20" t="n">
        <v>8</v>
      </c>
      <c r="B9" s="20" t="inlineStr">
        <is>
          <t>HSCR01</t>
        </is>
      </c>
      <c r="C9" s="21" t="inlineStr">
        <is>
          <t>Thiết kế và phát triển trạm sạc pin</t>
        </is>
      </c>
      <c r="D9" s="21">
        <f>LEFT(IF(RASI!D9="R",HR!$C$2&amp;", ","")&amp;IF(RASI!E9="R",HR!$C$3&amp;", ","")&amp;IF(RASI!F9="R",HR!$C$4&amp;", ","")&amp;IF(RASI!G9="R",HR!$C$5&amp;", ","")&amp;IF(RASI!H9="R",HR!$C$6&amp;", ","")&amp;IF(RASI!I9="R",HR!$C$7&amp;", ","")&amp;IF(RASI!J9="R",HR!$C$8&amp;", ",""),MAX(0,LEN(IF(RASI!D9="R",HR!$C$2&amp;", ","")&amp;IF(RASI!E9="R",HR!$C$3&amp;", ","")&amp;IF(RASI!F9="R",HR!$C$4&amp;", ","")&amp;IF(RASI!G9="R",HR!$C$5&amp;", ","")&amp;IF(RASI!H9="R",HR!$C$6&amp;", ","")&amp;IF(RASI!I9="R",HR!$C$7&amp;", ","")&amp;IF(RASI!J9="R",HR!$C$8&amp;", ",""))-2))</f>
        <v/>
      </c>
      <c r="E9" s="22" t="n"/>
      <c r="F9" s="22" t="n"/>
      <c r="G9" s="23">
        <f>IF(OR(B9="",SUMIF(Tasks!$B:$B,B9,Tasks!$F:$F)=0),"",SUMIFS(Tasks!$F:$F,Tasks!$B:$B,B9,Tasks!$G:$G,"Done")/SUMIF(Tasks!$B:$B,B9,Tasks!$F:$F))</f>
        <v/>
      </c>
      <c r="H9" s="21" t="n"/>
      <c r="I9" s="20" t="n"/>
      <c r="J9" s="20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5" customHeight="1" s="18">
      <c r="A10" s="20" t="n">
        <v>9</v>
      </c>
      <c r="B10" s="20" t="inlineStr">
        <is>
          <t>HBR00</t>
        </is>
      </c>
      <c r="C10" s="21" t="inlineStr">
        <is>
          <t>Phát triển bàn tay VMO</t>
        </is>
      </c>
      <c r="D10" s="21">
        <f>LEFT(IF(RASI!D10="R",HR!$C$2&amp;",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",""),MAX(0,LEN(IF(RASI!D10="R",HR!$C$2&amp;",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",""))-2))</f>
        <v/>
      </c>
      <c r="E10" s="22" t="n"/>
      <c r="F10" s="22" t="n"/>
      <c r="G10" s="23">
        <f>IF(OR(B10="",SUMIF(Tasks!$B:$B,B10,Tasks!$F:$F)=0),"",SUMIFS(Tasks!$F:$F,Tasks!$B:$B,B10,Tasks!$G:$G,"Done")/SUMIF(Tasks!$B:$B,B10,Tasks!$F:$F))</f>
        <v/>
      </c>
      <c r="H10" s="21" t="n"/>
      <c r="I10" s="20" t="n"/>
      <c r="J10" s="2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5" customHeight="1" s="18">
      <c r="A11" s="20" t="n">
        <v>10</v>
      </c>
      <c r="B11" s="20" t="inlineStr">
        <is>
          <t>HCR00</t>
        </is>
      </c>
      <c r="C11" s="21" t="inlineStr">
        <is>
          <t>Phát triển tay cầm điều khiển cho Robot</t>
        </is>
      </c>
      <c r="D11" s="21">
        <f>LEFT(IF(RASI!D11="R",HR!$C$2&amp;",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",""),MAX(0,LEN(IF(RASI!D11="R",HR!$C$2&amp;",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",""))-2))</f>
        <v/>
      </c>
      <c r="E11" s="22" t="n"/>
      <c r="F11" s="22" t="n"/>
      <c r="G11" s="23">
        <f>IF(OR(B11="",SUMIF(Tasks!$B:$B,B11,Tasks!$F:$F)=0),"",SUMIFS(Tasks!$F:$F,Tasks!$B:$B,B11,Tasks!$G:$G,"Done")/SUMIF(Tasks!$B:$B,B11,Tasks!$F:$F))</f>
        <v/>
      </c>
      <c r="H11" s="21" t="n"/>
      <c r="I11" s="20" t="n"/>
      <c r="J11" s="20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5" customHeight="1" s="18">
      <c r="A12" s="20" t="n"/>
      <c r="B12" s="20" t="n"/>
      <c r="C12" s="21" t="n"/>
      <c r="D12" s="21" t="n"/>
      <c r="E12" s="22" t="n"/>
      <c r="F12" s="22" t="n"/>
      <c r="G12" s="23">
        <f>IF(OR(B12="",SUMIF(Tasks!$B:$B,B12,Tasks!$F:$F)=0),"",SUMIFS(Tasks!$F:$F,Tasks!$B:$B,B12,Tasks!$G:$G,"Done")/SUMIF(Tasks!$B:$B,B12,Tasks!$F:$F))</f>
        <v/>
      </c>
      <c r="H12" s="21" t="n"/>
      <c r="I12" s="20" t="n"/>
      <c r="J12" s="20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15" customHeight="1" s="18">
      <c r="A13" s="20" t="n"/>
      <c r="B13" s="20" t="n"/>
      <c r="C13" s="21" t="n"/>
      <c r="D13" s="21" t="n"/>
      <c r="E13" s="22" t="n"/>
      <c r="F13" s="22" t="n"/>
      <c r="G13" s="23">
        <f>IF(OR(B13="",SUMIF(Tasks!$B:$B,B13,Tasks!$F:$F)=0),"",SUMIFS(Tasks!$F:$F,Tasks!$B:$B,B13,Tasks!$G:$G,"Done")/SUMIF(Tasks!$B:$B,B13,Tasks!$F:$F))</f>
        <v/>
      </c>
      <c r="H13" s="21" t="n"/>
      <c r="I13" s="20" t="n"/>
      <c r="J13" s="20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5" customHeight="1" s="18">
      <c r="A14" s="20" t="n"/>
      <c r="B14" s="20" t="n"/>
      <c r="C14" s="21" t="n"/>
      <c r="D14" s="21" t="n"/>
      <c r="E14" s="22" t="n"/>
      <c r="F14" s="22" t="n"/>
      <c r="G14" s="23">
        <f>IF(OR(B14="",SUMIF(Tasks!$B:$B,B14,Tasks!$F:$F)=0),"",SUMIFS(Tasks!$F:$F,Tasks!$B:$B,B14,Tasks!$G:$G,"Done")/SUMIF(Tasks!$B:$B,B14,Tasks!$F:$F))</f>
        <v/>
      </c>
      <c r="H14" s="21" t="n"/>
      <c r="I14" s="20" t="n"/>
      <c r="J14" s="20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t="15" customHeight="1" s="18">
      <c r="A15" s="20" t="n"/>
      <c r="B15" s="20" t="n"/>
      <c r="C15" s="21" t="n"/>
      <c r="D15" s="21" t="n"/>
      <c r="E15" s="22" t="n"/>
      <c r="F15" s="22" t="n"/>
      <c r="G15" s="23">
        <f>IF(OR(B15="",SUMIF(Tasks!$B:$B,B15,Tasks!$F:$F)=0),"",SUMIFS(Tasks!$F:$F,Tasks!$B:$B,B15,Tasks!$G:$G,"Done")/SUMIF(Tasks!$B:$B,B15,Tasks!$F:$F))</f>
        <v/>
      </c>
      <c r="H15" s="21" t="n"/>
      <c r="I15" s="20" t="n"/>
      <c r="J15" s="20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5" customHeight="1" s="18">
      <c r="A16" s="20" t="n"/>
      <c r="B16" s="20" t="n"/>
      <c r="C16" s="21" t="n"/>
      <c r="D16" s="21" t="n"/>
      <c r="E16" s="22" t="n"/>
      <c r="F16" s="22" t="n"/>
      <c r="G16" s="23">
        <f>IF(OR(B16="",SUMIF(Tasks!$B:$B,B16,Tasks!$F:$F)=0),"",SUMIFS(Tasks!$F:$F,Tasks!$B:$B,B16,Tasks!$G:$G,"Done")/SUMIF(Tasks!$B:$B,B16,Tasks!$F:$F))</f>
        <v/>
      </c>
      <c r="H16" s="21" t="n"/>
      <c r="I16" s="20" t="n"/>
      <c r="J16" s="20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5" customHeight="1" s="18">
      <c r="A17" s="20" t="n"/>
      <c r="B17" s="20" t="n"/>
      <c r="C17" s="21" t="n"/>
      <c r="D17" s="21" t="n"/>
      <c r="E17" s="22" t="n"/>
      <c r="F17" s="22" t="n"/>
      <c r="G17" s="23">
        <f>IF(OR(B17="",SUMIF(Tasks!$B:$B,B17,Tasks!$F:$F)=0),"",SUMIFS(Tasks!$F:$F,Tasks!$B:$B,B17,Tasks!$G:$G,"Done")/SUMIF(Tasks!$B:$B,B17,Tasks!$F:$F))</f>
        <v/>
      </c>
      <c r="H17" s="21" t="n"/>
      <c r="I17" s="20" t="n"/>
      <c r="J17" s="20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15" customHeight="1" s="18">
      <c r="A18" s="20" t="n"/>
      <c r="B18" s="20" t="n"/>
      <c r="C18" s="21" t="n"/>
      <c r="D18" s="21" t="n"/>
      <c r="E18" s="22" t="n"/>
      <c r="F18" s="22" t="n"/>
      <c r="G18" s="23">
        <f>IF(OR(B18="",SUMIF(Tasks!$B:$B,B18,Tasks!$F:$F)=0),"",SUMIFS(Tasks!$F:$F,Tasks!$B:$B,B18,Tasks!$G:$G,"Done")/SUMIF(Tasks!$B:$B,B18,Tasks!$F:$F))</f>
        <v/>
      </c>
      <c r="H18" s="21" t="n"/>
      <c r="I18" s="20" t="n"/>
      <c r="J18" s="20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t="15" customHeight="1" s="18">
      <c r="A19" s="20" t="n"/>
      <c r="B19" s="20" t="n"/>
      <c r="C19" s="21" t="n"/>
      <c r="D19" s="21" t="n"/>
      <c r="E19" s="22" t="n"/>
      <c r="F19" s="22" t="n"/>
      <c r="G19" s="23">
        <f>IF(OR(B19="",SUMIF(Tasks!$B:$B,B19,Tasks!$F:$F)=0),"",SUMIFS(Tasks!$F:$F,Tasks!$B:$B,B19,Tasks!$G:$G,"Done")/SUMIF(Tasks!$B:$B,B19,Tasks!$F:$F))</f>
        <v/>
      </c>
      <c r="H19" s="21" t="n"/>
      <c r="I19" s="20" t="n"/>
      <c r="J19" s="20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15" customHeight="1" s="18">
      <c r="A20" s="20" t="n"/>
      <c r="B20" s="20" t="n"/>
      <c r="C20" s="21" t="n"/>
      <c r="D20" s="21" t="n"/>
      <c r="E20" s="22" t="n"/>
      <c r="F20" s="22" t="n"/>
      <c r="G20" s="23">
        <f>IF(OR(B20="",SUMIF(Tasks!$B:$B,B20,Tasks!$F:$F)=0),"",SUMIFS(Tasks!$F:$F,Tasks!$B:$B,B20,Tasks!$G:$G,"Done")/SUMIF(Tasks!$B:$B,B20,Tasks!$F:$F))</f>
        <v/>
      </c>
      <c r="H20" s="21" t="n"/>
      <c r="I20" s="20" t="n"/>
      <c r="J20" s="20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5.75" customHeight="1" s="18">
      <c r="A21" s="20" t="n"/>
      <c r="B21" s="20" t="n"/>
      <c r="C21" s="21" t="n"/>
      <c r="D21" s="21" t="n"/>
      <c r="E21" s="22" t="n"/>
      <c r="F21" s="22" t="n"/>
      <c r="G21" s="23">
        <f>IF(OR(B21="",SUMIF(Tasks!$B:$B,B21,Tasks!$F:$F)=0),"",SUMIFS(Tasks!$F:$F,Tasks!$B:$B,B21,Tasks!$G:$G,"Done")/SUMIF(Tasks!$B:$B,B21,Tasks!$F:$F))</f>
        <v/>
      </c>
      <c r="H21" s="21" t="n"/>
      <c r="I21" s="20" t="n"/>
      <c r="J21" s="20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5.75" customHeight="1" s="18">
      <c r="A22" s="20" t="n"/>
      <c r="B22" s="20" t="n"/>
      <c r="C22" s="21" t="n"/>
      <c r="D22" s="21" t="n"/>
      <c r="E22" s="22" t="n"/>
      <c r="F22" s="22" t="n"/>
      <c r="G22" s="23">
        <f>IF(OR(B22="",SUMIF(Tasks!$B:$B,B22,Tasks!$F:$F)=0),"",SUMIFS(Tasks!$F:$F,Tasks!$B:$B,B22,Tasks!$G:$G,"Done")/SUMIF(Tasks!$B:$B,B22,Tasks!$F:$F))</f>
        <v/>
      </c>
      <c r="H22" s="21" t="n"/>
      <c r="I22" s="20" t="n"/>
      <c r="J22" s="20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5.75" customHeight="1" s="18">
      <c r="A23" s="20" t="n"/>
      <c r="B23" s="20" t="n"/>
      <c r="C23" s="21" t="n"/>
      <c r="D23" s="21" t="n"/>
      <c r="E23" s="22" t="n"/>
      <c r="F23" s="22" t="n"/>
      <c r="G23" s="23">
        <f>IF(OR(B23="",SUMIF(Tasks!$B:$B,B23,Tasks!$F:$F)=0),"",SUMIFS(Tasks!$F:$F,Tasks!$B:$B,B23,Tasks!$G:$G,"Done")/SUMIF(Tasks!$B:$B,B23,Tasks!$F:$F))</f>
        <v/>
      </c>
      <c r="H23" s="21" t="n"/>
      <c r="I23" s="20" t="n"/>
      <c r="J23" s="20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5.75" customHeight="1" s="18">
      <c r="A24" s="20" t="n"/>
      <c r="B24" s="20" t="n"/>
      <c r="C24" s="21" t="n"/>
      <c r="D24" s="21" t="n"/>
      <c r="E24" s="22" t="n"/>
      <c r="F24" s="22" t="n"/>
      <c r="G24" s="23">
        <f>IF(OR(B24="",SUMIF(Tasks!$B:$B,B24,Tasks!$F:$F)=0),"",SUMIFS(Tasks!$F:$F,Tasks!$B:$B,B24,Tasks!$G:$G,"Done")/SUMIF(Tasks!$B:$B,B24,Tasks!$F:$F))</f>
        <v/>
      </c>
      <c r="H24" s="21" t="n"/>
      <c r="I24" s="20" t="n"/>
      <c r="J24" s="20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5.75" customHeight="1" s="18">
      <c r="A25" s="20" t="n"/>
      <c r="B25" s="20" t="n"/>
      <c r="C25" s="21" t="n"/>
      <c r="D25" s="21" t="n"/>
      <c r="E25" s="22" t="n"/>
      <c r="F25" s="22" t="n"/>
      <c r="G25" s="23">
        <f>IF(OR(B25="",SUMIF(Tasks!$B:$B,B25,Tasks!$F:$F)=0),"",SUMIFS(Tasks!$F:$F,Tasks!$B:$B,B25,Tasks!$G:$G,"Done")/SUMIF(Tasks!$B:$B,B25,Tasks!$F:$F))</f>
        <v/>
      </c>
      <c r="H25" s="21" t="n"/>
      <c r="I25" s="20" t="n"/>
      <c r="J25" s="20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5.75" customHeight="1" s="18">
      <c r="A26" s="20" t="n"/>
      <c r="B26" s="20" t="n"/>
      <c r="C26" s="21" t="n"/>
      <c r="D26" s="21" t="n"/>
      <c r="E26" s="22" t="n"/>
      <c r="F26" s="22" t="n"/>
      <c r="G26" s="23">
        <f>IF(OR(B26="",SUMIF(Tasks!$B:$B,B26,Tasks!$F:$F)=0),"",SUMIFS(Tasks!$F:$F,Tasks!$B:$B,B26,Tasks!$G:$G,"Done")/SUMIF(Tasks!$B:$B,B26,Tasks!$F:$F))</f>
        <v/>
      </c>
      <c r="H26" s="21" t="n"/>
      <c r="I26" s="20" t="n"/>
      <c r="J26" s="20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5.75" customHeight="1" s="18">
      <c r="A27" s="20" t="n"/>
      <c r="B27" s="20" t="n"/>
      <c r="C27" s="21" t="n"/>
      <c r="D27" s="21" t="n"/>
      <c r="E27" s="22" t="n"/>
      <c r="F27" s="22" t="n"/>
      <c r="G27" s="23">
        <f>IF(OR(B27="",SUMIF(Tasks!$B:$B,B27,Tasks!$F:$F)=0),"",SUMIFS(Tasks!$F:$F,Tasks!$B:$B,B27,Tasks!$G:$G,"Done")/SUMIF(Tasks!$B:$B,B27,Tasks!$F:$F))</f>
        <v/>
      </c>
      <c r="H27" s="21" t="n"/>
      <c r="I27" s="20" t="n"/>
      <c r="J27" s="20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.75" customHeight="1" s="18">
      <c r="A28" s="20" t="n"/>
      <c r="B28" s="20" t="n"/>
      <c r="C28" s="21" t="n"/>
      <c r="D28" s="21" t="n"/>
      <c r="E28" s="22" t="n"/>
      <c r="F28" s="22" t="n"/>
      <c r="G28" s="23">
        <f>IF(OR(B28="",SUMIF(Tasks!$B:$B,B28,Tasks!$F:$F)=0),"",SUMIFS(Tasks!$F:$F,Tasks!$B:$B,B28,Tasks!$G:$G,"Done")/SUMIF(Tasks!$B:$B,B28,Tasks!$F:$F))</f>
        <v/>
      </c>
      <c r="H28" s="21" t="n"/>
      <c r="I28" s="20" t="n"/>
      <c r="J28" s="20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.75" customHeight="1" s="18">
      <c r="A29" s="20" t="n"/>
      <c r="B29" s="20" t="n"/>
      <c r="C29" s="21" t="n"/>
      <c r="D29" s="21" t="n"/>
      <c r="E29" s="22" t="n"/>
      <c r="F29" s="22" t="n"/>
      <c r="G29" s="23">
        <f>IF(OR(B29="",SUMIF(Tasks!$B:$B,B29,Tasks!$F:$F)=0),"",SUMIFS(Tasks!$F:$F,Tasks!$B:$B,B29,Tasks!$G:$G,"Done")/SUMIF(Tasks!$B:$B,B29,Tasks!$F:$F))</f>
        <v/>
      </c>
      <c r="H29" s="21" t="n"/>
      <c r="I29" s="20" t="n"/>
      <c r="J29" s="20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18">
      <c r="A30" s="20" t="n"/>
      <c r="B30" s="20" t="n"/>
      <c r="C30" s="21" t="n"/>
      <c r="D30" s="21" t="n"/>
      <c r="E30" s="22" t="n"/>
      <c r="F30" s="22" t="n"/>
      <c r="G30" s="23">
        <f>IF(OR(B30="",SUMIF(Tasks!$B:$B,B30,Tasks!$F:$F)=0),"",SUMIFS(Tasks!$F:$F,Tasks!$B:$B,B30,Tasks!$G:$G,"Done")/SUMIF(Tasks!$B:$B,B30,Tasks!$F:$F))</f>
        <v/>
      </c>
      <c r="H30" s="21" t="n"/>
      <c r="I30" s="20" t="n"/>
      <c r="J30" s="20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5.75" customHeight="1" s="18">
      <c r="A31" s="20" t="n"/>
      <c r="B31" s="20" t="n"/>
      <c r="C31" s="21" t="n"/>
      <c r="D31" s="21" t="n"/>
      <c r="E31" s="22" t="n"/>
      <c r="F31" s="22" t="n"/>
      <c r="G31" s="23">
        <f>IF(OR(B31="",SUMIF(Tasks!$B:$B,B31,Tasks!$F:$F)=0),"",SUMIFS(Tasks!$F:$F,Tasks!$B:$B,B31,Tasks!$G:$G,"Done")/SUMIF(Tasks!$B:$B,B31,Tasks!$F:$F))</f>
        <v/>
      </c>
      <c r="H31" s="21" t="n"/>
      <c r="I31" s="20" t="n"/>
      <c r="J31" s="20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5.75" customHeight="1" s="18">
      <c r="A32" s="20" t="n"/>
      <c r="B32" s="20" t="n"/>
      <c r="C32" s="21" t="n"/>
      <c r="D32" s="21" t="n"/>
      <c r="E32" s="22" t="n"/>
      <c r="F32" s="22" t="n"/>
      <c r="G32" s="23">
        <f>IF(OR(B32="",SUMIF(Tasks!$B:$B,B32,Tasks!$F:$F)=0),"",SUMIFS(Tasks!$F:$F,Tasks!$B:$B,B32,Tasks!$G:$G,"Done")/SUMIF(Tasks!$B:$B,B32,Tasks!$F:$F))</f>
        <v/>
      </c>
      <c r="H32" s="21" t="n"/>
      <c r="I32" s="20" t="n"/>
      <c r="J32" s="20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5.75" customHeight="1" s="18">
      <c r="A33" s="20" t="n"/>
      <c r="B33" s="20" t="n"/>
      <c r="C33" s="21" t="n"/>
      <c r="D33" s="21" t="n"/>
      <c r="E33" s="22" t="n"/>
      <c r="F33" s="22" t="n"/>
      <c r="G33" s="23">
        <f>IF(OR(B33="",SUMIF(Tasks!$B:$B,B33,Tasks!$F:$F)=0),"",SUMIFS(Tasks!$F:$F,Tasks!$B:$B,B33,Tasks!$G:$G,"Done")/SUMIF(Tasks!$B:$B,B33,Tasks!$F:$F))</f>
        <v/>
      </c>
      <c r="H33" s="21" t="n"/>
      <c r="I33" s="20" t="n"/>
      <c r="J33" s="20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5.75" customHeight="1" s="18">
      <c r="A34" s="20" t="n"/>
      <c r="B34" s="20" t="n"/>
      <c r="C34" s="21" t="n"/>
      <c r="D34" s="21" t="n"/>
      <c r="E34" s="22" t="n"/>
      <c r="F34" s="22" t="n"/>
      <c r="G34" s="23">
        <f>IF(OR(B34="",SUMIF(Tasks!$B:$B,B34,Tasks!$F:$F)=0),"",SUMIFS(Tasks!$F:$F,Tasks!$B:$B,B34,Tasks!$G:$G,"Done")/SUMIF(Tasks!$B:$B,B34,Tasks!$F:$F))</f>
        <v/>
      </c>
      <c r="H34" s="21" t="n"/>
      <c r="I34" s="20" t="n"/>
      <c r="J34" s="20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5.75" customHeight="1" s="18">
      <c r="A35" s="20" t="n"/>
      <c r="B35" s="20" t="n"/>
      <c r="C35" s="21" t="n"/>
      <c r="D35" s="21" t="n"/>
      <c r="E35" s="22" t="n"/>
      <c r="F35" s="22" t="n"/>
      <c r="G35" s="23">
        <f>IF(OR(B35="",SUMIF(Tasks!$B:$B,B35,Tasks!$F:$F)=0),"",SUMIFS(Tasks!$F:$F,Tasks!$B:$B,B35,Tasks!$G:$G,"Done")/SUMIF(Tasks!$B:$B,B35,Tasks!$F:$F))</f>
        <v/>
      </c>
      <c r="H35" s="21" t="n"/>
      <c r="I35" s="20" t="n"/>
      <c r="J35" s="20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5.75" customHeight="1" s="18">
      <c r="A36" s="20" t="n"/>
      <c r="B36" s="20" t="n"/>
      <c r="C36" s="21" t="n"/>
      <c r="D36" s="21" t="n"/>
      <c r="E36" s="22" t="n"/>
      <c r="F36" s="22" t="n"/>
      <c r="G36" s="23">
        <f>IF(OR(B36="",SUMIF(Tasks!$B:$B,B36,Tasks!$F:$F)=0),"",SUMIFS(Tasks!$F:$F,Tasks!$B:$B,B36,Tasks!$G:$G,"Done")/SUMIF(Tasks!$B:$B,B36,Tasks!$F:$F))</f>
        <v/>
      </c>
      <c r="H36" s="21" t="n"/>
      <c r="I36" s="20" t="n"/>
      <c r="J36" s="20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5.75" customHeight="1" s="18">
      <c r="A37" s="20" t="n"/>
      <c r="B37" s="20" t="n"/>
      <c r="C37" s="21" t="n"/>
      <c r="D37" s="21" t="n"/>
      <c r="E37" s="22" t="n"/>
      <c r="F37" s="22" t="n"/>
      <c r="G37" s="23">
        <f>IF(OR(B37="",SUMIF(Tasks!$B:$B,B37,Tasks!$F:$F)=0),"",SUMIFS(Tasks!$F:$F,Tasks!$B:$B,B37,Tasks!$G:$G,"Done")/SUMIF(Tasks!$B:$B,B37,Tasks!$F:$F))</f>
        <v/>
      </c>
      <c r="H37" s="21" t="n"/>
      <c r="I37" s="20" t="n"/>
      <c r="J37" s="20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5.75" customHeight="1" s="18">
      <c r="A38" s="20" t="n"/>
      <c r="B38" s="20" t="n"/>
      <c r="C38" s="21" t="n"/>
      <c r="D38" s="21" t="n"/>
      <c r="E38" s="22" t="n"/>
      <c r="F38" s="22" t="n"/>
      <c r="G38" s="23">
        <f>IF(OR(B38="",SUMIF(Tasks!$B:$B,B38,Tasks!$F:$F)=0),"",SUMIFS(Tasks!$F:$F,Tasks!$B:$B,B38,Tasks!$G:$G,"Done")/SUMIF(Tasks!$B:$B,B38,Tasks!$F:$F))</f>
        <v/>
      </c>
      <c r="H38" s="21" t="n"/>
      <c r="I38" s="20" t="n"/>
      <c r="J38" s="20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5.75" customHeight="1" s="18">
      <c r="A39" s="20" t="n"/>
      <c r="B39" s="20" t="n"/>
      <c r="C39" s="21" t="n"/>
      <c r="D39" s="21" t="n"/>
      <c r="E39" s="22" t="n"/>
      <c r="F39" s="22" t="n"/>
      <c r="G39" s="23">
        <f>IF(OR(B39="",SUMIF(Tasks!$B:$B,B39,Tasks!$F:$F)=0),"",SUMIFS(Tasks!$F:$F,Tasks!$B:$B,B39,Tasks!$G:$G,"Done")/SUMIF(Tasks!$B:$B,B39,Tasks!$F:$F))</f>
        <v/>
      </c>
      <c r="H39" s="21" t="n"/>
      <c r="I39" s="20" t="n"/>
      <c r="J39" s="20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5.75" customHeight="1" s="18">
      <c r="A40" s="20" t="n"/>
      <c r="B40" s="20" t="n"/>
      <c r="C40" s="21" t="n"/>
      <c r="D40" s="21" t="n"/>
      <c r="E40" s="22" t="n"/>
      <c r="F40" s="22" t="n"/>
      <c r="G40" s="23">
        <f>IF(OR(B40="",SUMIF(Tasks!$B:$B,B40,Tasks!$F:$F)=0),"",SUMIFS(Tasks!$F:$F,Tasks!$B:$B,B40,Tasks!$G:$G,"Done")/SUMIF(Tasks!$B:$B,B40,Tasks!$F:$F))</f>
        <v/>
      </c>
      <c r="H40" s="21" t="n"/>
      <c r="I40" s="20" t="n"/>
      <c r="J40" s="20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5.75" customHeight="1" s="18">
      <c r="A41" s="20" t="n"/>
      <c r="B41" s="20" t="n"/>
      <c r="C41" s="21" t="n"/>
      <c r="D41" s="21" t="n"/>
      <c r="E41" s="22" t="n"/>
      <c r="F41" s="22" t="n"/>
      <c r="G41" s="23">
        <f>IF(OR(B41="",SUMIF(Tasks!$B:$B,B41,Tasks!$F:$F)=0),"",SUMIFS(Tasks!$F:$F,Tasks!$B:$B,B41,Tasks!$G:$G,"Done")/SUMIF(Tasks!$B:$B,B41,Tasks!$F:$F))</f>
        <v/>
      </c>
      <c r="H41" s="21" t="n"/>
      <c r="I41" s="20" t="n"/>
      <c r="J41" s="20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5.75" customHeight="1" s="18">
      <c r="A42" s="20" t="n"/>
      <c r="B42" s="20" t="n"/>
      <c r="C42" s="21" t="n"/>
      <c r="D42" s="21" t="n"/>
      <c r="E42" s="22" t="n"/>
      <c r="F42" s="22" t="n"/>
      <c r="G42" s="23">
        <f>IF(OR(B42="",SUMIF(Tasks!$B:$B,B42,Tasks!$F:$F)=0),"",SUMIFS(Tasks!$F:$F,Tasks!$B:$B,B42,Tasks!$G:$G,"Done")/SUMIF(Tasks!$B:$B,B42,Tasks!$F:$F))</f>
        <v/>
      </c>
      <c r="H42" s="21" t="n"/>
      <c r="I42" s="20" t="n"/>
      <c r="J42" s="20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5.75" customHeight="1" s="18">
      <c r="A43" s="20" t="n"/>
      <c r="B43" s="20" t="n"/>
      <c r="C43" s="21" t="n"/>
      <c r="D43" s="21" t="n"/>
      <c r="E43" s="22" t="n"/>
      <c r="F43" s="22" t="n"/>
      <c r="G43" s="23">
        <f>IF(OR(B43="",SUMIF(Tasks!$B:$B,B43,Tasks!$F:$F)=0),"",SUMIFS(Tasks!$F:$F,Tasks!$B:$B,B43,Tasks!$G:$G,"Done")/SUMIF(Tasks!$B:$B,B43,Tasks!$F:$F))</f>
        <v/>
      </c>
      <c r="H43" s="21" t="n"/>
      <c r="I43" s="20" t="n"/>
      <c r="J43" s="20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5.75" customHeight="1" s="18">
      <c r="A44" s="20" t="n"/>
      <c r="B44" s="20" t="n"/>
      <c r="C44" s="21" t="n"/>
      <c r="D44" s="21" t="n"/>
      <c r="E44" s="22" t="n"/>
      <c r="F44" s="22" t="n"/>
      <c r="G44" s="23">
        <f>IF(OR(B44="",SUMIF(Tasks!$B:$B,B44,Tasks!$F:$F)=0),"",SUMIFS(Tasks!$F:$F,Tasks!$B:$B,B44,Tasks!$G:$G,"Done")/SUMIF(Tasks!$B:$B,B44,Tasks!$F:$F))</f>
        <v/>
      </c>
      <c r="H44" s="21" t="n"/>
      <c r="I44" s="20" t="n"/>
      <c r="J44" s="20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5.75" customHeight="1" s="18">
      <c r="A45" s="20" t="n"/>
      <c r="B45" s="20" t="n"/>
      <c r="C45" s="21" t="n"/>
      <c r="D45" s="21" t="n"/>
      <c r="E45" s="22" t="n"/>
      <c r="F45" s="22" t="n"/>
      <c r="G45" s="23">
        <f>IF(OR(B45="",SUMIF(Tasks!$B:$B,B45,Tasks!$F:$F)=0),"",SUMIFS(Tasks!$F:$F,Tasks!$B:$B,B45,Tasks!$G:$G,"Done")/SUMIF(Tasks!$B:$B,B45,Tasks!$F:$F))</f>
        <v/>
      </c>
      <c r="H45" s="21" t="n"/>
      <c r="I45" s="20" t="n"/>
      <c r="J45" s="20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.75" customHeight="1" s="18">
      <c r="A46" s="20" t="n"/>
      <c r="B46" s="20" t="n"/>
      <c r="C46" s="21" t="n"/>
      <c r="D46" s="21" t="n"/>
      <c r="E46" s="22" t="n"/>
      <c r="F46" s="22" t="n"/>
      <c r="G46" s="23">
        <f>IF(OR(B46="",SUMIF(Tasks!$B:$B,B46,Tasks!$F:$F)=0),"",SUMIFS(Tasks!$F:$F,Tasks!$B:$B,B46,Tasks!$G:$G,"Done")/SUMIF(Tasks!$B:$B,B46,Tasks!$F:$F))</f>
        <v/>
      </c>
      <c r="H46" s="21" t="n"/>
      <c r="I46" s="20" t="n"/>
      <c r="J46" s="20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5.75" customHeight="1" s="18">
      <c r="A47" s="20" t="n"/>
      <c r="B47" s="20" t="n"/>
      <c r="C47" s="21" t="n"/>
      <c r="D47" s="21" t="n"/>
      <c r="E47" s="22" t="n"/>
      <c r="F47" s="22" t="n"/>
      <c r="G47" s="23">
        <f>IF(OR(B47="",SUMIF(Tasks!$B:$B,B47,Tasks!$F:$F)=0),"",SUMIFS(Tasks!$F:$F,Tasks!$B:$B,B47,Tasks!$G:$G,"Done")/SUMIF(Tasks!$B:$B,B47,Tasks!$F:$F))</f>
        <v/>
      </c>
      <c r="H47" s="21" t="n"/>
      <c r="I47" s="20" t="n"/>
      <c r="J47" s="20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5.75" customHeight="1" s="18">
      <c r="A48" s="20" t="n"/>
      <c r="B48" s="20" t="n"/>
      <c r="C48" s="21" t="n"/>
      <c r="D48" s="21" t="n"/>
      <c r="E48" s="22" t="n"/>
      <c r="F48" s="22" t="n"/>
      <c r="G48" s="23">
        <f>IF(OR(B48="",SUMIF(Tasks!$B:$B,B48,Tasks!$F:$F)=0),"",SUMIFS(Tasks!$F:$F,Tasks!$B:$B,B48,Tasks!$G:$G,"Done")/SUMIF(Tasks!$B:$B,B48,Tasks!$F:$F))</f>
        <v/>
      </c>
      <c r="H48" s="21" t="n"/>
      <c r="I48" s="20" t="n"/>
      <c r="J48" s="20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5.75" customHeight="1" s="18">
      <c r="A49" s="20" t="n"/>
      <c r="B49" s="20" t="n"/>
      <c r="C49" s="21" t="n"/>
      <c r="D49" s="21" t="n"/>
      <c r="E49" s="22" t="n"/>
      <c r="F49" s="22" t="n"/>
      <c r="G49" s="23">
        <f>IF(OR(B49="",SUMIF(Tasks!$B:$B,B49,Tasks!$F:$F)=0),"",SUMIFS(Tasks!$F:$F,Tasks!$B:$B,B49,Tasks!$G:$G,"Done")/SUMIF(Tasks!$B:$B,B49,Tasks!$F:$F))</f>
        <v/>
      </c>
      <c r="H49" s="21" t="n"/>
      <c r="I49" s="20" t="n"/>
      <c r="J49" s="20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.75" customHeight="1" s="18">
      <c r="A50" s="20" t="n"/>
      <c r="B50" s="20" t="n"/>
      <c r="C50" s="21" t="n"/>
      <c r="D50" s="21" t="n"/>
      <c r="E50" s="22" t="n"/>
      <c r="F50" s="22" t="n"/>
      <c r="G50" s="23">
        <f>IF(OR(B50="",SUMIF(Tasks!$B:$B,B50,Tasks!$F:$F)=0),"",SUMIFS(Tasks!$F:$F,Tasks!$B:$B,B50,Tasks!$G:$G,"Done")/SUMIF(Tasks!$B:$B,B50,Tasks!$F:$F))</f>
        <v/>
      </c>
      <c r="H50" s="21" t="n"/>
      <c r="I50" s="20" t="n"/>
      <c r="J50" s="20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5.75" customHeight="1" s="18">
      <c r="A51" s="20" t="n"/>
      <c r="B51" s="20" t="n"/>
      <c r="C51" s="21" t="n"/>
      <c r="D51" s="21" t="n"/>
      <c r="E51" s="22" t="n"/>
      <c r="F51" s="22" t="n"/>
      <c r="G51" s="23">
        <f>IF(OR(B51="",SUMIF(Tasks!$B:$B,B51,Tasks!$F:$F)=0),"",SUMIFS(Tasks!$F:$F,Tasks!$B:$B,B51,Tasks!$G:$G,"Done")/SUMIF(Tasks!$B:$B,B51,Tasks!$F:$F))</f>
        <v/>
      </c>
      <c r="H51" s="21" t="n"/>
      <c r="I51" s="20" t="n"/>
      <c r="J51" s="20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20" t="n"/>
      <c r="B52" s="20" t="n"/>
      <c r="C52" s="21" t="n"/>
      <c r="D52" s="21" t="n"/>
      <c r="E52" s="22" t="n"/>
      <c r="F52" s="22" t="n"/>
      <c r="G52" s="23">
        <f>IF(OR(B52="",SUMIF(Tasks!$B:$B,B52,Tasks!$F:$F)=0),"",SUMIFS(Tasks!$F:$F,Tasks!$B:$B,B52,Tasks!$G:$G,"Done")/SUMIF(Tasks!$B:$B,B52,Tasks!$F:$F))</f>
        <v/>
      </c>
      <c r="H52" s="21" t="n"/>
      <c r="I52" s="20" t="n"/>
      <c r="J52" s="2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20" t="n"/>
      <c r="B53" s="20" t="n"/>
      <c r="C53" s="21" t="n"/>
      <c r="D53" s="21" t="n"/>
      <c r="E53" s="22" t="n"/>
      <c r="F53" s="22" t="n"/>
      <c r="G53" s="23">
        <f>IF(OR(B53="",SUMIF(Tasks!$B:$B,B53,Tasks!$F:$F)=0),"",SUMIFS(Tasks!$F:$F,Tasks!$B:$B,B53,Tasks!$G:$G,"Done")/SUMIF(Tasks!$B:$B,B53,Tasks!$F:$F))</f>
        <v/>
      </c>
      <c r="H53" s="21" t="n"/>
      <c r="I53" s="20" t="n"/>
      <c r="J53" s="2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20" t="n"/>
      <c r="B54" s="20" t="n"/>
      <c r="C54" s="21" t="n"/>
      <c r="D54" s="21" t="n"/>
      <c r="E54" s="22" t="n"/>
      <c r="F54" s="22" t="n"/>
      <c r="G54" s="23">
        <f>IF(OR(B54="",SUMIF(Tasks!$B:$B,B54,Tasks!$F:$F)=0),"",SUMIFS(Tasks!$F:$F,Tasks!$B:$B,B54,Tasks!$G:$G,"Done")/SUMIF(Tasks!$B:$B,B54,Tasks!$F:$F))</f>
        <v/>
      </c>
      <c r="H54" s="21" t="n"/>
      <c r="I54" s="20" t="n"/>
      <c r="J54" s="2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20" t="n"/>
      <c r="B55" s="20" t="n"/>
      <c r="C55" s="21" t="n"/>
      <c r="D55" s="21" t="n"/>
      <c r="E55" s="22" t="n"/>
      <c r="F55" s="22" t="n"/>
      <c r="G55" s="23">
        <f>IF(OR(B55="",SUMIF(Tasks!$B:$B,B55,Tasks!$F:$F)=0),"",SUMIFS(Tasks!$F:$F,Tasks!$B:$B,B55,Tasks!$G:$G,"Done")/SUMIF(Tasks!$B:$B,B55,Tasks!$F:$F))</f>
        <v/>
      </c>
      <c r="H55" s="21" t="n"/>
      <c r="I55" s="20" t="n"/>
      <c r="J55" s="20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20" t="n"/>
      <c r="B56" s="20" t="n"/>
      <c r="C56" s="21" t="n"/>
      <c r="D56" s="21" t="n"/>
      <c r="E56" s="22" t="n"/>
      <c r="F56" s="22" t="n"/>
      <c r="G56" s="23">
        <f>IF(OR(B56="",SUMIF(Tasks!$B:$B,B56,Tasks!$F:$F)=0),"",SUMIFS(Tasks!$F:$F,Tasks!$B:$B,B56,Tasks!$G:$G,"Done")/SUMIF(Tasks!$B:$B,B56,Tasks!$F:$F))</f>
        <v/>
      </c>
      <c r="H56" s="21" t="n"/>
      <c r="I56" s="20" t="n"/>
      <c r="J56" s="20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20" t="n"/>
      <c r="B57" s="20" t="n"/>
      <c r="C57" s="21" t="n"/>
      <c r="D57" s="21" t="n"/>
      <c r="E57" s="22" t="n"/>
      <c r="F57" s="22" t="n"/>
      <c r="G57" s="23">
        <f>IF(OR(B57="",SUMIF(Tasks!$B:$B,B57,Tasks!$F:$F)=0),"",SUMIFS(Tasks!$F:$F,Tasks!$B:$B,B57,Tasks!$G:$G,"Done")/SUMIF(Tasks!$B:$B,B57,Tasks!$F:$F))</f>
        <v/>
      </c>
      <c r="H57" s="21" t="n"/>
      <c r="I57" s="20" t="n"/>
      <c r="J57" s="20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20" t="n"/>
      <c r="B58" s="20" t="n"/>
      <c r="C58" s="21" t="n"/>
      <c r="D58" s="21" t="n"/>
      <c r="E58" s="22" t="n"/>
      <c r="F58" s="22" t="n"/>
      <c r="G58" s="23">
        <f>IF(OR(B58="",SUMIF(Tasks!$B:$B,B58,Tasks!$F:$F)=0),"",SUMIFS(Tasks!$F:$F,Tasks!$B:$B,B58,Tasks!$G:$G,"Done")/SUMIF(Tasks!$B:$B,B58,Tasks!$F:$F))</f>
        <v/>
      </c>
      <c r="H58" s="21" t="n"/>
      <c r="I58" s="20" t="n"/>
      <c r="J58" s="20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20" t="n"/>
      <c r="B59" s="20" t="n"/>
      <c r="C59" s="21" t="n"/>
      <c r="D59" s="21" t="n"/>
      <c r="E59" s="22" t="n"/>
      <c r="F59" s="22" t="n"/>
      <c r="G59" s="23">
        <f>IF(OR(B59="",SUMIF(Tasks!$B:$B,B59,Tasks!$F:$F)=0),"",SUMIFS(Tasks!$F:$F,Tasks!$B:$B,B59,Tasks!$G:$G,"Done")/SUMIF(Tasks!$B:$B,B59,Tasks!$F:$F))</f>
        <v/>
      </c>
      <c r="H59" s="21" t="n"/>
      <c r="I59" s="20" t="n"/>
      <c r="J59" s="20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20" t="n"/>
      <c r="B60" s="20" t="n"/>
      <c r="C60" s="21" t="n"/>
      <c r="D60" s="21" t="n"/>
      <c r="E60" s="22" t="n"/>
      <c r="F60" s="22" t="n"/>
      <c r="G60" s="23">
        <f>IF(OR(B60="",SUMIF(Tasks!$B:$B,B60,Tasks!$F:$F)=0),"",SUMIFS(Tasks!$F:$F,Tasks!$B:$B,B60,Tasks!$G:$G,"Done")/SUMIF(Tasks!$B:$B,B60,Tasks!$F:$F))</f>
        <v/>
      </c>
      <c r="H60" s="21" t="n"/>
      <c r="I60" s="20" t="n"/>
      <c r="J60" s="20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20" t="n"/>
      <c r="B61" s="20" t="n"/>
      <c r="C61" s="21" t="n"/>
      <c r="D61" s="21" t="n"/>
      <c r="E61" s="22" t="n"/>
      <c r="F61" s="22" t="n"/>
      <c r="G61" s="23">
        <f>IF(OR(B61="",SUMIF(Tasks!$B:$B,B61,Tasks!$F:$F)=0),"",SUMIFS(Tasks!$F:$F,Tasks!$B:$B,B61,Tasks!$G:$G,"Done")/SUMIF(Tasks!$B:$B,B61,Tasks!$F:$F))</f>
        <v/>
      </c>
      <c r="H61" s="21" t="n"/>
      <c r="I61" s="20" t="n"/>
      <c r="J61" s="20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20" t="n"/>
      <c r="B62" s="20" t="n"/>
      <c r="C62" s="21" t="n"/>
      <c r="D62" s="21" t="n"/>
      <c r="E62" s="22" t="n"/>
      <c r="F62" s="22" t="n"/>
      <c r="G62" s="23">
        <f>IF(OR(B62="",SUMIF(Tasks!$B:$B,B62,Tasks!$F:$F)=0),"",SUMIFS(Tasks!$F:$F,Tasks!$B:$B,B62,Tasks!$G:$G,"Done")/SUMIF(Tasks!$B:$B,B62,Tasks!$F:$F))</f>
        <v/>
      </c>
      <c r="H62" s="21" t="n"/>
      <c r="I62" s="20" t="n"/>
      <c r="J62" s="20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20" t="n"/>
      <c r="B63" s="20" t="n"/>
      <c r="C63" s="21" t="n"/>
      <c r="D63" s="21" t="n"/>
      <c r="E63" s="22" t="n"/>
      <c r="F63" s="22" t="n"/>
      <c r="G63" s="23">
        <f>IF(OR(B63="",SUMIF(Tasks!$B:$B,B63,Tasks!$F:$F)=0),"",SUMIFS(Tasks!$F:$F,Tasks!$B:$B,B63,Tasks!$G:$G,"Done")/SUMIF(Tasks!$B:$B,B63,Tasks!$F:$F))</f>
        <v/>
      </c>
      <c r="H63" s="21" t="n"/>
      <c r="I63" s="20" t="n"/>
      <c r="J63" s="20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20" t="n"/>
      <c r="B64" s="20" t="n"/>
      <c r="C64" s="21" t="n"/>
      <c r="D64" s="21" t="n"/>
      <c r="E64" s="22" t="n"/>
      <c r="F64" s="22" t="n"/>
      <c r="G64" s="23">
        <f>IF(OR(B64="",SUMIF(Tasks!$B:$B,B64,Tasks!$F:$F)=0),"",SUMIFS(Tasks!$F:$F,Tasks!$B:$B,B64,Tasks!$G:$G,"Done")/SUMIF(Tasks!$B:$B,B64,Tasks!$F:$F))</f>
        <v/>
      </c>
      <c r="H64" s="21" t="n"/>
      <c r="I64" s="20" t="n"/>
      <c r="J64" s="20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20" t="n"/>
      <c r="B65" s="20" t="n"/>
      <c r="C65" s="21" t="n"/>
      <c r="D65" s="21" t="n"/>
      <c r="E65" s="22" t="n"/>
      <c r="F65" s="22" t="n"/>
      <c r="G65" s="23">
        <f>IF(OR(B65="",SUMIF(Tasks!$B:$B,B65,Tasks!$F:$F)=0),"",SUMIFS(Tasks!$F:$F,Tasks!$B:$B,B65,Tasks!$G:$G,"Done")/SUMIF(Tasks!$B:$B,B65,Tasks!$F:$F))</f>
        <v/>
      </c>
      <c r="H65" s="21" t="n"/>
      <c r="I65" s="20" t="n"/>
      <c r="J65" s="20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20" t="n"/>
      <c r="B66" s="20" t="n"/>
      <c r="C66" s="21" t="n"/>
      <c r="D66" s="21" t="n"/>
      <c r="E66" s="22" t="n"/>
      <c r="F66" s="22" t="n"/>
      <c r="G66" s="23">
        <f>IF(OR(B66="",SUMIF(Tasks!$B:$B,B66,Tasks!$F:$F)=0),"",SUMIFS(Tasks!$F:$F,Tasks!$B:$B,B66,Tasks!$G:$G,"Done")/SUMIF(Tasks!$B:$B,B66,Tasks!$F:$F))</f>
        <v/>
      </c>
      <c r="H66" s="21" t="n"/>
      <c r="I66" s="20" t="n"/>
      <c r="J66" s="20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20" t="n"/>
      <c r="B67" s="20" t="n"/>
      <c r="C67" s="21" t="n"/>
      <c r="D67" s="21" t="n"/>
      <c r="E67" s="22" t="n"/>
      <c r="F67" s="22" t="n"/>
      <c r="G67" s="23">
        <f>IF(OR(B67="",SUMIF(Tasks!$B:$B,B67,Tasks!$F:$F)=0),"",SUMIFS(Tasks!$F:$F,Tasks!$B:$B,B67,Tasks!$G:$G,"Done")/SUMIF(Tasks!$B:$B,B67,Tasks!$F:$F))</f>
        <v/>
      </c>
      <c r="H67" s="21" t="n"/>
      <c r="I67" s="20" t="n"/>
      <c r="J67" s="20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20" t="n"/>
      <c r="B68" s="20" t="n"/>
      <c r="C68" s="21" t="n"/>
      <c r="D68" s="21" t="n"/>
      <c r="E68" s="22" t="n"/>
      <c r="F68" s="22" t="n"/>
      <c r="G68" s="23">
        <f>IF(OR(B68="",SUMIF(Tasks!$B:$B,B68,Tasks!$F:$F)=0),"",SUMIFS(Tasks!$F:$F,Tasks!$B:$B,B68,Tasks!$G:$G,"Done")/SUMIF(Tasks!$B:$B,B68,Tasks!$F:$F))</f>
        <v/>
      </c>
      <c r="H68" s="21" t="n"/>
      <c r="I68" s="20" t="n"/>
      <c r="J68" s="20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20" t="n"/>
      <c r="B69" s="20" t="n"/>
      <c r="C69" s="21" t="n"/>
      <c r="D69" s="21" t="n"/>
      <c r="E69" s="22" t="n"/>
      <c r="F69" s="22" t="n"/>
      <c r="G69" s="23">
        <f>IF(OR(B69="",SUMIF(Tasks!$B:$B,B69,Tasks!$F:$F)=0),"",SUMIFS(Tasks!$F:$F,Tasks!$B:$B,B69,Tasks!$G:$G,"Done")/SUMIF(Tasks!$B:$B,B69,Tasks!$F:$F))</f>
        <v/>
      </c>
      <c r="H69" s="21" t="n"/>
      <c r="I69" s="20" t="n"/>
      <c r="J69" s="20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20" t="n"/>
      <c r="B70" s="20" t="n"/>
      <c r="C70" s="21" t="n"/>
      <c r="D70" s="21" t="n"/>
      <c r="E70" s="22" t="n"/>
      <c r="F70" s="22" t="n"/>
      <c r="G70" s="23">
        <f>IF(OR(B70="",SUMIF(Tasks!$B:$B,B70,Tasks!$F:$F)=0),"",SUMIFS(Tasks!$F:$F,Tasks!$B:$B,B70,Tasks!$G:$G,"Done")/SUMIF(Tasks!$B:$B,B70,Tasks!$F:$F))</f>
        <v/>
      </c>
      <c r="H70" s="21" t="n"/>
      <c r="I70" s="20" t="n"/>
      <c r="J70" s="20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20" t="n"/>
      <c r="B71" s="20" t="n"/>
      <c r="C71" s="21" t="n"/>
      <c r="D71" s="21" t="n"/>
      <c r="E71" s="22" t="n"/>
      <c r="F71" s="22" t="n"/>
      <c r="G71" s="23">
        <f>IF(OR(B71="",SUMIF(Tasks!$B:$B,B71,Tasks!$F:$F)=0),"",SUMIFS(Tasks!$F:$F,Tasks!$B:$B,B71,Tasks!$G:$G,"Done")/SUMIF(Tasks!$B:$B,B71,Tasks!$F:$F))</f>
        <v/>
      </c>
      <c r="H71" s="21" t="n"/>
      <c r="I71" s="20" t="n"/>
      <c r="J71" s="20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20" t="n"/>
      <c r="B72" s="20" t="n"/>
      <c r="C72" s="21" t="n"/>
      <c r="D72" s="21" t="n"/>
      <c r="E72" s="22" t="n"/>
      <c r="F72" s="22" t="n"/>
      <c r="G72" s="23">
        <f>IF(OR(B72="",SUMIF(Tasks!$B:$B,B72,Tasks!$F:$F)=0),"",SUMIFS(Tasks!$F:$F,Tasks!$B:$B,B72,Tasks!$G:$G,"Done")/SUMIF(Tasks!$B:$B,B72,Tasks!$F:$F))</f>
        <v/>
      </c>
      <c r="H72" s="21" t="n"/>
      <c r="I72" s="20" t="n"/>
      <c r="J72" s="20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20" t="n"/>
      <c r="B73" s="20" t="n"/>
      <c r="C73" s="21" t="n"/>
      <c r="D73" s="21" t="n"/>
      <c r="E73" s="22" t="n"/>
      <c r="F73" s="22" t="n"/>
      <c r="G73" s="23">
        <f>IF(OR(B73="",SUMIF(Tasks!$B:$B,B73,Tasks!$F:$F)=0),"",SUMIFS(Tasks!$F:$F,Tasks!$B:$B,B73,Tasks!$G:$G,"Done")/SUMIF(Tasks!$B:$B,B73,Tasks!$F:$F))</f>
        <v/>
      </c>
      <c r="H73" s="21" t="n"/>
      <c r="I73" s="20" t="n"/>
      <c r="J73" s="20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20" t="n"/>
      <c r="B74" s="20" t="n"/>
      <c r="C74" s="21" t="n"/>
      <c r="D74" s="21" t="n"/>
      <c r="E74" s="22" t="n"/>
      <c r="F74" s="22" t="n"/>
      <c r="G74" s="23">
        <f>IF(OR(B74="",SUMIF(Tasks!$B:$B,B74,Tasks!$F:$F)=0),"",SUMIFS(Tasks!$F:$F,Tasks!$B:$B,B74,Tasks!$G:$G,"Done")/SUMIF(Tasks!$B:$B,B74,Tasks!$F:$F))</f>
        <v/>
      </c>
      <c r="H74" s="21" t="n"/>
      <c r="I74" s="20" t="n"/>
      <c r="J74" s="20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20" t="n"/>
      <c r="B75" s="20" t="n"/>
      <c r="C75" s="21" t="n"/>
      <c r="D75" s="21" t="n"/>
      <c r="E75" s="22" t="n"/>
      <c r="F75" s="22" t="n"/>
      <c r="G75" s="23">
        <f>IF(OR(B75="",SUMIF(Tasks!$B:$B,B75,Tasks!$F:$F)=0),"",SUMIFS(Tasks!$F:$F,Tasks!$B:$B,B75,Tasks!$G:$G,"Done")/SUMIF(Tasks!$B:$B,B75,Tasks!$F:$F))</f>
        <v/>
      </c>
      <c r="H75" s="21" t="n"/>
      <c r="I75" s="20" t="n"/>
      <c r="J75" s="20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20" t="n"/>
      <c r="B76" s="20" t="n"/>
      <c r="C76" s="21" t="n"/>
      <c r="D76" s="21" t="n"/>
      <c r="E76" s="22" t="n"/>
      <c r="F76" s="22" t="n"/>
      <c r="G76" s="23">
        <f>IF(OR(B76="",SUMIF(Tasks!$B:$B,B76,Tasks!$F:$F)=0),"",SUMIFS(Tasks!$F:$F,Tasks!$B:$B,B76,Tasks!$G:$G,"Done")/SUMIF(Tasks!$B:$B,B76,Tasks!$F:$F))</f>
        <v/>
      </c>
      <c r="H76" s="21" t="n"/>
      <c r="I76" s="20" t="n"/>
      <c r="J76" s="20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20" t="n"/>
      <c r="B77" s="20" t="n"/>
      <c r="C77" s="21" t="n"/>
      <c r="D77" s="21" t="n"/>
      <c r="E77" s="22" t="n"/>
      <c r="F77" s="22" t="n"/>
      <c r="G77" s="23">
        <f>IF(OR(B77="",SUMIF(Tasks!$B:$B,B77,Tasks!$F:$F)=0),"",SUMIFS(Tasks!$F:$F,Tasks!$B:$B,B77,Tasks!$G:$G,"Done")/SUMIF(Tasks!$B:$B,B77,Tasks!$F:$F))</f>
        <v/>
      </c>
      <c r="H77" s="21" t="n"/>
      <c r="I77" s="20" t="n"/>
      <c r="J77" s="20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20" t="n"/>
      <c r="B78" s="20" t="n"/>
      <c r="C78" s="21" t="n"/>
      <c r="D78" s="21" t="n"/>
      <c r="E78" s="22" t="n"/>
      <c r="F78" s="22" t="n"/>
      <c r="G78" s="23">
        <f>IF(OR(B78="",SUMIF(Tasks!$B:$B,B78,Tasks!$F:$F)=0),"",SUMIFS(Tasks!$F:$F,Tasks!$B:$B,B78,Tasks!$G:$G,"Done")/SUMIF(Tasks!$B:$B,B78,Tasks!$F:$F))</f>
        <v/>
      </c>
      <c r="H78" s="21" t="n"/>
      <c r="I78" s="20" t="n"/>
      <c r="J78" s="20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20" t="n"/>
      <c r="B79" s="20" t="n"/>
      <c r="C79" s="21" t="n"/>
      <c r="D79" s="21" t="n"/>
      <c r="E79" s="22" t="n"/>
      <c r="F79" s="22" t="n"/>
      <c r="G79" s="23">
        <f>IF(OR(B79="",SUMIF(Tasks!$B:$B,B79,Tasks!$F:$F)=0),"",SUMIFS(Tasks!$F:$F,Tasks!$B:$B,B79,Tasks!$G:$G,"Done")/SUMIF(Tasks!$B:$B,B79,Tasks!$F:$F))</f>
        <v/>
      </c>
      <c r="H79" s="21" t="n"/>
      <c r="I79" s="20" t="n"/>
      <c r="J79" s="20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20" t="n"/>
      <c r="B80" s="20" t="n"/>
      <c r="C80" s="21" t="n"/>
      <c r="D80" s="21" t="n"/>
      <c r="E80" s="22" t="n"/>
      <c r="F80" s="22" t="n"/>
      <c r="G80" s="23">
        <f>IF(OR(B80="",SUMIF(Tasks!$B:$B,B80,Tasks!$F:$F)=0),"",SUMIFS(Tasks!$F:$F,Tasks!$B:$B,B80,Tasks!$G:$G,"Done")/SUMIF(Tasks!$B:$B,B80,Tasks!$F:$F))</f>
        <v/>
      </c>
      <c r="H80" s="21" t="n"/>
      <c r="I80" s="20" t="n"/>
      <c r="J80" s="20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20" t="n"/>
      <c r="B81" s="20" t="n"/>
      <c r="C81" s="21" t="n"/>
      <c r="D81" s="21" t="n"/>
      <c r="E81" s="22" t="n"/>
      <c r="F81" s="22" t="n"/>
      <c r="G81" s="23">
        <f>IF(OR(B81="",SUMIF(Tasks!$B:$B,B81,Tasks!$F:$F)=0),"",SUMIFS(Tasks!$F:$F,Tasks!$B:$B,B81,Tasks!$G:$G,"Done")/SUMIF(Tasks!$B:$B,B81,Tasks!$F:$F))</f>
        <v/>
      </c>
      <c r="H81" s="21" t="n"/>
      <c r="I81" s="20" t="n"/>
      <c r="J81" s="20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20" t="n"/>
      <c r="B82" s="20" t="n"/>
      <c r="C82" s="21" t="n"/>
      <c r="D82" s="21" t="n"/>
      <c r="E82" s="22" t="n"/>
      <c r="F82" s="22" t="n"/>
      <c r="G82" s="23">
        <f>IF(OR(B82="",SUMIF(Tasks!$B:$B,B82,Tasks!$F:$F)=0),"",SUMIFS(Tasks!$F:$F,Tasks!$B:$B,B82,Tasks!$G:$G,"Done")/SUMIF(Tasks!$B:$B,B82,Tasks!$F:$F))</f>
        <v/>
      </c>
      <c r="H82" s="21" t="n"/>
      <c r="I82" s="20" t="n"/>
      <c r="J82" s="20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20" t="n"/>
      <c r="B83" s="20" t="n"/>
      <c r="C83" s="21" t="n"/>
      <c r="D83" s="21" t="n"/>
      <c r="E83" s="22" t="n"/>
      <c r="F83" s="22" t="n"/>
      <c r="G83" s="23">
        <f>IF(OR(B83="",SUMIF(Tasks!$B:$B,B83,Tasks!$F:$F)=0),"",SUMIFS(Tasks!$F:$F,Tasks!$B:$B,B83,Tasks!$G:$G,"Done")/SUMIF(Tasks!$B:$B,B83,Tasks!$F:$F))</f>
        <v/>
      </c>
      <c r="H83" s="21" t="n"/>
      <c r="I83" s="20" t="n"/>
      <c r="J83" s="20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20" t="n"/>
      <c r="B84" s="20" t="n"/>
      <c r="C84" s="21" t="n"/>
      <c r="D84" s="21" t="n"/>
      <c r="E84" s="22" t="n"/>
      <c r="F84" s="22" t="n"/>
      <c r="G84" s="23">
        <f>IF(OR(B84="",SUMIF(Tasks!$B:$B,B84,Tasks!$F:$F)=0),"",SUMIFS(Tasks!$F:$F,Tasks!$B:$B,B84,Tasks!$G:$G,"Done")/SUMIF(Tasks!$B:$B,B84,Tasks!$F:$F))</f>
        <v/>
      </c>
      <c r="H84" s="21" t="n"/>
      <c r="I84" s="20" t="n"/>
      <c r="J84" s="20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20" t="n"/>
      <c r="B85" s="20" t="n"/>
      <c r="C85" s="21" t="n"/>
      <c r="D85" s="21" t="n"/>
      <c r="E85" s="22" t="n"/>
      <c r="F85" s="22" t="n"/>
      <c r="G85" s="23">
        <f>IF(OR(B85="",SUMIF(Tasks!$B:$B,B85,Tasks!$F:$F)=0),"",SUMIFS(Tasks!$F:$F,Tasks!$B:$B,B85,Tasks!$G:$G,"Done")/SUMIF(Tasks!$B:$B,B85,Tasks!$F:$F))</f>
        <v/>
      </c>
      <c r="H85" s="21" t="n"/>
      <c r="I85" s="20" t="n"/>
      <c r="J85" s="20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20" t="n"/>
      <c r="B86" s="20" t="n"/>
      <c r="C86" s="21" t="n"/>
      <c r="D86" s="21" t="n"/>
      <c r="E86" s="22" t="n"/>
      <c r="F86" s="22" t="n"/>
      <c r="G86" s="23">
        <f>IF(OR(B86="",SUMIF(Tasks!$B:$B,B86,Tasks!$F:$F)=0),"",SUMIFS(Tasks!$F:$F,Tasks!$B:$B,B86,Tasks!$G:$G,"Done")/SUMIF(Tasks!$B:$B,B86,Tasks!$F:$F))</f>
        <v/>
      </c>
      <c r="H86" s="21" t="n"/>
      <c r="I86" s="20" t="n"/>
      <c r="J86" s="20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20" t="n"/>
      <c r="B87" s="20" t="n"/>
      <c r="C87" s="21" t="n"/>
      <c r="D87" s="21" t="n"/>
      <c r="E87" s="22" t="n"/>
      <c r="F87" s="22" t="n"/>
      <c r="G87" s="23">
        <f>IF(OR(B87="",SUMIF(Tasks!$B:$B,B87,Tasks!$F:$F)=0),"",SUMIFS(Tasks!$F:$F,Tasks!$B:$B,B87,Tasks!$G:$G,"Done")/SUMIF(Tasks!$B:$B,B87,Tasks!$F:$F))</f>
        <v/>
      </c>
      <c r="H87" s="21" t="n"/>
      <c r="I87" s="20" t="n"/>
      <c r="J87" s="20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20" t="n"/>
      <c r="B88" s="20" t="n"/>
      <c r="C88" s="21" t="n"/>
      <c r="D88" s="21" t="n"/>
      <c r="E88" s="22" t="n"/>
      <c r="F88" s="22" t="n"/>
      <c r="G88" s="23">
        <f>IF(OR(B88="",SUMIF(Tasks!$B:$B,B88,Tasks!$F:$F)=0),"",SUMIFS(Tasks!$F:$F,Tasks!$B:$B,B88,Tasks!$G:$G,"Done")/SUMIF(Tasks!$B:$B,B88,Tasks!$F:$F))</f>
        <v/>
      </c>
      <c r="H88" s="21" t="n"/>
      <c r="I88" s="20" t="n"/>
      <c r="J88" s="20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20" t="n"/>
      <c r="B89" s="20" t="n"/>
      <c r="C89" s="21" t="n"/>
      <c r="D89" s="21" t="n"/>
      <c r="E89" s="22" t="n"/>
      <c r="F89" s="22" t="n"/>
      <c r="G89" s="23">
        <f>IF(OR(B89="",SUMIF(Tasks!$B:$B,B89,Tasks!$F:$F)=0),"",SUMIFS(Tasks!$F:$F,Tasks!$B:$B,B89,Tasks!$G:$G,"Done")/SUMIF(Tasks!$B:$B,B89,Tasks!$F:$F))</f>
        <v/>
      </c>
      <c r="H89" s="21" t="n"/>
      <c r="I89" s="20" t="n"/>
      <c r="J89" s="20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20" t="n"/>
      <c r="B90" s="20" t="n"/>
      <c r="C90" s="21" t="n"/>
      <c r="D90" s="21" t="n"/>
      <c r="E90" s="22" t="n"/>
      <c r="F90" s="22" t="n"/>
      <c r="G90" s="23">
        <f>IF(OR(B90="",SUMIF(Tasks!$B:$B,B90,Tasks!$F:$F)=0),"",SUMIFS(Tasks!$F:$F,Tasks!$B:$B,B90,Tasks!$G:$G,"Done")/SUMIF(Tasks!$B:$B,B90,Tasks!$F:$F))</f>
        <v/>
      </c>
      <c r="H90" s="21" t="n"/>
      <c r="I90" s="20" t="n"/>
      <c r="J90" s="20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20" t="n"/>
      <c r="B91" s="20" t="n"/>
      <c r="C91" s="21" t="n"/>
      <c r="D91" s="21" t="n"/>
      <c r="E91" s="22" t="n"/>
      <c r="F91" s="22" t="n"/>
      <c r="G91" s="23">
        <f>IF(OR(B91="",SUMIF(Tasks!$B:$B,B91,Tasks!$F:$F)=0),"",SUMIFS(Tasks!$F:$F,Tasks!$B:$B,B91,Tasks!$G:$G,"Done")/SUMIF(Tasks!$B:$B,B91,Tasks!$F:$F))</f>
        <v/>
      </c>
      <c r="H91" s="21" t="n"/>
      <c r="I91" s="20" t="n"/>
      <c r="J91" s="20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20" t="n"/>
      <c r="B92" s="20" t="n"/>
      <c r="C92" s="21" t="n"/>
      <c r="D92" s="21" t="n"/>
      <c r="E92" s="22" t="n"/>
      <c r="F92" s="22" t="n"/>
      <c r="G92" s="23">
        <f>IF(OR(B92="",SUMIF(Tasks!$B:$B,B92,Tasks!$F:$F)=0),"",SUMIFS(Tasks!$F:$F,Tasks!$B:$B,B92,Tasks!$G:$G,"Done")/SUMIF(Tasks!$B:$B,B92,Tasks!$F:$F))</f>
        <v/>
      </c>
      <c r="H92" s="21" t="n"/>
      <c r="I92" s="20" t="n"/>
      <c r="J92" s="20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20" t="n"/>
      <c r="B93" s="20" t="n"/>
      <c r="C93" s="21" t="n"/>
      <c r="D93" s="21" t="n"/>
      <c r="E93" s="22" t="n"/>
      <c r="F93" s="22" t="n"/>
      <c r="G93" s="23">
        <f>IF(OR(B93="",SUMIF(Tasks!$B:$B,B93,Tasks!$F:$F)=0),"",SUMIFS(Tasks!$F:$F,Tasks!$B:$B,B93,Tasks!$G:$G,"Done")/SUMIF(Tasks!$B:$B,B93,Tasks!$F:$F))</f>
        <v/>
      </c>
      <c r="H93" s="21" t="n"/>
      <c r="I93" s="20" t="n"/>
      <c r="J93" s="20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20" t="n"/>
      <c r="B94" s="20" t="n"/>
      <c r="C94" s="21" t="n"/>
      <c r="D94" s="21" t="n"/>
      <c r="E94" s="22" t="n"/>
      <c r="F94" s="22" t="n"/>
      <c r="G94" s="23">
        <f>IF(OR(B94="",SUMIF(Tasks!$B:$B,B94,Tasks!$F:$F)=0),"",SUMIFS(Tasks!$F:$F,Tasks!$B:$B,B94,Tasks!$G:$G,"Done")/SUMIF(Tasks!$B:$B,B94,Tasks!$F:$F))</f>
        <v/>
      </c>
      <c r="H94" s="21" t="n"/>
      <c r="I94" s="20" t="n"/>
      <c r="J94" s="20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20" t="n"/>
      <c r="B95" s="20" t="n"/>
      <c r="C95" s="21" t="n"/>
      <c r="D95" s="21" t="n"/>
      <c r="E95" s="22" t="n"/>
      <c r="F95" s="22" t="n"/>
      <c r="G95" s="23">
        <f>IF(OR(B95="",SUMIF(Tasks!$B:$B,B95,Tasks!$F:$F)=0),"",SUMIFS(Tasks!$F:$F,Tasks!$B:$B,B95,Tasks!$G:$G,"Done")/SUMIF(Tasks!$B:$B,B95,Tasks!$F:$F))</f>
        <v/>
      </c>
      <c r="H95" s="21" t="n"/>
      <c r="I95" s="20" t="n"/>
      <c r="J95" s="20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20" t="n"/>
      <c r="B96" s="20" t="n"/>
      <c r="C96" s="21" t="n"/>
      <c r="D96" s="21" t="n"/>
      <c r="E96" s="22" t="n"/>
      <c r="F96" s="22" t="n"/>
      <c r="G96" s="23">
        <f>IF(OR(B96="",SUMIF(Tasks!$B:$B,B96,Tasks!$F:$F)=0),"",SUMIFS(Tasks!$F:$F,Tasks!$B:$B,B96,Tasks!$G:$G,"Done")/SUMIF(Tasks!$B:$B,B96,Tasks!$F:$F))</f>
        <v/>
      </c>
      <c r="H96" s="21" t="n"/>
      <c r="I96" s="20" t="n"/>
      <c r="J96" s="20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20" t="n"/>
      <c r="B97" s="20" t="n"/>
      <c r="C97" s="21" t="n"/>
      <c r="D97" s="21" t="n"/>
      <c r="E97" s="22" t="n"/>
      <c r="F97" s="22" t="n"/>
      <c r="G97" s="23">
        <f>IF(OR(B97="",SUMIF(Tasks!$B:$B,B97,Tasks!$F:$F)=0),"",SUMIFS(Tasks!$F:$F,Tasks!$B:$B,B97,Tasks!$G:$G,"Done")/SUMIF(Tasks!$B:$B,B97,Tasks!$F:$F))</f>
        <v/>
      </c>
      <c r="H97" s="21" t="n"/>
      <c r="I97" s="20" t="n"/>
      <c r="J97" s="20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20" t="n"/>
      <c r="B98" s="20" t="n"/>
      <c r="C98" s="21" t="n"/>
      <c r="D98" s="21" t="n"/>
      <c r="E98" s="22" t="n"/>
      <c r="F98" s="22" t="n"/>
      <c r="G98" s="23">
        <f>IF(OR(B98="",SUMIF(Tasks!$B:$B,B98,Tasks!$F:$F)=0),"",SUMIFS(Tasks!$F:$F,Tasks!$B:$B,B98,Tasks!$G:$G,"Done")/SUMIF(Tasks!$B:$B,B98,Tasks!$F:$F))</f>
        <v/>
      </c>
      <c r="H98" s="21" t="n"/>
      <c r="I98" s="20" t="n"/>
      <c r="J98" s="20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20" t="n"/>
      <c r="B99" s="20" t="n"/>
      <c r="C99" s="21" t="n"/>
      <c r="D99" s="21" t="n"/>
      <c r="E99" s="22" t="n"/>
      <c r="F99" s="22" t="n"/>
      <c r="G99" s="23">
        <f>IF(OR(B99="",SUMIF(Tasks!$B:$B,B99,Tasks!$F:$F)=0),"",SUMIFS(Tasks!$F:$F,Tasks!$B:$B,B99,Tasks!$G:$G,"Done")/SUMIF(Tasks!$B:$B,B99,Tasks!$F:$F))</f>
        <v/>
      </c>
      <c r="H99" s="21" t="n"/>
      <c r="I99" s="20" t="n"/>
      <c r="J99" s="20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20" t="n"/>
      <c r="B100" s="20" t="n"/>
      <c r="C100" s="21" t="n"/>
      <c r="D100" s="21" t="n"/>
      <c r="E100" s="22" t="n"/>
      <c r="F100" s="22" t="n"/>
      <c r="G100" s="23">
        <f>IF(OR(B100="",SUMIF(Tasks!$B:$B,B100,Tasks!$F:$F)=0),"",SUMIFS(Tasks!$F:$F,Tasks!$B:$B,B100,Tasks!$G:$G,"Done")/SUMIF(Tasks!$B:$B,B100,Tasks!$F:$F))</f>
        <v/>
      </c>
      <c r="H100" s="21" t="n"/>
      <c r="I100" s="20" t="n"/>
      <c r="J100" s="20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3" t="n"/>
      <c r="B101" s="9" t="n"/>
      <c r="C101" s="9" t="n"/>
      <c r="D101" s="9" t="n"/>
      <c r="E101" s="9" t="n"/>
      <c r="F101" s="9" t="n"/>
      <c r="G101" s="4">
        <f>IF(OR(B101="",SUMIF(Tasks!$B:$B,B101,Tasks!$F:$F)=0),"",SUMIFS(Tasks!$F:$F,Tasks!$B:$B,B101,Tasks!$G:$G,"Done")/SUMIF(Tasks!$B:$B,B101,Tasks!$F:$F))</f>
        <v/>
      </c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3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3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3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3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3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3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3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3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3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3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3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3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3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3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3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3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3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3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3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3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3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3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3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3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3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3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3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3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3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3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3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3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3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3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3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3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3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3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3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3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3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3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3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3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3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3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3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3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3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3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3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3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3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3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3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3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3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3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3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3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3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3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3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3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3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3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3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3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3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3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3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3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3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3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3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3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3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3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3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3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3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3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3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3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3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3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3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3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3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3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3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3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3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3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3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3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3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3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3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3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3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3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3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3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3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3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3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3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3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3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3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3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3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3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3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3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3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3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3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3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3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3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3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3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3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3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3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3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3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3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3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3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3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3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3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3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3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3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3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3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3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3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3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3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3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3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3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3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3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3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3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3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3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3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3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3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3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3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3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3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3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3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3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3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3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3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3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3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3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3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3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3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3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3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3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3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3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3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3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3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3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3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3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3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3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3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3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3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3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3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3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3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3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3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3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3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3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3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3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3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J100"/>
  <conditionalFormatting sqref="I2:I100">
    <cfRule type="cellIs" priority="1" operator="equal" dxfId="9">
      <formula>"High"</formula>
    </cfRule>
    <cfRule type="cellIs" priority="2" operator="equal" dxfId="10">
      <formula>"Medium"</formula>
    </cfRule>
    <cfRule type="cellIs" priority="3" operator="equal" dxfId="11">
      <formula>"Low"</formula>
    </cfRule>
  </conditionalFormatting>
  <conditionalFormatting sqref="J2:J100">
    <cfRule type="cellIs" priority="4" operator="equal" dxfId="11">
      <formula>"Active"</formula>
    </cfRule>
    <cfRule type="cellIs" priority="5" operator="equal" dxfId="10">
      <formula>"On Hold"</formula>
    </cfRule>
    <cfRule type="cellIs" priority="6" operator="equal" dxfId="12">
      <formula>"Completed"</formula>
    </cfRule>
    <cfRule type="cellIs" priority="7" operator="equal" dxfId="13">
      <formula>"Cancelled"</formula>
    </cfRule>
  </conditionalFormatting>
  <dataValidations count="2">
    <dataValidation sqref="I2:I100" showDropDown="0" showInputMessage="0" showErrorMessage="0" allowBlank="1" type="list">
      <formula1>"High,Medium,Low"</formula1>
    </dataValidation>
    <dataValidation sqref="J2:J100" showDropDown="0" showInputMessage="0" showErrorMessage="0" allowBlank="1" type="list">
      <formula1>"Active,On Hold,Completed,Cancelled"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18" min="1" max="1"/>
    <col width="13" customWidth="1" style="18" min="2" max="2"/>
    <col width="55.57" customWidth="1" style="18" min="3" max="3"/>
    <col width="73" customWidth="1" style="18" min="4" max="4"/>
    <col width="13.43" customWidth="1" style="18" min="5" max="5"/>
    <col width="10.86" customWidth="1" style="18" min="6" max="6"/>
    <col width="13" customWidth="1" style="18" min="7" max="7"/>
    <col width="14.71" customWidth="1" style="18" min="8" max="8"/>
    <col width="19" customWidth="1" style="18" min="9" max="9"/>
    <col width="86.56999999999999" customWidth="1" style="18" min="10" max="10"/>
    <col width="12" customWidth="1" style="18" min="11" max="11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Task Name</t>
        </is>
      </c>
      <c r="E1" s="19" t="inlineStr">
        <is>
          <t>Assignee</t>
        </is>
      </c>
      <c r="F1" s="19" t="inlineStr">
        <is>
          <t>Weight</t>
        </is>
      </c>
      <c r="G1" s="19" t="inlineStr">
        <is>
          <t>Status</t>
        </is>
      </c>
      <c r="H1" s="19" t="inlineStr">
        <is>
          <t>Start Date</t>
        </is>
      </c>
      <c r="I1" s="19" t="inlineStr">
        <is>
          <t>Deadline</t>
        </is>
      </c>
      <c r="J1" s="19" t="inlineStr">
        <is>
          <t>Notes</t>
        </is>
      </c>
      <c r="K1" s="19" t="inlineStr">
        <is>
          <t>Priority</t>
        </is>
      </c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>
      <c r="A2" s="20">
        <f>IF(AND(B2="",C2=""),"",ROW()-1)</f>
        <v/>
      </c>
      <c r="B2" s="20" t="inlineStr">
        <is>
          <t>BATERY00</t>
        </is>
      </c>
      <c r="C2" s="21">
        <f>IF(B2="","",VLOOKUP(B2,Projects!$B:$C,2,FALSE()))</f>
        <v/>
      </c>
      <c r="D2" s="21" t="inlineStr">
        <is>
          <t>Hợp tác làm mẫu pin với viện pin</t>
        </is>
      </c>
      <c r="E2" s="20" t="inlineStr">
        <is>
          <t>kienlt44</t>
        </is>
      </c>
      <c r="F2" s="20" t="n">
        <v>5</v>
      </c>
      <c r="G2" s="20" t="inlineStr">
        <is>
          <t>Doing</t>
        </is>
      </c>
      <c r="H2" s="22" t="n"/>
      <c r="I2" s="22" t="n"/>
      <c r="J2" s="21" t="n"/>
      <c r="K2" s="20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>
      <c r="A3" s="20">
        <f>IF(AND(B3="",C3=""),"",ROW()-1)</f>
        <v/>
      </c>
      <c r="B3" s="20" t="inlineStr">
        <is>
          <t>HOTSW00</t>
        </is>
      </c>
      <c r="C3" s="21">
        <f>IF(B3="","",VLOOKUP(B3,Projects!$B:$C,2,FALSE()))</f>
        <v/>
      </c>
      <c r="D3" s="21" t="inlineStr">
        <is>
          <t>Thiết kế nguyên lý  cho mạch Hot Swap</t>
        </is>
      </c>
      <c r="E3" s="20" t="inlineStr">
        <is>
          <t>kienlt44</t>
        </is>
      </c>
      <c r="F3" s="20" t="n">
        <v>5</v>
      </c>
      <c r="G3" s="20" t="inlineStr">
        <is>
          <t>Doing</t>
        </is>
      </c>
      <c r="H3" s="22" t="n"/>
      <c r="I3" s="22" t="n"/>
      <c r="J3" s="21" t="n"/>
      <c r="K3" s="20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>
      <c r="A4" s="20">
        <f>IF(AND(B4="",C4=""),"",ROW()-1)</f>
        <v/>
      </c>
      <c r="B4" s="20" t="inlineStr">
        <is>
          <t>HOTSW00</t>
        </is>
      </c>
      <c r="C4" s="21">
        <f>IF(B4="","",VLOOKUP(B4,Projects!$B:$C,2,FALSE()))</f>
        <v/>
      </c>
      <c r="D4" s="21" t="inlineStr">
        <is>
          <t>Thiết kế Layout cho mạch Hot Swap</t>
        </is>
      </c>
      <c r="E4" s="20" t="inlineStr">
        <is>
          <t>kienlt44</t>
        </is>
      </c>
      <c r="F4" s="20" t="n">
        <v>5</v>
      </c>
      <c r="G4" s="20" t="inlineStr">
        <is>
          <t>Doing</t>
        </is>
      </c>
      <c r="H4" s="22" t="n"/>
      <c r="I4" s="22" t="n"/>
      <c r="J4" s="21" t="n"/>
      <c r="K4" s="20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>
      <c r="A5" s="20">
        <f>IF(AND(B5="",C5=""),"",ROW()-1)</f>
        <v/>
      </c>
      <c r="B5" s="20" t="inlineStr">
        <is>
          <t>HOTSW00</t>
        </is>
      </c>
      <c r="C5" s="21">
        <f>IF(B5="","",VLOOKUP(B5,Projects!$B:$C,2,FALSE()))</f>
        <v/>
      </c>
      <c r="D5" s="21" t="inlineStr">
        <is>
          <t>Lập trình firmware cho mạch Hot Swap</t>
        </is>
      </c>
      <c r="E5" s="20" t="inlineStr">
        <is>
          <t>hienpn2</t>
        </is>
      </c>
      <c r="F5" s="20" t="n">
        <v>5</v>
      </c>
      <c r="G5" s="20" t="inlineStr">
        <is>
          <t>Open</t>
        </is>
      </c>
      <c r="H5" s="22" t="n"/>
      <c r="I5" s="22" t="n"/>
      <c r="J5" s="21" t="n"/>
      <c r="K5" s="20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>
      <c r="A6" s="20">
        <f>IF(AND(B6="",C6=""),"",ROW()-1)</f>
        <v/>
      </c>
      <c r="B6" s="20" t="inlineStr">
        <is>
          <t>EMBPC00</t>
        </is>
      </c>
      <c r="C6" s="21">
        <f>IF(B6="","",VLOOKUP(B6,Projects!$B:$C,2,FALSE()))</f>
        <v/>
      </c>
      <c r="D6" s="21" t="inlineStr">
        <is>
          <t>Hợp tác với đối tác ADC của QC thiết kế máy tính nhúng</t>
        </is>
      </c>
      <c r="E6" s="20" t="inlineStr">
        <is>
          <t>phudh2</t>
        </is>
      </c>
      <c r="F6" s="20" t="n">
        <v>5</v>
      </c>
      <c r="G6" s="20" t="inlineStr">
        <is>
          <t>Pending</t>
        </is>
      </c>
      <c r="H6" s="22" t="n"/>
      <c r="I6" s="22" t="n"/>
      <c r="J6" s="21" t="n"/>
      <c r="K6" s="20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>
      <c r="A7" s="20">
        <f>IF(AND(B7="",C7=""),"",ROW()-1)</f>
        <v/>
      </c>
      <c r="B7" s="20" t="inlineStr">
        <is>
          <t>EMBPC00</t>
        </is>
      </c>
      <c r="C7" s="21">
        <f>IF(B7="","",VLOOKUP(B7,Projects!$B:$C,2,FALSE()))</f>
        <v/>
      </c>
      <c r="D7" s="21" t="inlineStr">
        <is>
          <t>Hoàn thành thiết kế schematic và PCB layout</t>
        </is>
      </c>
      <c r="E7" s="20" t="inlineStr">
        <is>
          <t>phudh2</t>
        </is>
      </c>
      <c r="F7" s="20" t="n">
        <v>5</v>
      </c>
      <c r="G7" s="20" t="inlineStr">
        <is>
          <t>Doing</t>
        </is>
      </c>
      <c r="H7" s="22" t="n"/>
      <c r="I7" s="22" t="n"/>
      <c r="J7" s="21" t="n"/>
      <c r="K7" s="20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>
      <c r="A8" s="20">
        <f>IF(AND(B8="",C8=""),"",ROW()-1)</f>
        <v/>
      </c>
      <c r="B8" s="20" t="inlineStr">
        <is>
          <t>EMBPC00</t>
        </is>
      </c>
      <c r="C8" s="21">
        <f>IF(B8="","",VLOOKUP(B8,Projects!$B:$C,2,FALSE()))</f>
        <v/>
      </c>
      <c r="D8" s="21" t="inlineStr">
        <is>
          <t>Làm việc với đối tác EMS( Meiko) để sản xuất PCBA</t>
        </is>
      </c>
      <c r="E8" s="20" t="inlineStr">
        <is>
          <t>phudh2</t>
        </is>
      </c>
      <c r="F8" s="20" t="n">
        <v>5</v>
      </c>
      <c r="G8" s="20" t="inlineStr">
        <is>
          <t>Doing</t>
        </is>
      </c>
      <c r="H8" s="22" t="n"/>
      <c r="I8" s="22" t="n"/>
      <c r="J8" s="21" t="n"/>
      <c r="K8" s="20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>
      <c r="A9" s="20">
        <f>IF(AND(B9="",C9=""),"",ROW()-1)</f>
        <v/>
      </c>
      <c r="B9" s="20" t="inlineStr">
        <is>
          <t>PDU00</t>
        </is>
      </c>
      <c r="C9" s="21">
        <f>IF(B9="","",VLOOKUP(B9,Projects!$B:$C,2,FALSE()))</f>
        <v/>
      </c>
      <c r="D9" s="21" t="inlineStr">
        <is>
          <t>Hoàn thành thiết kế schematic và PCB layout, SOR, FCT test</t>
        </is>
      </c>
      <c r="E9" s="20" t="inlineStr">
        <is>
          <t>kienlt44</t>
        </is>
      </c>
      <c r="F9" s="20" t="n">
        <v>5</v>
      </c>
      <c r="G9" s="20" t="inlineStr">
        <is>
          <t>Done</t>
        </is>
      </c>
      <c r="H9" s="22" t="n"/>
      <c r="I9" s="22" t="n"/>
      <c r="J9" s="21" t="n"/>
      <c r="K9" s="20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>
      <c r="A10" s="20">
        <f>IF(AND(B10="",C10=""),"",ROW()-1)</f>
        <v/>
      </c>
      <c r="B10" s="20" t="inlineStr">
        <is>
          <t>PDU00</t>
        </is>
      </c>
      <c r="C10" s="21">
        <f>IF(B10="","",VLOOKUP(B10,Projects!$B:$C,2,FALSE()))</f>
        <v/>
      </c>
      <c r="D10" s="21" t="inlineStr">
        <is>
          <t>Upload dữ liệu lên server</t>
        </is>
      </c>
      <c r="E10" s="20" t="inlineStr">
        <is>
          <t>kienlt44</t>
        </is>
      </c>
      <c r="F10" s="20" t="n">
        <v>1</v>
      </c>
      <c r="G10" s="20" t="inlineStr">
        <is>
          <t>Done</t>
        </is>
      </c>
      <c r="H10" s="22" t="n"/>
      <c r="I10" s="22" t="n"/>
      <c r="J10" s="21" t="n"/>
      <c r="K10" s="20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>
      <c r="A11" s="20">
        <f>IF(AND(B11="",C11=""),"",ROW()-1)</f>
        <v/>
      </c>
      <c r="B11" s="20" t="inlineStr">
        <is>
          <t>PDU00</t>
        </is>
      </c>
      <c r="C11" s="21">
        <f>IF(B11="","",VLOOKUP(B11,Projects!$B:$C,2,FALSE()))</f>
        <v/>
      </c>
      <c r="D11" s="21" t="inlineStr">
        <is>
          <t>Bàn giao dữ liệu cho Kiên</t>
        </is>
      </c>
      <c r="E11" s="20" t="inlineStr">
        <is>
          <t>kienlt44</t>
        </is>
      </c>
      <c r="F11" s="20" t="n">
        <v>1</v>
      </c>
      <c r="G11" s="20" t="inlineStr">
        <is>
          <t>Done</t>
        </is>
      </c>
      <c r="H11" s="22" t="n"/>
      <c r="I11" s="22" t="n"/>
      <c r="J11" s="21" t="n"/>
      <c r="K11" s="20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>
      <c r="A12" s="20">
        <f>IF(AND(B12="",C12=""),"",ROW()-1)</f>
        <v/>
      </c>
      <c r="B12" s="20" t="inlineStr">
        <is>
          <t>PDU00</t>
        </is>
      </c>
      <c r="C12" s="21">
        <f>IF(B12="","",VLOOKUP(B12,Projects!$B:$C,2,FALSE()))</f>
        <v/>
      </c>
      <c r="D12" s="21" t="inlineStr">
        <is>
          <t>Làm việc với đối tác để sản xuất PCBA</t>
        </is>
      </c>
      <c r="E12" s="20" t="inlineStr">
        <is>
          <t>kienlt44</t>
        </is>
      </c>
      <c r="F12" s="20" t="n">
        <v>5</v>
      </c>
      <c r="G12" s="20" t="inlineStr">
        <is>
          <t>Doing</t>
        </is>
      </c>
      <c r="H12" s="22" t="n"/>
      <c r="I12" s="22" t="n"/>
      <c r="J12" s="21" t="n"/>
      <c r="K12" s="20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>
      <c r="A13" s="20">
        <f>IF(AND(B13="",C13=""),"",ROW()-1)</f>
        <v/>
      </c>
      <c r="B13" s="20" t="inlineStr">
        <is>
          <t>LLB00</t>
        </is>
      </c>
      <c r="C13" s="21">
        <f>IF(B13="","",VLOOKUP(B13,Projects!$B:$C,2,FALSE()))</f>
        <v/>
      </c>
      <c r="D13" s="21" t="inlineStr">
        <is>
          <t>Hoàn thành thiết kế schematic và PCB layout, SOR, FCT test</t>
        </is>
      </c>
      <c r="E13" s="20" t="inlineStr">
        <is>
          <t>phudh2</t>
        </is>
      </c>
      <c r="F13" s="20" t="n">
        <v>5</v>
      </c>
      <c r="G13" s="20" t="inlineStr">
        <is>
          <t>Done</t>
        </is>
      </c>
      <c r="H13" s="22" t="n"/>
      <c r="I13" s="22" t="n"/>
      <c r="J13" s="21" t="n"/>
      <c r="K13" s="20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>
      <c r="A14" s="20">
        <f>IF(AND(B14="",C14=""),"",ROW()-1)</f>
        <v/>
      </c>
      <c r="B14" s="20" t="inlineStr">
        <is>
          <t>LLB00</t>
        </is>
      </c>
      <c r="C14" s="21">
        <f>IF(B14="","",VLOOKUP(B14,Projects!$B:$C,2,FALSE()))</f>
        <v/>
      </c>
      <c r="D14" s="21" t="inlineStr">
        <is>
          <t>Upload dữ liệu lên server</t>
        </is>
      </c>
      <c r="E14" s="20" t="inlineStr">
        <is>
          <t>phudh2</t>
        </is>
      </c>
      <c r="F14" s="20" t="n">
        <v>1</v>
      </c>
      <c r="G14" s="20" t="inlineStr">
        <is>
          <t>Done</t>
        </is>
      </c>
      <c r="H14" s="22" t="n"/>
      <c r="I14" s="22" t="n"/>
      <c r="J14" s="21" t="n"/>
      <c r="K14" s="20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s="20">
        <f>IF(AND(B15="",C15=""),"",ROW()-1)</f>
        <v/>
      </c>
      <c r="B15" s="20" t="inlineStr">
        <is>
          <t>LLB00</t>
        </is>
      </c>
      <c r="C15" s="21">
        <f>IF(B15="","",VLOOKUP(B15,Projects!$B:$C,2,FALSE()))</f>
        <v/>
      </c>
      <c r="D15" s="21" t="inlineStr">
        <is>
          <t>Bàn giao dữ liệu cho Phú</t>
        </is>
      </c>
      <c r="E15" s="20" t="inlineStr">
        <is>
          <t>phudh2</t>
        </is>
      </c>
      <c r="F15" s="20" t="n">
        <v>1</v>
      </c>
      <c r="G15" s="20" t="inlineStr">
        <is>
          <t>Done</t>
        </is>
      </c>
      <c r="H15" s="22" t="n"/>
      <c r="I15" s="22" t="n"/>
      <c r="J15" s="21" t="n"/>
      <c r="K15" s="20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>
      <c r="A16" s="20">
        <f>IF(AND(B16="",C16=""),"",ROW()-1)</f>
        <v/>
      </c>
      <c r="B16" s="20" t="inlineStr">
        <is>
          <t>LLB00</t>
        </is>
      </c>
      <c r="C16" s="21">
        <f>IF(B16="","",VLOOKUP(B16,Projects!$B:$C,2,FALSE()))</f>
        <v/>
      </c>
      <c r="D16" s="21" t="inlineStr">
        <is>
          <t>Làm việc với đối tác để sản xuất PCBA</t>
        </is>
      </c>
      <c r="E16" s="20" t="inlineStr">
        <is>
          <t>phudh2</t>
        </is>
      </c>
      <c r="F16" s="20" t="n">
        <v>5</v>
      </c>
      <c r="G16" s="20" t="inlineStr">
        <is>
          <t>Doing</t>
        </is>
      </c>
      <c r="H16" s="22" t="n"/>
      <c r="I16" s="22" t="n"/>
      <c r="J16" s="21" t="n"/>
      <c r="K16" s="20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>
      <c r="A17" s="20">
        <f>IF(AND(B17="",C17=""),"",ROW()-1)</f>
        <v/>
      </c>
      <c r="B17" s="20" t="inlineStr">
        <is>
          <t>HUB00</t>
        </is>
      </c>
      <c r="C17" s="21">
        <f>IF(B17="","",VLOOKUP(B17,Projects!$B:$C,2,FALSE()))</f>
        <v/>
      </c>
      <c r="D17" s="21" t="inlineStr">
        <is>
          <t>Hoàn thành thiết kế schematic và layout PCB</t>
        </is>
      </c>
      <c r="E17" s="20" t="inlineStr">
        <is>
          <t>phudh2</t>
        </is>
      </c>
      <c r="F17" s="20" t="n">
        <v>5</v>
      </c>
      <c r="G17" s="20" t="inlineStr">
        <is>
          <t>Doing</t>
        </is>
      </c>
      <c r="H17" s="22" t="n"/>
      <c r="I17" s="22" t="n"/>
      <c r="J17" s="21" t="n"/>
      <c r="K17" s="20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>
      <c r="A18" s="20">
        <f>IF(AND(B18="",C18=""),"",ROW()-1)</f>
        <v/>
      </c>
      <c r="B18" s="20" t="inlineStr">
        <is>
          <t>HUB00</t>
        </is>
      </c>
      <c r="C18" s="21">
        <f>IF(B18="","",VLOOKUP(B18,Projects!$B:$C,2,FALSE()))</f>
        <v/>
      </c>
      <c r="D18" s="21" t="inlineStr">
        <is>
          <t>Xuất BOM, dữ liệu làm PCBA, SOR, FCT test</t>
        </is>
      </c>
      <c r="E18" s="20" t="inlineStr">
        <is>
          <t>phudh2</t>
        </is>
      </c>
      <c r="F18" s="20" t="n">
        <v>5</v>
      </c>
      <c r="G18" s="20" t="inlineStr">
        <is>
          <t>Doing</t>
        </is>
      </c>
      <c r="H18" s="22" t="n"/>
      <c r="I18" s="22" t="n"/>
      <c r="J18" s="21" t="n"/>
      <c r="K18" s="20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>
      <c r="A19" s="20">
        <f>IF(AND(B19="",C19=""),"",ROW()-1)</f>
        <v/>
      </c>
      <c r="B19" s="20" t="inlineStr">
        <is>
          <t>HUB00</t>
        </is>
      </c>
      <c r="C19" s="21">
        <f>IF(B19="","",VLOOKUP(B19,Projects!$B:$C,2,FALSE()))</f>
        <v/>
      </c>
      <c r="D19" s="21" t="inlineStr">
        <is>
          <t>Làm việc với đối tác để sản xuất PCBA</t>
        </is>
      </c>
      <c r="E19" s="20" t="inlineStr">
        <is>
          <t>phudh2</t>
        </is>
      </c>
      <c r="F19" s="20" t="n">
        <v>5</v>
      </c>
      <c r="G19" s="20" t="inlineStr">
        <is>
          <t>Doing</t>
        </is>
      </c>
      <c r="H19" s="22" t="n"/>
      <c r="I19" s="22" t="n"/>
      <c r="J19" s="21" t="n"/>
      <c r="K19" s="20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>
      <c r="A20" s="20">
        <f>IF(AND(B20="",C20=""),"",ROW()-1)</f>
        <v/>
      </c>
      <c r="B20" s="20" t="inlineStr">
        <is>
          <t>WHR00</t>
        </is>
      </c>
      <c r="C20" s="21">
        <f>IF(B20="","",VLOOKUP(B20,Projects!$B:$C,2,FALSE()))</f>
        <v/>
      </c>
      <c r="D20" s="21" t="inlineStr">
        <is>
          <t>Tìm và làm việc với đối tác sản xuất dây cáp điện cho Robot</t>
        </is>
      </c>
      <c r="E20" s="20" t="inlineStr">
        <is>
          <t>anhlt25</t>
        </is>
      </c>
      <c r="F20" s="20" t="n">
        <v>10</v>
      </c>
      <c r="G20" s="20" t="inlineStr">
        <is>
          <t>Doing</t>
        </is>
      </c>
      <c r="H20" s="22" t="n"/>
      <c r="I20" s="22" t="n"/>
      <c r="J20" s="21" t="n"/>
      <c r="K20" s="20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5.75" customHeight="1" s="18">
      <c r="A21" s="20">
        <f>IF(AND(B21="",C21=""),"",ROW()-1)</f>
        <v/>
      </c>
      <c r="B21" s="20" t="n"/>
      <c r="C21" s="21">
        <f>IF(B21="","",VLOOKUP(B21,Projects!$B:$C,2,FALSE()))</f>
        <v/>
      </c>
      <c r="D21" s="21" t="n"/>
      <c r="E21" s="20" t="n"/>
      <c r="F21" s="20" t="n"/>
      <c r="G21" s="20" t="n"/>
      <c r="H21" s="22" t="n"/>
      <c r="I21" s="22" t="n"/>
      <c r="J21" s="21" t="n"/>
      <c r="K21" s="20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5.75" customHeight="1" s="18">
      <c r="A22" s="20">
        <f>IF(AND(B22="",C22=""),"",ROW()-1)</f>
        <v/>
      </c>
      <c r="B22" s="20" t="n"/>
      <c r="C22" s="21">
        <f>IF(B22="","",VLOOKUP(B22,Projects!$B:$C,2,FALSE()))</f>
        <v/>
      </c>
      <c r="D22" s="21" t="n"/>
      <c r="E22" s="20" t="n"/>
      <c r="F22" s="20" t="n"/>
      <c r="G22" s="20" t="n"/>
      <c r="H22" s="22" t="n"/>
      <c r="I22" s="22" t="n"/>
      <c r="J22" s="21" t="n"/>
      <c r="K22" s="20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5.75" customHeight="1" s="18">
      <c r="A23" s="20">
        <f>IF(AND(B23="",C23=""),"",ROW()-1)</f>
        <v/>
      </c>
      <c r="B23" s="20" t="n"/>
      <c r="C23" s="21">
        <f>IF(B23="","",VLOOKUP(B23,Projects!$B:$C,2,FALSE()))</f>
        <v/>
      </c>
      <c r="D23" s="21" t="n"/>
      <c r="E23" s="20" t="n"/>
      <c r="F23" s="20" t="n"/>
      <c r="G23" s="20" t="n"/>
      <c r="H23" s="22" t="n"/>
      <c r="I23" s="22" t="n"/>
      <c r="J23" s="21" t="n"/>
      <c r="K23" s="20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5.75" customHeight="1" s="18">
      <c r="A24" s="20">
        <f>IF(AND(B24="",C24=""),"",ROW()-1)</f>
        <v/>
      </c>
      <c r="B24" s="20" t="n"/>
      <c r="C24" s="21">
        <f>IF(B24="","",VLOOKUP(B24,Projects!$B:$C,2,FALSE()))</f>
        <v/>
      </c>
      <c r="D24" s="21" t="n"/>
      <c r="E24" s="20" t="n"/>
      <c r="F24" s="20" t="n"/>
      <c r="G24" s="20" t="n"/>
      <c r="H24" s="22" t="n"/>
      <c r="I24" s="22" t="n"/>
      <c r="J24" s="21" t="n"/>
      <c r="K24" s="20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5.75" customHeight="1" s="18">
      <c r="A25" s="20">
        <f>IF(AND(B25="",C25=""),"",ROW()-1)</f>
        <v/>
      </c>
      <c r="B25" s="20" t="n"/>
      <c r="C25" s="21">
        <f>IF(B25="","",VLOOKUP(B25,Projects!$B:$C,2,FALSE()))</f>
        <v/>
      </c>
      <c r="D25" s="21" t="n"/>
      <c r="E25" s="20" t="n"/>
      <c r="F25" s="20" t="n"/>
      <c r="G25" s="20" t="n"/>
      <c r="H25" s="22" t="n"/>
      <c r="I25" s="22" t="n"/>
      <c r="J25" s="21" t="n"/>
      <c r="K25" s="20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5.75" customHeight="1" s="18">
      <c r="A26" s="20">
        <f>IF(AND(B26="",C26=""),"",ROW()-1)</f>
        <v/>
      </c>
      <c r="B26" s="20" t="n"/>
      <c r="C26" s="21">
        <f>IF(B26="","",VLOOKUP(B26,Projects!$B:$C,2,FALSE()))</f>
        <v/>
      </c>
      <c r="D26" s="21" t="n"/>
      <c r="E26" s="20" t="n"/>
      <c r="F26" s="20" t="n"/>
      <c r="G26" s="20" t="n"/>
      <c r="H26" s="22" t="n"/>
      <c r="I26" s="22" t="n"/>
      <c r="J26" s="21" t="n"/>
      <c r="K26" s="20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5.75" customHeight="1" s="18">
      <c r="A27" s="20">
        <f>IF(AND(B27="",C27=""),"",ROW()-1)</f>
        <v/>
      </c>
      <c r="B27" s="20" t="n"/>
      <c r="C27" s="21">
        <f>IF(B27="","",VLOOKUP(B27,Projects!$B:$C,2,FALSE()))</f>
        <v/>
      </c>
      <c r="D27" s="21" t="n"/>
      <c r="E27" s="20" t="n"/>
      <c r="F27" s="20" t="n"/>
      <c r="G27" s="20" t="n"/>
      <c r="H27" s="22" t="n"/>
      <c r="I27" s="22" t="n"/>
      <c r="J27" s="21" t="n"/>
      <c r="K27" s="20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.75" customHeight="1" s="18">
      <c r="A28" s="20">
        <f>IF(AND(B28="",C28=""),"",ROW()-1)</f>
        <v/>
      </c>
      <c r="B28" s="20" t="n"/>
      <c r="C28" s="21">
        <f>IF(B28="","",VLOOKUP(B28,Projects!$B:$C,2,FALSE()))</f>
        <v/>
      </c>
      <c r="D28" s="21" t="n"/>
      <c r="E28" s="20" t="n"/>
      <c r="F28" s="20" t="n"/>
      <c r="G28" s="20" t="n"/>
      <c r="H28" s="22" t="n"/>
      <c r="I28" s="22" t="n"/>
      <c r="J28" s="21" t="n"/>
      <c r="K28" s="20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.75" customHeight="1" s="18">
      <c r="A29" s="20">
        <f>IF(AND(B29="",C29=""),"",ROW()-1)</f>
        <v/>
      </c>
      <c r="B29" s="20" t="n"/>
      <c r="C29" s="21">
        <f>IF(B29="","",VLOOKUP(B29,Projects!$B:$C,2,FALSE()))</f>
        <v/>
      </c>
      <c r="D29" s="21" t="n"/>
      <c r="E29" s="20" t="n"/>
      <c r="F29" s="20" t="n"/>
      <c r="G29" s="20" t="n"/>
      <c r="H29" s="22" t="n"/>
      <c r="I29" s="22" t="n"/>
      <c r="J29" s="21" t="n"/>
      <c r="K29" s="20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18">
      <c r="A30" s="20">
        <f>IF(AND(B30="",C30=""),"",ROW()-1)</f>
        <v/>
      </c>
      <c r="B30" s="20" t="n"/>
      <c r="C30" s="21">
        <f>IF(B30="","",VLOOKUP(B30,Projects!$B:$C,2,FALSE()))</f>
        <v/>
      </c>
      <c r="D30" s="21" t="n"/>
      <c r="E30" s="20" t="n"/>
      <c r="F30" s="20" t="n"/>
      <c r="G30" s="20" t="n"/>
      <c r="H30" s="22" t="n"/>
      <c r="I30" s="22" t="n"/>
      <c r="J30" s="21" t="n"/>
      <c r="K30" s="20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5.75" customHeight="1" s="18">
      <c r="A31" s="20">
        <f>IF(AND(B31="",C31=""),"",ROW()-1)</f>
        <v/>
      </c>
      <c r="B31" s="20" t="n"/>
      <c r="C31" s="21">
        <f>IF(B31="","",VLOOKUP(B31,Projects!$B:$C,2,FALSE()))</f>
        <v/>
      </c>
      <c r="D31" s="21" t="n"/>
      <c r="E31" s="20" t="n"/>
      <c r="F31" s="20" t="n"/>
      <c r="G31" s="20" t="n"/>
      <c r="H31" s="22" t="n"/>
      <c r="I31" s="22" t="n"/>
      <c r="J31" s="21" t="n"/>
      <c r="K31" s="20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5.75" customHeight="1" s="18">
      <c r="A32" s="20">
        <f>IF(AND(B32="",C32=""),"",ROW()-1)</f>
        <v/>
      </c>
      <c r="B32" s="20" t="n"/>
      <c r="C32" s="21">
        <f>IF(B32="","",VLOOKUP(B32,Projects!$B:$C,2,FALSE()))</f>
        <v/>
      </c>
      <c r="D32" s="21" t="n"/>
      <c r="E32" s="20" t="n"/>
      <c r="F32" s="20" t="n"/>
      <c r="G32" s="20" t="n"/>
      <c r="H32" s="22" t="n"/>
      <c r="I32" s="22" t="n"/>
      <c r="J32" s="21" t="n"/>
      <c r="K32" s="20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5.75" customHeight="1" s="18">
      <c r="A33" s="20">
        <f>IF(AND(B33="",C33=""),"",ROW()-1)</f>
        <v/>
      </c>
      <c r="B33" s="20" t="n"/>
      <c r="C33" s="21">
        <f>IF(B33="","",VLOOKUP(B33,Projects!$B:$C,2,FALSE()))</f>
        <v/>
      </c>
      <c r="D33" s="21" t="n"/>
      <c r="E33" s="20" t="n"/>
      <c r="F33" s="20" t="n"/>
      <c r="G33" s="20" t="n"/>
      <c r="H33" s="22" t="n"/>
      <c r="I33" s="22" t="n"/>
      <c r="J33" s="21" t="n"/>
      <c r="K33" s="20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5.75" customHeight="1" s="18">
      <c r="A34" s="20">
        <f>IF(AND(B34="",C34=""),"",ROW()-1)</f>
        <v/>
      </c>
      <c r="B34" s="20" t="n"/>
      <c r="C34" s="21">
        <f>IF(B34="","",VLOOKUP(B34,Projects!$B:$C,2,FALSE()))</f>
        <v/>
      </c>
      <c r="D34" s="21" t="n"/>
      <c r="E34" s="20" t="n"/>
      <c r="F34" s="20" t="n"/>
      <c r="G34" s="20" t="n"/>
      <c r="H34" s="22" t="n"/>
      <c r="I34" s="22" t="n"/>
      <c r="J34" s="21" t="n"/>
      <c r="K34" s="20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5.75" customHeight="1" s="18">
      <c r="A35" s="20">
        <f>IF(AND(B35="",C35=""),"",ROW()-1)</f>
        <v/>
      </c>
      <c r="B35" s="20" t="n"/>
      <c r="C35" s="21">
        <f>IF(B35="","",VLOOKUP(B35,Projects!$B:$C,2,FALSE()))</f>
        <v/>
      </c>
      <c r="D35" s="21" t="n"/>
      <c r="E35" s="20" t="n"/>
      <c r="F35" s="20" t="n"/>
      <c r="G35" s="20" t="n"/>
      <c r="H35" s="22" t="n"/>
      <c r="I35" s="22" t="n"/>
      <c r="J35" s="21" t="n"/>
      <c r="K35" s="20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5.75" customHeight="1" s="18">
      <c r="A36" s="20">
        <f>IF(AND(B36="",C36=""),"",ROW()-1)</f>
        <v/>
      </c>
      <c r="B36" s="20" t="n"/>
      <c r="C36" s="21">
        <f>IF(B36="","",VLOOKUP(B36,Projects!$B:$C,2,FALSE()))</f>
        <v/>
      </c>
      <c r="D36" s="21" t="n"/>
      <c r="E36" s="20" t="n"/>
      <c r="F36" s="20" t="n"/>
      <c r="G36" s="20" t="n"/>
      <c r="H36" s="22" t="n"/>
      <c r="I36" s="22" t="n"/>
      <c r="J36" s="21" t="n"/>
      <c r="K36" s="20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5.75" customHeight="1" s="18">
      <c r="A37" s="20">
        <f>IF(AND(B37="",C37=""),"",ROW()-1)</f>
        <v/>
      </c>
      <c r="B37" s="20" t="n"/>
      <c r="C37" s="21">
        <f>IF(B37="","",VLOOKUP(B37,Projects!$B:$C,2,FALSE()))</f>
        <v/>
      </c>
      <c r="D37" s="21" t="n"/>
      <c r="E37" s="20" t="n"/>
      <c r="F37" s="20" t="n"/>
      <c r="G37" s="20" t="n"/>
      <c r="H37" s="22" t="n"/>
      <c r="I37" s="22" t="n"/>
      <c r="J37" s="21" t="n"/>
      <c r="K37" s="20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5.75" customHeight="1" s="18">
      <c r="A38" s="20">
        <f>IF(AND(B38="",C38=""),"",ROW()-1)</f>
        <v/>
      </c>
      <c r="B38" s="20" t="n"/>
      <c r="C38" s="21">
        <f>IF(B38="","",VLOOKUP(B38,Projects!$B:$C,2,FALSE()))</f>
        <v/>
      </c>
      <c r="D38" s="21" t="n"/>
      <c r="E38" s="20" t="n"/>
      <c r="F38" s="20" t="n"/>
      <c r="G38" s="20" t="n"/>
      <c r="H38" s="22" t="n"/>
      <c r="I38" s="22" t="n"/>
      <c r="J38" s="21" t="n"/>
      <c r="K38" s="20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5.75" customHeight="1" s="18">
      <c r="A39" s="20">
        <f>IF(AND(B39="",C39=""),"",ROW()-1)</f>
        <v/>
      </c>
      <c r="B39" s="20" t="n"/>
      <c r="C39" s="21">
        <f>IF(B39="","",VLOOKUP(B39,Projects!$B:$C,2,FALSE()))</f>
        <v/>
      </c>
      <c r="D39" s="21" t="n"/>
      <c r="E39" s="20" t="n"/>
      <c r="F39" s="20" t="n"/>
      <c r="G39" s="20" t="n"/>
      <c r="H39" s="22" t="n"/>
      <c r="I39" s="22" t="n"/>
      <c r="J39" s="21" t="n"/>
      <c r="K39" s="20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5.75" customHeight="1" s="18">
      <c r="A40" s="20">
        <f>IF(AND(B40="",C40=""),"",ROW()-1)</f>
        <v/>
      </c>
      <c r="B40" s="20" t="n"/>
      <c r="C40" s="21">
        <f>IF(B40="","",VLOOKUP(B40,Projects!$B:$C,2,FALSE()))</f>
        <v/>
      </c>
      <c r="D40" s="21" t="n"/>
      <c r="E40" s="20" t="n"/>
      <c r="F40" s="20" t="n"/>
      <c r="G40" s="20" t="n"/>
      <c r="H40" s="22" t="n"/>
      <c r="I40" s="22" t="n"/>
      <c r="J40" s="21" t="n"/>
      <c r="K40" s="20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5.75" customHeight="1" s="18">
      <c r="A41" s="20">
        <f>IF(AND(B41="",C41=""),"",ROW()-1)</f>
        <v/>
      </c>
      <c r="B41" s="20" t="n"/>
      <c r="C41" s="21">
        <f>IF(B41="","",VLOOKUP(B41,Projects!$B:$C,2,FALSE()))</f>
        <v/>
      </c>
      <c r="D41" s="21" t="n"/>
      <c r="E41" s="20" t="n"/>
      <c r="F41" s="20" t="n"/>
      <c r="G41" s="20" t="n"/>
      <c r="H41" s="22" t="n"/>
      <c r="I41" s="22" t="n"/>
      <c r="J41" s="21" t="n"/>
      <c r="K41" s="20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5.75" customHeight="1" s="18">
      <c r="A42" s="20">
        <f>IF(AND(B42="",C42=""),"",ROW()-1)</f>
        <v/>
      </c>
      <c r="B42" s="20" t="n"/>
      <c r="C42" s="21">
        <f>IF(B42="","",VLOOKUP(B42,Projects!$B:$C,2,FALSE()))</f>
        <v/>
      </c>
      <c r="D42" s="21" t="n"/>
      <c r="E42" s="20" t="n"/>
      <c r="F42" s="20" t="n"/>
      <c r="G42" s="20" t="n"/>
      <c r="H42" s="22" t="n"/>
      <c r="I42" s="22" t="n"/>
      <c r="J42" s="21" t="n"/>
      <c r="K42" s="20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5.75" customHeight="1" s="18">
      <c r="A43" s="20">
        <f>IF(AND(B43="",C43=""),"",ROW()-1)</f>
        <v/>
      </c>
      <c r="B43" s="20" t="n"/>
      <c r="C43" s="21">
        <f>IF(B43="","",VLOOKUP(B43,Projects!$B:$C,2,FALSE()))</f>
        <v/>
      </c>
      <c r="D43" s="21" t="n"/>
      <c r="E43" s="20" t="n"/>
      <c r="F43" s="20" t="n"/>
      <c r="G43" s="20" t="n"/>
      <c r="H43" s="22" t="n"/>
      <c r="I43" s="22" t="n"/>
      <c r="J43" s="21" t="n"/>
      <c r="K43" s="20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5.75" customHeight="1" s="18">
      <c r="A44" s="20">
        <f>IF(AND(B44="",C44=""),"",ROW()-1)</f>
        <v/>
      </c>
      <c r="B44" s="20" t="n"/>
      <c r="C44" s="21">
        <f>IF(B44="","",VLOOKUP(B44,Projects!$B:$C,2,FALSE()))</f>
        <v/>
      </c>
      <c r="D44" s="21" t="n"/>
      <c r="E44" s="20" t="n"/>
      <c r="F44" s="20" t="n"/>
      <c r="G44" s="20" t="n"/>
      <c r="H44" s="22" t="n"/>
      <c r="I44" s="22" t="n"/>
      <c r="J44" s="21" t="n"/>
      <c r="K44" s="20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5.75" customHeight="1" s="18">
      <c r="A45" s="20">
        <f>IF(AND(B45="",C45=""),"",ROW()-1)</f>
        <v/>
      </c>
      <c r="B45" s="20" t="n"/>
      <c r="C45" s="21">
        <f>IF(B45="","",VLOOKUP(B45,Projects!$B:$C,2,FALSE()))</f>
        <v/>
      </c>
      <c r="D45" s="21" t="n"/>
      <c r="E45" s="20" t="n"/>
      <c r="F45" s="20" t="n"/>
      <c r="G45" s="20" t="n"/>
      <c r="H45" s="22" t="n"/>
      <c r="I45" s="22" t="n"/>
      <c r="J45" s="21" t="n"/>
      <c r="K45" s="20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.75" customHeight="1" s="18">
      <c r="A46" s="20">
        <f>IF(AND(B46="",C46=""),"",ROW()-1)</f>
        <v/>
      </c>
      <c r="B46" s="20" t="n"/>
      <c r="C46" s="21">
        <f>IF(B46="","",VLOOKUP(B46,Projects!$B:$C,2,FALSE()))</f>
        <v/>
      </c>
      <c r="D46" s="21" t="n"/>
      <c r="E46" s="20" t="n"/>
      <c r="F46" s="20" t="n"/>
      <c r="G46" s="20" t="n"/>
      <c r="H46" s="22" t="n"/>
      <c r="I46" s="22" t="n"/>
      <c r="J46" s="21" t="n"/>
      <c r="K46" s="20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5.75" customHeight="1" s="18">
      <c r="A47" s="20">
        <f>IF(AND(B47="",C47=""),"",ROW()-1)</f>
        <v/>
      </c>
      <c r="B47" s="20" t="n"/>
      <c r="C47" s="21">
        <f>IF(B47="","",VLOOKUP(B47,Projects!$B:$C,2,FALSE()))</f>
        <v/>
      </c>
      <c r="D47" s="21" t="n"/>
      <c r="E47" s="20" t="n"/>
      <c r="F47" s="20" t="n"/>
      <c r="G47" s="20" t="n"/>
      <c r="H47" s="22" t="n"/>
      <c r="I47" s="22" t="n"/>
      <c r="J47" s="21" t="n"/>
      <c r="K47" s="20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5.75" customHeight="1" s="18">
      <c r="A48" s="20">
        <f>IF(AND(B48="",C48=""),"",ROW()-1)</f>
        <v/>
      </c>
      <c r="B48" s="20" t="n"/>
      <c r="C48" s="21">
        <f>IF(B48="","",VLOOKUP(B48,Projects!$B:$C,2,FALSE()))</f>
        <v/>
      </c>
      <c r="D48" s="21" t="n"/>
      <c r="E48" s="20" t="n"/>
      <c r="F48" s="20" t="n"/>
      <c r="G48" s="20" t="n"/>
      <c r="H48" s="22" t="n"/>
      <c r="I48" s="22" t="n"/>
      <c r="J48" s="21" t="n"/>
      <c r="K48" s="20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5.75" customHeight="1" s="18">
      <c r="A49" s="20">
        <f>IF(AND(B49="",C49=""),"",ROW()-1)</f>
        <v/>
      </c>
      <c r="B49" s="20" t="n"/>
      <c r="C49" s="21">
        <f>IF(B49="","",VLOOKUP(B49,Projects!$B:$C,2,FALSE()))</f>
        <v/>
      </c>
      <c r="D49" s="21" t="n"/>
      <c r="E49" s="20" t="n"/>
      <c r="F49" s="20" t="n"/>
      <c r="G49" s="20" t="n"/>
      <c r="H49" s="22" t="n"/>
      <c r="I49" s="22" t="n"/>
      <c r="J49" s="21" t="n"/>
      <c r="K49" s="20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.75" customHeight="1" s="18">
      <c r="A50" s="20">
        <f>IF(AND(B50="",C50=""),"",ROW()-1)</f>
        <v/>
      </c>
      <c r="B50" s="20" t="n"/>
      <c r="C50" s="21">
        <f>IF(B50="","",VLOOKUP(B50,Projects!$B:$C,2,FALSE()))</f>
        <v/>
      </c>
      <c r="D50" s="21" t="n"/>
      <c r="E50" s="20" t="n"/>
      <c r="F50" s="20" t="n"/>
      <c r="G50" s="20" t="n"/>
      <c r="H50" s="22" t="n"/>
      <c r="I50" s="22" t="n"/>
      <c r="J50" s="21" t="n"/>
      <c r="K50" s="20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5.75" customHeight="1" s="18">
      <c r="A51" s="20">
        <f>IF(AND(B51="",C51=""),"",ROW()-1)</f>
        <v/>
      </c>
      <c r="B51" s="20" t="n"/>
      <c r="C51" s="21">
        <f>IF(B51="","",VLOOKUP(B51,Projects!$B:$C,2,FALSE()))</f>
        <v/>
      </c>
      <c r="D51" s="21" t="n"/>
      <c r="E51" s="20" t="n"/>
      <c r="F51" s="20" t="n"/>
      <c r="G51" s="20" t="n"/>
      <c r="H51" s="22" t="n"/>
      <c r="I51" s="22" t="n"/>
      <c r="J51" s="21" t="n"/>
      <c r="K51" s="20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20">
        <f>IF(AND(B52="",C52=""),"",ROW()-1)</f>
        <v/>
      </c>
      <c r="B52" s="20" t="n"/>
      <c r="C52" s="21">
        <f>IF(B52="","",VLOOKUP(B52,Projects!$B:$C,2,FALSE()))</f>
        <v/>
      </c>
      <c r="D52" s="21" t="n"/>
      <c r="E52" s="20" t="n"/>
      <c r="F52" s="20" t="n"/>
      <c r="G52" s="20" t="n"/>
      <c r="H52" s="22" t="n"/>
      <c r="I52" s="22" t="n"/>
      <c r="J52" s="21" t="n"/>
      <c r="K52" s="20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20">
        <f>IF(AND(B53="",C53=""),"",ROW()-1)</f>
        <v/>
      </c>
      <c r="B53" s="20" t="n"/>
      <c r="C53" s="21">
        <f>IF(B53="","",VLOOKUP(B53,Projects!$B:$C,2,FALSE()))</f>
        <v/>
      </c>
      <c r="D53" s="21" t="n"/>
      <c r="E53" s="20" t="n"/>
      <c r="F53" s="20" t="n"/>
      <c r="G53" s="20" t="n"/>
      <c r="H53" s="22" t="n"/>
      <c r="I53" s="22" t="n"/>
      <c r="J53" s="21" t="n"/>
      <c r="K53" s="20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20">
        <f>IF(AND(B54="",C54=""),"",ROW()-1)</f>
        <v/>
      </c>
      <c r="B54" s="20" t="n"/>
      <c r="C54" s="21">
        <f>IF(B54="","",VLOOKUP(B54,Projects!$B:$C,2,FALSE()))</f>
        <v/>
      </c>
      <c r="D54" s="21" t="n"/>
      <c r="E54" s="20" t="n"/>
      <c r="F54" s="20" t="n"/>
      <c r="G54" s="20" t="n"/>
      <c r="H54" s="22" t="n"/>
      <c r="I54" s="22" t="n"/>
      <c r="J54" s="21" t="n"/>
      <c r="K54" s="20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20">
        <f>IF(AND(B55="",C55=""),"",ROW()-1)</f>
        <v/>
      </c>
      <c r="B55" s="20" t="n"/>
      <c r="C55" s="21">
        <f>IF(B55="","",VLOOKUP(B55,Projects!$B:$C,2,FALSE()))</f>
        <v/>
      </c>
      <c r="D55" s="21" t="n"/>
      <c r="E55" s="20" t="n"/>
      <c r="F55" s="20" t="n"/>
      <c r="G55" s="20" t="n"/>
      <c r="H55" s="22" t="n"/>
      <c r="I55" s="22" t="n"/>
      <c r="J55" s="21" t="n"/>
      <c r="K55" s="20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20">
        <f>IF(AND(B56="",C56=""),"",ROW()-1)</f>
        <v/>
      </c>
      <c r="B56" s="20" t="n"/>
      <c r="C56" s="21">
        <f>IF(B56="","",VLOOKUP(B56,Projects!$B:$C,2,FALSE()))</f>
        <v/>
      </c>
      <c r="D56" s="21" t="n"/>
      <c r="E56" s="20" t="n"/>
      <c r="F56" s="20" t="n"/>
      <c r="G56" s="20" t="n"/>
      <c r="H56" s="22" t="n"/>
      <c r="I56" s="22" t="n"/>
      <c r="J56" s="21" t="n"/>
      <c r="K56" s="20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20">
        <f>IF(AND(B57="",C57=""),"",ROW()-1)</f>
        <v/>
      </c>
      <c r="B57" s="20" t="n"/>
      <c r="C57" s="21">
        <f>IF(B57="","",VLOOKUP(B57,Projects!$B:$C,2,FALSE()))</f>
        <v/>
      </c>
      <c r="D57" s="21" t="n"/>
      <c r="E57" s="20" t="n"/>
      <c r="F57" s="20" t="n"/>
      <c r="G57" s="20" t="n"/>
      <c r="H57" s="22" t="n"/>
      <c r="I57" s="22" t="n"/>
      <c r="J57" s="21" t="n"/>
      <c r="K57" s="20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20">
        <f>IF(AND(B58="",C58=""),"",ROW()-1)</f>
        <v/>
      </c>
      <c r="B58" s="20" t="n"/>
      <c r="C58" s="21">
        <f>IF(B58="","",VLOOKUP(B58,Projects!$B:$C,2,FALSE()))</f>
        <v/>
      </c>
      <c r="D58" s="21" t="n"/>
      <c r="E58" s="20" t="n"/>
      <c r="F58" s="20" t="n"/>
      <c r="G58" s="20" t="n"/>
      <c r="H58" s="22" t="n"/>
      <c r="I58" s="22" t="n"/>
      <c r="J58" s="21" t="n"/>
      <c r="K58" s="20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20">
        <f>IF(AND(B59="",C59=""),"",ROW()-1)</f>
        <v/>
      </c>
      <c r="B59" s="20" t="n"/>
      <c r="C59" s="21">
        <f>IF(B59="","",VLOOKUP(B59,Projects!$B:$C,2,FALSE()))</f>
        <v/>
      </c>
      <c r="D59" s="21" t="n"/>
      <c r="E59" s="20" t="n"/>
      <c r="F59" s="20" t="n"/>
      <c r="G59" s="20" t="n"/>
      <c r="H59" s="22" t="n"/>
      <c r="I59" s="22" t="n"/>
      <c r="J59" s="21" t="n"/>
      <c r="K59" s="20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20">
        <f>IF(AND(B60="",C60=""),"",ROW()-1)</f>
        <v/>
      </c>
      <c r="B60" s="20" t="n"/>
      <c r="C60" s="21">
        <f>IF(B60="","",VLOOKUP(B60,Projects!$B:$C,2,FALSE()))</f>
        <v/>
      </c>
      <c r="D60" s="21" t="n"/>
      <c r="E60" s="20" t="n"/>
      <c r="F60" s="20" t="n"/>
      <c r="G60" s="20" t="n"/>
      <c r="H60" s="22" t="n"/>
      <c r="I60" s="22" t="n"/>
      <c r="J60" s="21" t="n"/>
      <c r="K60" s="20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20">
        <f>IF(AND(B61="",C61=""),"",ROW()-1)</f>
        <v/>
      </c>
      <c r="B61" s="20" t="n"/>
      <c r="C61" s="21">
        <f>IF(B61="","",VLOOKUP(B61,Projects!$B:$C,2,FALSE()))</f>
        <v/>
      </c>
      <c r="D61" s="21" t="n"/>
      <c r="E61" s="20" t="n"/>
      <c r="F61" s="20" t="n"/>
      <c r="G61" s="20" t="n"/>
      <c r="H61" s="22" t="n"/>
      <c r="I61" s="22" t="n"/>
      <c r="J61" s="21" t="n"/>
      <c r="K61" s="20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20">
        <f>IF(AND(B62="",C62=""),"",ROW()-1)</f>
        <v/>
      </c>
      <c r="B62" s="20" t="n"/>
      <c r="C62" s="21">
        <f>IF(B62="","",VLOOKUP(B62,Projects!$B:$C,2,FALSE()))</f>
        <v/>
      </c>
      <c r="D62" s="21" t="n"/>
      <c r="E62" s="20" t="n"/>
      <c r="F62" s="20" t="n"/>
      <c r="G62" s="20" t="n"/>
      <c r="H62" s="22" t="n"/>
      <c r="I62" s="22" t="n"/>
      <c r="J62" s="21" t="n"/>
      <c r="K62" s="20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20">
        <f>IF(AND(B63="",C63=""),"",ROW()-1)</f>
        <v/>
      </c>
      <c r="B63" s="20" t="n"/>
      <c r="C63" s="21">
        <f>IF(B63="","",VLOOKUP(B63,Projects!$B:$C,2,FALSE()))</f>
        <v/>
      </c>
      <c r="D63" s="21" t="n"/>
      <c r="E63" s="20" t="n"/>
      <c r="F63" s="20" t="n"/>
      <c r="G63" s="20" t="n"/>
      <c r="H63" s="22" t="n"/>
      <c r="I63" s="22" t="n"/>
      <c r="J63" s="21" t="n"/>
      <c r="K63" s="20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20">
        <f>IF(AND(B64="",C64=""),"",ROW()-1)</f>
        <v/>
      </c>
      <c r="B64" s="20" t="n"/>
      <c r="C64" s="21">
        <f>IF(B64="","",VLOOKUP(B64,Projects!$B:$C,2,FALSE()))</f>
        <v/>
      </c>
      <c r="D64" s="21" t="n"/>
      <c r="E64" s="20" t="n"/>
      <c r="F64" s="20" t="n"/>
      <c r="G64" s="20" t="n"/>
      <c r="H64" s="22" t="n"/>
      <c r="I64" s="22" t="n"/>
      <c r="J64" s="21" t="n"/>
      <c r="K64" s="20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20">
        <f>IF(AND(B65="",C65=""),"",ROW()-1)</f>
        <v/>
      </c>
      <c r="B65" s="20" t="n"/>
      <c r="C65" s="21">
        <f>IF(B65="","",VLOOKUP(B65,Projects!$B:$C,2,FALSE()))</f>
        <v/>
      </c>
      <c r="D65" s="21" t="n"/>
      <c r="E65" s="20" t="n"/>
      <c r="F65" s="20" t="n"/>
      <c r="G65" s="20" t="n"/>
      <c r="H65" s="22" t="n"/>
      <c r="I65" s="22" t="n"/>
      <c r="J65" s="21" t="n"/>
      <c r="K65" s="20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20">
        <f>IF(AND(B66="",C66=""),"",ROW()-1)</f>
        <v/>
      </c>
      <c r="B66" s="20" t="n"/>
      <c r="C66" s="21">
        <f>IF(B66="","",VLOOKUP(B66,Projects!$B:$C,2,FALSE()))</f>
        <v/>
      </c>
      <c r="D66" s="21" t="n"/>
      <c r="E66" s="20" t="n"/>
      <c r="F66" s="20" t="n"/>
      <c r="G66" s="20" t="n"/>
      <c r="H66" s="22" t="n"/>
      <c r="I66" s="22" t="n"/>
      <c r="J66" s="21" t="n"/>
      <c r="K66" s="20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20">
        <f>IF(AND(B67="",C67=""),"",ROW()-1)</f>
        <v/>
      </c>
      <c r="B67" s="20" t="n"/>
      <c r="C67" s="21">
        <f>IF(B67="","",VLOOKUP(B67,Projects!$B:$C,2,FALSE()))</f>
        <v/>
      </c>
      <c r="D67" s="21" t="n"/>
      <c r="E67" s="20" t="n"/>
      <c r="F67" s="20" t="n"/>
      <c r="G67" s="20" t="n"/>
      <c r="H67" s="22" t="n"/>
      <c r="I67" s="22" t="n"/>
      <c r="J67" s="21" t="n"/>
      <c r="K67" s="20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20">
        <f>IF(AND(B68="",C68=""),"",ROW()-1)</f>
        <v/>
      </c>
      <c r="B68" s="20" t="n"/>
      <c r="C68" s="21">
        <f>IF(B68="","",VLOOKUP(B68,Projects!$B:$C,2,FALSE()))</f>
        <v/>
      </c>
      <c r="D68" s="21" t="n"/>
      <c r="E68" s="20" t="n"/>
      <c r="F68" s="20" t="n"/>
      <c r="G68" s="20" t="n"/>
      <c r="H68" s="22" t="n"/>
      <c r="I68" s="22" t="n"/>
      <c r="J68" s="21" t="n"/>
      <c r="K68" s="20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20">
        <f>IF(AND(B69="",C69=""),"",ROW()-1)</f>
        <v/>
      </c>
      <c r="B69" s="20" t="n"/>
      <c r="C69" s="21">
        <f>IF(B69="","",VLOOKUP(B69,Projects!$B:$C,2,FALSE()))</f>
        <v/>
      </c>
      <c r="D69" s="21" t="n"/>
      <c r="E69" s="20" t="n"/>
      <c r="F69" s="20" t="n"/>
      <c r="G69" s="20" t="n"/>
      <c r="H69" s="22" t="n"/>
      <c r="I69" s="22" t="n"/>
      <c r="J69" s="21" t="n"/>
      <c r="K69" s="20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20">
        <f>IF(AND(B70="",C70=""),"",ROW()-1)</f>
        <v/>
      </c>
      <c r="B70" s="20" t="n"/>
      <c r="C70" s="21">
        <f>IF(B70="","",VLOOKUP(B70,Projects!$B:$C,2,FALSE()))</f>
        <v/>
      </c>
      <c r="D70" s="21" t="n"/>
      <c r="E70" s="20" t="n"/>
      <c r="F70" s="20" t="n"/>
      <c r="G70" s="20" t="n"/>
      <c r="H70" s="22" t="n"/>
      <c r="I70" s="22" t="n"/>
      <c r="J70" s="21" t="n"/>
      <c r="K70" s="20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20">
        <f>IF(AND(B71="",C71=""),"",ROW()-1)</f>
        <v/>
      </c>
      <c r="B71" s="20" t="n"/>
      <c r="C71" s="21">
        <f>IF(B71="","",VLOOKUP(B71,Projects!$B:$C,2,FALSE()))</f>
        <v/>
      </c>
      <c r="D71" s="21" t="n"/>
      <c r="E71" s="20" t="n"/>
      <c r="F71" s="20" t="n"/>
      <c r="G71" s="20" t="n"/>
      <c r="H71" s="22" t="n"/>
      <c r="I71" s="22" t="n"/>
      <c r="J71" s="21" t="n"/>
      <c r="K71" s="20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20">
        <f>IF(AND(B72="",C72=""),"",ROW()-1)</f>
        <v/>
      </c>
      <c r="B72" s="20" t="n"/>
      <c r="C72" s="21">
        <f>IF(B72="","",VLOOKUP(B72,Projects!$B:$C,2,FALSE()))</f>
        <v/>
      </c>
      <c r="D72" s="21" t="n"/>
      <c r="E72" s="20" t="n"/>
      <c r="F72" s="20" t="n"/>
      <c r="G72" s="20" t="n"/>
      <c r="H72" s="22" t="n"/>
      <c r="I72" s="22" t="n"/>
      <c r="J72" s="21" t="n"/>
      <c r="K72" s="20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20">
        <f>IF(AND(B73="",C73=""),"",ROW()-1)</f>
        <v/>
      </c>
      <c r="B73" s="20" t="n"/>
      <c r="C73" s="21">
        <f>IF(B73="","",VLOOKUP(B73,Projects!$B:$C,2,FALSE()))</f>
        <v/>
      </c>
      <c r="D73" s="21" t="n"/>
      <c r="E73" s="20" t="n"/>
      <c r="F73" s="20" t="n"/>
      <c r="G73" s="20" t="n"/>
      <c r="H73" s="22" t="n"/>
      <c r="I73" s="22" t="n"/>
      <c r="J73" s="21" t="n"/>
      <c r="K73" s="20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20">
        <f>IF(AND(B74="",C74=""),"",ROW()-1)</f>
        <v/>
      </c>
      <c r="B74" s="20" t="n"/>
      <c r="C74" s="21">
        <f>IF(B74="","",VLOOKUP(B74,Projects!$B:$C,2,FALSE()))</f>
        <v/>
      </c>
      <c r="D74" s="21" t="n"/>
      <c r="E74" s="20" t="n"/>
      <c r="F74" s="20" t="n"/>
      <c r="G74" s="20" t="n"/>
      <c r="H74" s="22" t="n"/>
      <c r="I74" s="22" t="n"/>
      <c r="J74" s="21" t="n"/>
      <c r="K74" s="20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20">
        <f>IF(AND(B75="",C75=""),"",ROW()-1)</f>
        <v/>
      </c>
      <c r="B75" s="20" t="n"/>
      <c r="C75" s="21">
        <f>IF(B75="","",VLOOKUP(B75,Projects!$B:$C,2,FALSE()))</f>
        <v/>
      </c>
      <c r="D75" s="21" t="n"/>
      <c r="E75" s="20" t="n"/>
      <c r="F75" s="20" t="n"/>
      <c r="G75" s="20" t="n"/>
      <c r="H75" s="22" t="n"/>
      <c r="I75" s="22" t="n"/>
      <c r="J75" s="21" t="n"/>
      <c r="K75" s="20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20">
        <f>IF(AND(B76="",C76=""),"",ROW()-1)</f>
        <v/>
      </c>
      <c r="B76" s="20" t="n"/>
      <c r="C76" s="21">
        <f>IF(B76="","",VLOOKUP(B76,Projects!$B:$C,2,FALSE()))</f>
        <v/>
      </c>
      <c r="D76" s="21" t="n"/>
      <c r="E76" s="20" t="n"/>
      <c r="F76" s="20" t="n"/>
      <c r="G76" s="20" t="n"/>
      <c r="H76" s="22" t="n"/>
      <c r="I76" s="22" t="n"/>
      <c r="J76" s="21" t="n"/>
      <c r="K76" s="20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20">
        <f>IF(AND(B77="",C77=""),"",ROW()-1)</f>
        <v/>
      </c>
      <c r="B77" s="20" t="n"/>
      <c r="C77" s="21">
        <f>IF(B77="","",VLOOKUP(B77,Projects!$B:$C,2,FALSE()))</f>
        <v/>
      </c>
      <c r="D77" s="21" t="n"/>
      <c r="E77" s="20" t="n"/>
      <c r="F77" s="20" t="n"/>
      <c r="G77" s="20" t="n"/>
      <c r="H77" s="22" t="n"/>
      <c r="I77" s="22" t="n"/>
      <c r="J77" s="21" t="n"/>
      <c r="K77" s="20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20">
        <f>IF(AND(B78="",C78=""),"",ROW()-1)</f>
        <v/>
      </c>
      <c r="B78" s="20" t="n"/>
      <c r="C78" s="21">
        <f>IF(B78="","",VLOOKUP(B78,Projects!$B:$C,2,FALSE()))</f>
        <v/>
      </c>
      <c r="D78" s="21" t="n"/>
      <c r="E78" s="20" t="n"/>
      <c r="F78" s="20" t="n"/>
      <c r="G78" s="20" t="n"/>
      <c r="H78" s="22" t="n"/>
      <c r="I78" s="22" t="n"/>
      <c r="J78" s="21" t="n"/>
      <c r="K78" s="20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20">
        <f>IF(AND(B79="",C79=""),"",ROW()-1)</f>
        <v/>
      </c>
      <c r="B79" s="20" t="n"/>
      <c r="C79" s="21">
        <f>IF(B79="","",VLOOKUP(B79,Projects!$B:$C,2,FALSE()))</f>
        <v/>
      </c>
      <c r="D79" s="21" t="n"/>
      <c r="E79" s="20" t="n"/>
      <c r="F79" s="20" t="n"/>
      <c r="G79" s="20" t="n"/>
      <c r="H79" s="22" t="n"/>
      <c r="I79" s="22" t="n"/>
      <c r="J79" s="21" t="n"/>
      <c r="K79" s="20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20">
        <f>IF(AND(B80="",C80=""),"",ROW()-1)</f>
        <v/>
      </c>
      <c r="B80" s="20" t="n"/>
      <c r="C80" s="21">
        <f>IF(B80="","",VLOOKUP(B80,Projects!$B:$C,2,FALSE()))</f>
        <v/>
      </c>
      <c r="D80" s="21" t="n"/>
      <c r="E80" s="20" t="n"/>
      <c r="F80" s="20" t="n"/>
      <c r="G80" s="20" t="n"/>
      <c r="H80" s="22" t="n"/>
      <c r="I80" s="22" t="n"/>
      <c r="J80" s="21" t="n"/>
      <c r="K80" s="20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20">
        <f>IF(AND(B81="",C81=""),"",ROW()-1)</f>
        <v/>
      </c>
      <c r="B81" s="20" t="n"/>
      <c r="C81" s="21">
        <f>IF(B81="","",VLOOKUP(B81,Projects!$B:$C,2,FALSE()))</f>
        <v/>
      </c>
      <c r="D81" s="21" t="n"/>
      <c r="E81" s="20" t="n"/>
      <c r="F81" s="20" t="n"/>
      <c r="G81" s="20" t="n"/>
      <c r="H81" s="22" t="n"/>
      <c r="I81" s="22" t="n"/>
      <c r="J81" s="21" t="n"/>
      <c r="K81" s="20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20">
        <f>IF(AND(B82="",C82=""),"",ROW()-1)</f>
        <v/>
      </c>
      <c r="B82" s="20" t="n"/>
      <c r="C82" s="21">
        <f>IF(B82="","",VLOOKUP(B82,Projects!$B:$C,2,FALSE()))</f>
        <v/>
      </c>
      <c r="D82" s="21" t="n"/>
      <c r="E82" s="20" t="n"/>
      <c r="F82" s="20" t="n"/>
      <c r="G82" s="20" t="n"/>
      <c r="H82" s="22" t="n"/>
      <c r="I82" s="22" t="n"/>
      <c r="J82" s="21" t="n"/>
      <c r="K82" s="20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20">
        <f>IF(AND(B83="",C83=""),"",ROW()-1)</f>
        <v/>
      </c>
      <c r="B83" s="20" t="n"/>
      <c r="C83" s="21">
        <f>IF(B83="","",VLOOKUP(B83,Projects!$B:$C,2,FALSE()))</f>
        <v/>
      </c>
      <c r="D83" s="21" t="n"/>
      <c r="E83" s="20" t="n"/>
      <c r="F83" s="20" t="n"/>
      <c r="G83" s="20" t="n"/>
      <c r="H83" s="22" t="n"/>
      <c r="I83" s="22" t="n"/>
      <c r="J83" s="21" t="n"/>
      <c r="K83" s="20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20">
        <f>IF(AND(B84="",C84=""),"",ROW()-1)</f>
        <v/>
      </c>
      <c r="B84" s="20" t="n"/>
      <c r="C84" s="21">
        <f>IF(B84="","",VLOOKUP(B84,Projects!$B:$C,2,FALSE()))</f>
        <v/>
      </c>
      <c r="D84" s="21" t="n"/>
      <c r="E84" s="20" t="n"/>
      <c r="F84" s="20" t="n"/>
      <c r="G84" s="20" t="n"/>
      <c r="H84" s="22" t="n"/>
      <c r="I84" s="22" t="n"/>
      <c r="J84" s="21" t="n"/>
      <c r="K84" s="20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20">
        <f>IF(AND(B85="",C85=""),"",ROW()-1)</f>
        <v/>
      </c>
      <c r="B85" s="20" t="n"/>
      <c r="C85" s="21">
        <f>IF(B85="","",VLOOKUP(B85,Projects!$B:$C,2,FALSE()))</f>
        <v/>
      </c>
      <c r="D85" s="21" t="n"/>
      <c r="E85" s="20" t="n"/>
      <c r="F85" s="20" t="n"/>
      <c r="G85" s="20" t="n"/>
      <c r="H85" s="22" t="n"/>
      <c r="I85" s="22" t="n"/>
      <c r="J85" s="21" t="n"/>
      <c r="K85" s="20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20">
        <f>IF(AND(B86="",C86=""),"",ROW()-1)</f>
        <v/>
      </c>
      <c r="B86" s="20" t="n"/>
      <c r="C86" s="21">
        <f>IF(B86="","",VLOOKUP(B86,Projects!$B:$C,2,FALSE()))</f>
        <v/>
      </c>
      <c r="D86" s="21" t="n"/>
      <c r="E86" s="20" t="n"/>
      <c r="F86" s="20" t="n"/>
      <c r="G86" s="20" t="n"/>
      <c r="H86" s="22" t="n"/>
      <c r="I86" s="22" t="n"/>
      <c r="J86" s="21" t="n"/>
      <c r="K86" s="20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20">
        <f>IF(AND(B87="",C87=""),"",ROW()-1)</f>
        <v/>
      </c>
      <c r="B87" s="20" t="n"/>
      <c r="C87" s="21">
        <f>IF(B87="","",VLOOKUP(B87,Projects!$B:$C,2,FALSE()))</f>
        <v/>
      </c>
      <c r="D87" s="21" t="n"/>
      <c r="E87" s="20" t="n"/>
      <c r="F87" s="20" t="n"/>
      <c r="G87" s="20" t="n"/>
      <c r="H87" s="22" t="n"/>
      <c r="I87" s="22" t="n"/>
      <c r="J87" s="21" t="n"/>
      <c r="K87" s="20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20">
        <f>IF(AND(B88="",C88=""),"",ROW()-1)</f>
        <v/>
      </c>
      <c r="B88" s="20" t="n"/>
      <c r="C88" s="21">
        <f>IF(B88="","",VLOOKUP(B88,Projects!$B:$C,2,FALSE()))</f>
        <v/>
      </c>
      <c r="D88" s="21" t="n"/>
      <c r="E88" s="20" t="n"/>
      <c r="F88" s="20" t="n"/>
      <c r="G88" s="20" t="n"/>
      <c r="H88" s="22" t="n"/>
      <c r="I88" s="22" t="n"/>
      <c r="J88" s="21" t="n"/>
      <c r="K88" s="20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20">
        <f>IF(AND(B89="",C89=""),"",ROW()-1)</f>
        <v/>
      </c>
      <c r="B89" s="20" t="n"/>
      <c r="C89" s="21">
        <f>IF(B89="","",VLOOKUP(B89,Projects!$B:$C,2,FALSE()))</f>
        <v/>
      </c>
      <c r="D89" s="21" t="n"/>
      <c r="E89" s="20" t="n"/>
      <c r="F89" s="20" t="n"/>
      <c r="G89" s="20" t="n"/>
      <c r="H89" s="22" t="n"/>
      <c r="I89" s="22" t="n"/>
      <c r="J89" s="21" t="n"/>
      <c r="K89" s="20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20">
        <f>IF(AND(B90="",C90=""),"",ROW()-1)</f>
        <v/>
      </c>
      <c r="B90" s="20" t="n"/>
      <c r="C90" s="21">
        <f>IF(B90="","",VLOOKUP(B90,Projects!$B:$C,2,FALSE()))</f>
        <v/>
      </c>
      <c r="D90" s="21" t="n"/>
      <c r="E90" s="20" t="n"/>
      <c r="F90" s="20" t="n"/>
      <c r="G90" s="20" t="n"/>
      <c r="H90" s="22" t="n"/>
      <c r="I90" s="22" t="n"/>
      <c r="J90" s="21" t="n"/>
      <c r="K90" s="20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20">
        <f>IF(AND(B91="",C91=""),"",ROW()-1)</f>
        <v/>
      </c>
      <c r="B91" s="20" t="n"/>
      <c r="C91" s="21">
        <f>IF(B91="","",VLOOKUP(B91,Projects!$B:$C,2,FALSE()))</f>
        <v/>
      </c>
      <c r="D91" s="21" t="n"/>
      <c r="E91" s="20" t="n"/>
      <c r="F91" s="20" t="n"/>
      <c r="G91" s="20" t="n"/>
      <c r="H91" s="22" t="n"/>
      <c r="I91" s="22" t="n"/>
      <c r="J91" s="21" t="n"/>
      <c r="K91" s="20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20">
        <f>IF(AND(B92="",C92=""),"",ROW()-1)</f>
        <v/>
      </c>
      <c r="B92" s="20" t="n"/>
      <c r="C92" s="21">
        <f>IF(B92="","",VLOOKUP(B92,Projects!$B:$C,2,FALSE()))</f>
        <v/>
      </c>
      <c r="D92" s="21" t="n"/>
      <c r="E92" s="20" t="n"/>
      <c r="F92" s="20" t="n"/>
      <c r="G92" s="20" t="n"/>
      <c r="H92" s="22" t="n"/>
      <c r="I92" s="22" t="n"/>
      <c r="J92" s="21" t="n"/>
      <c r="K92" s="20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20">
        <f>IF(AND(B93="",C93=""),"",ROW()-1)</f>
        <v/>
      </c>
      <c r="B93" s="20" t="n"/>
      <c r="C93" s="21">
        <f>IF(B93="","",VLOOKUP(B93,Projects!$B:$C,2,FALSE()))</f>
        <v/>
      </c>
      <c r="D93" s="21" t="n"/>
      <c r="E93" s="20" t="n"/>
      <c r="F93" s="20" t="n"/>
      <c r="G93" s="20" t="n"/>
      <c r="H93" s="22" t="n"/>
      <c r="I93" s="22" t="n"/>
      <c r="J93" s="21" t="n"/>
      <c r="K93" s="20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20">
        <f>IF(AND(B94="",C94=""),"",ROW()-1)</f>
        <v/>
      </c>
      <c r="B94" s="20" t="n"/>
      <c r="C94" s="21">
        <f>IF(B94="","",VLOOKUP(B94,Projects!$B:$C,2,FALSE()))</f>
        <v/>
      </c>
      <c r="D94" s="21" t="n"/>
      <c r="E94" s="20" t="n"/>
      <c r="F94" s="20" t="n"/>
      <c r="G94" s="20" t="n"/>
      <c r="H94" s="22" t="n"/>
      <c r="I94" s="22" t="n"/>
      <c r="J94" s="21" t="n"/>
      <c r="K94" s="20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20">
        <f>IF(AND(B95="",C95=""),"",ROW()-1)</f>
        <v/>
      </c>
      <c r="B95" s="20" t="n"/>
      <c r="C95" s="21">
        <f>IF(B95="","",VLOOKUP(B95,Projects!$B:$C,2,FALSE()))</f>
        <v/>
      </c>
      <c r="D95" s="21" t="n"/>
      <c r="E95" s="20" t="n"/>
      <c r="F95" s="20" t="n"/>
      <c r="G95" s="20" t="n"/>
      <c r="H95" s="22" t="n"/>
      <c r="I95" s="22" t="n"/>
      <c r="J95" s="21" t="n"/>
      <c r="K95" s="20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20">
        <f>IF(AND(B96="",C96=""),"",ROW()-1)</f>
        <v/>
      </c>
      <c r="B96" s="20" t="n"/>
      <c r="C96" s="21">
        <f>IF(B96="","",VLOOKUP(B96,Projects!$B:$C,2,FALSE()))</f>
        <v/>
      </c>
      <c r="D96" s="21" t="n"/>
      <c r="E96" s="20" t="n"/>
      <c r="F96" s="20" t="n"/>
      <c r="G96" s="20" t="n"/>
      <c r="H96" s="22" t="n"/>
      <c r="I96" s="22" t="n"/>
      <c r="J96" s="21" t="n"/>
      <c r="K96" s="20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20">
        <f>IF(AND(B97="",C97=""),"",ROW()-1)</f>
        <v/>
      </c>
      <c r="B97" s="20" t="n"/>
      <c r="C97" s="21">
        <f>IF(B97="","",VLOOKUP(B97,Projects!$B:$C,2,FALSE()))</f>
        <v/>
      </c>
      <c r="D97" s="21" t="n"/>
      <c r="E97" s="20" t="n"/>
      <c r="F97" s="20" t="n"/>
      <c r="G97" s="20" t="n"/>
      <c r="H97" s="22" t="n"/>
      <c r="I97" s="22" t="n"/>
      <c r="J97" s="21" t="n"/>
      <c r="K97" s="20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20">
        <f>IF(AND(B98="",C98=""),"",ROW()-1)</f>
        <v/>
      </c>
      <c r="B98" s="20" t="n"/>
      <c r="C98" s="21">
        <f>IF(B98="","",VLOOKUP(B98,Projects!$B:$C,2,FALSE()))</f>
        <v/>
      </c>
      <c r="D98" s="21" t="n"/>
      <c r="E98" s="20" t="n"/>
      <c r="F98" s="20" t="n"/>
      <c r="G98" s="20" t="n"/>
      <c r="H98" s="22" t="n"/>
      <c r="I98" s="22" t="n"/>
      <c r="J98" s="21" t="n"/>
      <c r="K98" s="20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20">
        <f>IF(AND(B99="",C99=""),"",ROW()-1)</f>
        <v/>
      </c>
      <c r="B99" s="20" t="n"/>
      <c r="C99" s="21">
        <f>IF(B99="","",VLOOKUP(B99,Projects!$B:$C,2,FALSE()))</f>
        <v/>
      </c>
      <c r="D99" s="21" t="n"/>
      <c r="E99" s="20" t="n"/>
      <c r="F99" s="20" t="n"/>
      <c r="G99" s="20" t="n"/>
      <c r="H99" s="22" t="n"/>
      <c r="I99" s="22" t="n"/>
      <c r="J99" s="21" t="n"/>
      <c r="K99" s="20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20">
        <f>IF(AND(B100="",C100=""),"",ROW()-1)</f>
        <v/>
      </c>
      <c r="B100" s="20" t="n"/>
      <c r="C100" s="21">
        <f>IF(B100="","",VLOOKUP(B100,Projects!$B:$C,2,FALSE()))</f>
        <v/>
      </c>
      <c r="D100" s="21" t="n"/>
      <c r="E100" s="20" t="n"/>
      <c r="F100" s="20" t="n"/>
      <c r="G100" s="20" t="n"/>
      <c r="H100" s="22" t="n"/>
      <c r="I100" s="22" t="n"/>
      <c r="J100" s="21" t="n"/>
      <c r="K100" s="20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20">
        <f>IF(AND(B101="",C101=""),"",ROW()-1)</f>
        <v/>
      </c>
      <c r="B101" s="20" t="n"/>
      <c r="C101" s="21">
        <f>IF(B101="","",VLOOKUP(B101,Projects!$B:$C,2,FALSE()))</f>
        <v/>
      </c>
      <c r="D101" s="21" t="n"/>
      <c r="E101" s="20" t="n"/>
      <c r="F101" s="20" t="n"/>
      <c r="G101" s="20" t="n"/>
      <c r="H101" s="22" t="n"/>
      <c r="I101" s="22" t="n"/>
      <c r="J101" s="21" t="n"/>
      <c r="K101" s="20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20">
        <f>IF(AND(B102="",C102=""),"",ROW()-1)</f>
        <v/>
      </c>
      <c r="B102" s="20" t="n"/>
      <c r="C102" s="21">
        <f>IF(B102="","",VLOOKUP(B102,Projects!$B:$C,2,FALSE()))</f>
        <v/>
      </c>
      <c r="D102" s="21" t="n"/>
      <c r="E102" s="20" t="n"/>
      <c r="F102" s="20" t="n"/>
      <c r="G102" s="20" t="n"/>
      <c r="H102" s="22" t="n"/>
      <c r="I102" s="22" t="n"/>
      <c r="J102" s="21" t="n"/>
      <c r="K102" s="20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20">
        <f>IF(AND(B103="",C103=""),"",ROW()-1)</f>
        <v/>
      </c>
      <c r="B103" s="20" t="n"/>
      <c r="C103" s="21">
        <f>IF(B103="","",VLOOKUP(B103,Projects!$B:$C,2,FALSE()))</f>
        <v/>
      </c>
      <c r="D103" s="21" t="n"/>
      <c r="E103" s="20" t="n"/>
      <c r="F103" s="20" t="n"/>
      <c r="G103" s="20" t="n"/>
      <c r="H103" s="22" t="n"/>
      <c r="I103" s="22" t="n"/>
      <c r="J103" s="21" t="n"/>
      <c r="K103" s="20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20">
        <f>IF(AND(B104="",C104=""),"",ROW()-1)</f>
        <v/>
      </c>
      <c r="B104" s="20" t="n"/>
      <c r="C104" s="21">
        <f>IF(B104="","",VLOOKUP(B104,Projects!$B:$C,2,FALSE()))</f>
        <v/>
      </c>
      <c r="D104" s="21" t="n"/>
      <c r="E104" s="20" t="n"/>
      <c r="F104" s="20" t="n"/>
      <c r="G104" s="20" t="n"/>
      <c r="H104" s="22" t="n"/>
      <c r="I104" s="22" t="n"/>
      <c r="J104" s="21" t="n"/>
      <c r="K104" s="20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20">
        <f>IF(AND(B105="",C105=""),"",ROW()-1)</f>
        <v/>
      </c>
      <c r="B105" s="20" t="n"/>
      <c r="C105" s="21">
        <f>IF(B105="","",VLOOKUP(B105,Projects!$B:$C,2,FALSE()))</f>
        <v/>
      </c>
      <c r="D105" s="21" t="n"/>
      <c r="E105" s="20" t="n"/>
      <c r="F105" s="20" t="n"/>
      <c r="G105" s="20" t="n"/>
      <c r="H105" s="22" t="n"/>
      <c r="I105" s="22" t="n"/>
      <c r="J105" s="21" t="n"/>
      <c r="K105" s="20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20">
        <f>IF(AND(B106="",C106=""),"",ROW()-1)</f>
        <v/>
      </c>
      <c r="B106" s="20" t="n"/>
      <c r="C106" s="21">
        <f>IF(B106="","",VLOOKUP(B106,Projects!$B:$C,2,FALSE()))</f>
        <v/>
      </c>
      <c r="D106" s="21" t="n"/>
      <c r="E106" s="20" t="n"/>
      <c r="F106" s="20" t="n"/>
      <c r="G106" s="20" t="n"/>
      <c r="H106" s="22" t="n"/>
      <c r="I106" s="22" t="n"/>
      <c r="J106" s="21" t="n"/>
      <c r="K106" s="20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20">
        <f>IF(AND(B107="",C107=""),"",ROW()-1)</f>
        <v/>
      </c>
      <c r="B107" s="20" t="n"/>
      <c r="C107" s="21">
        <f>IF(B107="","",VLOOKUP(B107,Projects!$B:$C,2,FALSE()))</f>
        <v/>
      </c>
      <c r="D107" s="21" t="n"/>
      <c r="E107" s="20" t="n"/>
      <c r="F107" s="20" t="n"/>
      <c r="G107" s="20" t="n"/>
      <c r="H107" s="22" t="n"/>
      <c r="I107" s="22" t="n"/>
      <c r="J107" s="21" t="n"/>
      <c r="K107" s="20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20">
        <f>IF(AND(B108="",C108=""),"",ROW()-1)</f>
        <v/>
      </c>
      <c r="B108" s="20" t="n"/>
      <c r="C108" s="21">
        <f>IF(B108="","",VLOOKUP(B108,Projects!$B:$C,2,FALSE()))</f>
        <v/>
      </c>
      <c r="D108" s="21" t="n"/>
      <c r="E108" s="20" t="n"/>
      <c r="F108" s="20" t="n"/>
      <c r="G108" s="20" t="n"/>
      <c r="H108" s="22" t="n"/>
      <c r="I108" s="22" t="n"/>
      <c r="J108" s="21" t="n"/>
      <c r="K108" s="20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20">
        <f>IF(AND(B109="",C109=""),"",ROW()-1)</f>
        <v/>
      </c>
      <c r="B109" s="20" t="n"/>
      <c r="C109" s="21">
        <f>IF(B109="","",VLOOKUP(B109,Projects!$B:$C,2,FALSE()))</f>
        <v/>
      </c>
      <c r="D109" s="21" t="n"/>
      <c r="E109" s="20" t="n"/>
      <c r="F109" s="20" t="n"/>
      <c r="G109" s="20" t="n"/>
      <c r="H109" s="22" t="n"/>
      <c r="I109" s="22" t="n"/>
      <c r="J109" s="21" t="n"/>
      <c r="K109" s="20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20">
        <f>IF(AND(B110="",C110=""),"",ROW()-1)</f>
        <v/>
      </c>
      <c r="B110" s="20" t="n"/>
      <c r="C110" s="21">
        <f>IF(B110="","",VLOOKUP(B110,Projects!$B:$C,2,FALSE()))</f>
        <v/>
      </c>
      <c r="D110" s="21" t="n"/>
      <c r="E110" s="20" t="n"/>
      <c r="F110" s="20" t="n"/>
      <c r="G110" s="20" t="n"/>
      <c r="H110" s="22" t="n"/>
      <c r="I110" s="22" t="n"/>
      <c r="J110" s="21" t="n"/>
      <c r="K110" s="20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20">
        <f>IF(AND(B111="",C111=""),"",ROW()-1)</f>
        <v/>
      </c>
      <c r="B111" s="20" t="n"/>
      <c r="C111" s="21">
        <f>IF(B111="","",VLOOKUP(B111,Projects!$B:$C,2,FALSE()))</f>
        <v/>
      </c>
      <c r="D111" s="21" t="n"/>
      <c r="E111" s="20" t="n"/>
      <c r="F111" s="20" t="n"/>
      <c r="G111" s="20" t="n"/>
      <c r="H111" s="22" t="n"/>
      <c r="I111" s="22" t="n"/>
      <c r="J111" s="21" t="n"/>
      <c r="K111" s="20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20">
        <f>IF(AND(B112="",C112=""),"",ROW()-1)</f>
        <v/>
      </c>
      <c r="B112" s="20" t="n"/>
      <c r="C112" s="21">
        <f>IF(B112="","",VLOOKUP(B112,Projects!$B:$C,2,FALSE()))</f>
        <v/>
      </c>
      <c r="D112" s="21" t="n"/>
      <c r="E112" s="20" t="n"/>
      <c r="F112" s="20" t="n"/>
      <c r="G112" s="20" t="n"/>
      <c r="H112" s="22" t="n"/>
      <c r="I112" s="22" t="n"/>
      <c r="J112" s="21" t="n"/>
      <c r="K112" s="20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20">
        <f>IF(AND(B113="",C113=""),"",ROW()-1)</f>
        <v/>
      </c>
      <c r="B113" s="20" t="n"/>
      <c r="C113" s="21">
        <f>IF(B113="","",VLOOKUP(B113,Projects!$B:$C,2,FALSE()))</f>
        <v/>
      </c>
      <c r="D113" s="21" t="n"/>
      <c r="E113" s="20" t="n"/>
      <c r="F113" s="20" t="n"/>
      <c r="G113" s="20" t="n"/>
      <c r="H113" s="22" t="n"/>
      <c r="I113" s="22" t="n"/>
      <c r="J113" s="21" t="n"/>
      <c r="K113" s="20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20">
        <f>IF(AND(B114="",C114=""),"",ROW()-1)</f>
        <v/>
      </c>
      <c r="B114" s="20" t="n"/>
      <c r="C114" s="21">
        <f>IF(B114="","",VLOOKUP(B114,Projects!$B:$C,2,FALSE()))</f>
        <v/>
      </c>
      <c r="D114" s="21" t="n"/>
      <c r="E114" s="20" t="n"/>
      <c r="F114" s="20" t="n"/>
      <c r="G114" s="20" t="n"/>
      <c r="H114" s="22" t="n"/>
      <c r="I114" s="22" t="n"/>
      <c r="J114" s="21" t="n"/>
      <c r="K114" s="20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20">
        <f>IF(AND(B115="",C115=""),"",ROW()-1)</f>
        <v/>
      </c>
      <c r="B115" s="20" t="n"/>
      <c r="C115" s="21">
        <f>IF(B115="","",VLOOKUP(B115,Projects!$B:$C,2,FALSE()))</f>
        <v/>
      </c>
      <c r="D115" s="21" t="n"/>
      <c r="E115" s="20" t="n"/>
      <c r="F115" s="20" t="n"/>
      <c r="G115" s="20" t="n"/>
      <c r="H115" s="22" t="n"/>
      <c r="I115" s="22" t="n"/>
      <c r="J115" s="21" t="n"/>
      <c r="K115" s="20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20">
        <f>IF(AND(B116="",C116=""),"",ROW()-1)</f>
        <v/>
      </c>
      <c r="B116" s="20" t="n"/>
      <c r="C116" s="21">
        <f>IF(B116="","",VLOOKUP(B116,Projects!$B:$C,2,FALSE()))</f>
        <v/>
      </c>
      <c r="D116" s="21" t="n"/>
      <c r="E116" s="20" t="n"/>
      <c r="F116" s="20" t="n"/>
      <c r="G116" s="20" t="n"/>
      <c r="H116" s="22" t="n"/>
      <c r="I116" s="22" t="n"/>
      <c r="J116" s="21" t="n"/>
      <c r="K116" s="20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20">
        <f>IF(AND(B117="",C117=""),"",ROW()-1)</f>
        <v/>
      </c>
      <c r="B117" s="20" t="n"/>
      <c r="C117" s="21">
        <f>IF(B117="","",VLOOKUP(B117,Projects!$B:$C,2,FALSE()))</f>
        <v/>
      </c>
      <c r="D117" s="21" t="n"/>
      <c r="E117" s="20" t="n"/>
      <c r="F117" s="20" t="n"/>
      <c r="G117" s="20" t="n"/>
      <c r="H117" s="22" t="n"/>
      <c r="I117" s="22" t="n"/>
      <c r="J117" s="21" t="n"/>
      <c r="K117" s="20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20">
        <f>IF(AND(B118="",C118=""),"",ROW()-1)</f>
        <v/>
      </c>
      <c r="B118" s="20" t="n"/>
      <c r="C118" s="21">
        <f>IF(B118="","",VLOOKUP(B118,Projects!$B:$C,2,FALSE()))</f>
        <v/>
      </c>
      <c r="D118" s="21" t="n"/>
      <c r="E118" s="20" t="n"/>
      <c r="F118" s="20" t="n"/>
      <c r="G118" s="20" t="n"/>
      <c r="H118" s="22" t="n"/>
      <c r="I118" s="22" t="n"/>
      <c r="J118" s="21" t="n"/>
      <c r="K118" s="20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20">
        <f>IF(AND(B119="",C119=""),"",ROW()-1)</f>
        <v/>
      </c>
      <c r="B119" s="20" t="n"/>
      <c r="C119" s="21">
        <f>IF(B119="","",VLOOKUP(B119,Projects!$B:$C,2,FALSE()))</f>
        <v/>
      </c>
      <c r="D119" s="21" t="n"/>
      <c r="E119" s="20" t="n"/>
      <c r="F119" s="20" t="n"/>
      <c r="G119" s="20" t="n"/>
      <c r="H119" s="22" t="n"/>
      <c r="I119" s="22" t="n"/>
      <c r="J119" s="21" t="n"/>
      <c r="K119" s="20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20">
        <f>IF(AND(B120="",C120=""),"",ROW()-1)</f>
        <v/>
      </c>
      <c r="B120" s="20" t="n"/>
      <c r="C120" s="21">
        <f>IF(B120="","",VLOOKUP(B120,Projects!$B:$C,2,FALSE()))</f>
        <v/>
      </c>
      <c r="D120" s="21" t="n"/>
      <c r="E120" s="20" t="n"/>
      <c r="F120" s="20" t="n"/>
      <c r="G120" s="20" t="n"/>
      <c r="H120" s="22" t="n"/>
      <c r="I120" s="22" t="n"/>
      <c r="J120" s="21" t="n"/>
      <c r="K120" s="20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20">
        <f>IF(AND(B121="",C121=""),"",ROW()-1)</f>
        <v/>
      </c>
      <c r="B121" s="20" t="n"/>
      <c r="C121" s="21">
        <f>IF(B121="","",VLOOKUP(B121,Projects!$B:$C,2,FALSE()))</f>
        <v/>
      </c>
      <c r="D121" s="21" t="n"/>
      <c r="E121" s="20" t="n"/>
      <c r="F121" s="20" t="n"/>
      <c r="G121" s="20" t="n"/>
      <c r="H121" s="22" t="n"/>
      <c r="I121" s="22" t="n"/>
      <c r="J121" s="21" t="n"/>
      <c r="K121" s="20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20">
        <f>IF(AND(B122="",C122=""),"",ROW()-1)</f>
        <v/>
      </c>
      <c r="B122" s="20" t="n"/>
      <c r="C122" s="21">
        <f>IF(B122="","",VLOOKUP(B122,Projects!$B:$C,2,FALSE()))</f>
        <v/>
      </c>
      <c r="D122" s="21" t="n"/>
      <c r="E122" s="20" t="n"/>
      <c r="F122" s="20" t="n"/>
      <c r="G122" s="20" t="n"/>
      <c r="H122" s="22" t="n"/>
      <c r="I122" s="22" t="n"/>
      <c r="J122" s="21" t="n"/>
      <c r="K122" s="20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20">
        <f>IF(AND(B123="",C123=""),"",ROW()-1)</f>
        <v/>
      </c>
      <c r="B123" s="20" t="n"/>
      <c r="C123" s="21">
        <f>IF(B123="","",VLOOKUP(B123,Projects!$B:$C,2,FALSE()))</f>
        <v/>
      </c>
      <c r="D123" s="21" t="n"/>
      <c r="E123" s="20" t="n"/>
      <c r="F123" s="20" t="n"/>
      <c r="G123" s="20" t="n"/>
      <c r="H123" s="22" t="n"/>
      <c r="I123" s="22" t="n"/>
      <c r="J123" s="21" t="n"/>
      <c r="K123" s="20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20">
        <f>IF(AND(B124="",C124=""),"",ROW()-1)</f>
        <v/>
      </c>
      <c r="B124" s="20" t="n"/>
      <c r="C124" s="21">
        <f>IF(B124="","",VLOOKUP(B124,Projects!$B:$C,2,FALSE()))</f>
        <v/>
      </c>
      <c r="D124" s="21" t="n"/>
      <c r="E124" s="20" t="n"/>
      <c r="F124" s="20" t="n"/>
      <c r="G124" s="20" t="n"/>
      <c r="H124" s="22" t="n"/>
      <c r="I124" s="22" t="n"/>
      <c r="J124" s="21" t="n"/>
      <c r="K124" s="20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20">
        <f>IF(AND(B125="",C125=""),"",ROW()-1)</f>
        <v/>
      </c>
      <c r="B125" s="20" t="n"/>
      <c r="C125" s="21">
        <f>IF(B125="","",VLOOKUP(B125,Projects!$B:$C,2,FALSE()))</f>
        <v/>
      </c>
      <c r="D125" s="21" t="n"/>
      <c r="E125" s="20" t="n"/>
      <c r="F125" s="20" t="n"/>
      <c r="G125" s="20" t="n"/>
      <c r="H125" s="22" t="n"/>
      <c r="I125" s="22" t="n"/>
      <c r="J125" s="21" t="n"/>
      <c r="K125" s="20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20">
        <f>IF(AND(B126="",C126=""),"",ROW()-1)</f>
        <v/>
      </c>
      <c r="B126" s="20" t="n"/>
      <c r="C126" s="21">
        <f>IF(B126="","",VLOOKUP(B126,Projects!$B:$C,2,FALSE()))</f>
        <v/>
      </c>
      <c r="D126" s="21" t="n"/>
      <c r="E126" s="20" t="n"/>
      <c r="F126" s="20" t="n"/>
      <c r="G126" s="20" t="n"/>
      <c r="H126" s="22" t="n"/>
      <c r="I126" s="22" t="n"/>
      <c r="J126" s="21" t="n"/>
      <c r="K126" s="20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20">
        <f>IF(AND(B127="",C127=""),"",ROW()-1)</f>
        <v/>
      </c>
      <c r="B127" s="20" t="n"/>
      <c r="C127" s="21">
        <f>IF(B127="","",VLOOKUP(B127,Projects!$B:$C,2,FALSE()))</f>
        <v/>
      </c>
      <c r="D127" s="21" t="n"/>
      <c r="E127" s="20" t="n"/>
      <c r="F127" s="20" t="n"/>
      <c r="G127" s="20" t="n"/>
      <c r="H127" s="22" t="n"/>
      <c r="I127" s="22" t="n"/>
      <c r="J127" s="21" t="n"/>
      <c r="K127" s="20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20">
        <f>IF(AND(B128="",C128=""),"",ROW()-1)</f>
        <v/>
      </c>
      <c r="B128" s="20" t="n"/>
      <c r="C128" s="21">
        <f>IF(B128="","",VLOOKUP(B128,Projects!$B:$C,2,FALSE()))</f>
        <v/>
      </c>
      <c r="D128" s="21" t="n"/>
      <c r="E128" s="20" t="n"/>
      <c r="F128" s="20" t="n"/>
      <c r="G128" s="20" t="n"/>
      <c r="H128" s="22" t="n"/>
      <c r="I128" s="22" t="n"/>
      <c r="J128" s="21" t="n"/>
      <c r="K128" s="20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20">
        <f>IF(AND(B129="",C129=""),"",ROW()-1)</f>
        <v/>
      </c>
      <c r="B129" s="20" t="n"/>
      <c r="C129" s="21">
        <f>IF(B129="","",VLOOKUP(B129,Projects!$B:$C,2,FALSE()))</f>
        <v/>
      </c>
      <c r="D129" s="21" t="n"/>
      <c r="E129" s="20" t="n"/>
      <c r="F129" s="20" t="n"/>
      <c r="G129" s="20" t="n"/>
      <c r="H129" s="22" t="n"/>
      <c r="I129" s="22" t="n"/>
      <c r="J129" s="21" t="n"/>
      <c r="K129" s="20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20">
        <f>IF(AND(B130="",C130=""),"",ROW()-1)</f>
        <v/>
      </c>
      <c r="B130" s="20" t="n"/>
      <c r="C130" s="21">
        <f>IF(B130="","",VLOOKUP(B130,Projects!$B:$C,2,FALSE()))</f>
        <v/>
      </c>
      <c r="D130" s="21" t="n"/>
      <c r="E130" s="20" t="n"/>
      <c r="F130" s="20" t="n"/>
      <c r="G130" s="20" t="n"/>
      <c r="H130" s="22" t="n"/>
      <c r="I130" s="22" t="n"/>
      <c r="J130" s="21" t="n"/>
      <c r="K130" s="20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20">
        <f>IF(AND(B131="",C131=""),"",ROW()-1)</f>
        <v/>
      </c>
      <c r="B131" s="20" t="n"/>
      <c r="C131" s="21">
        <f>IF(B131="","",VLOOKUP(B131,Projects!$B:$C,2,FALSE()))</f>
        <v/>
      </c>
      <c r="D131" s="21" t="n"/>
      <c r="E131" s="20" t="n"/>
      <c r="F131" s="20" t="n"/>
      <c r="G131" s="20" t="n"/>
      <c r="H131" s="22" t="n"/>
      <c r="I131" s="22" t="n"/>
      <c r="J131" s="21" t="n"/>
      <c r="K131" s="20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20">
        <f>IF(AND(B132="",C132=""),"",ROW()-1)</f>
        <v/>
      </c>
      <c r="B132" s="20" t="n"/>
      <c r="C132" s="21">
        <f>IF(B132="","",VLOOKUP(B132,Projects!$B:$C,2,FALSE()))</f>
        <v/>
      </c>
      <c r="D132" s="21" t="n"/>
      <c r="E132" s="20" t="n"/>
      <c r="F132" s="20" t="n"/>
      <c r="G132" s="20" t="n"/>
      <c r="H132" s="22" t="n"/>
      <c r="I132" s="22" t="n"/>
      <c r="J132" s="21" t="n"/>
      <c r="K132" s="20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20">
        <f>IF(AND(B133="",C133=""),"",ROW()-1)</f>
        <v/>
      </c>
      <c r="B133" s="20" t="n"/>
      <c r="C133" s="21">
        <f>IF(B133="","",VLOOKUP(B133,Projects!$B:$C,2,FALSE()))</f>
        <v/>
      </c>
      <c r="D133" s="21" t="n"/>
      <c r="E133" s="20" t="n"/>
      <c r="F133" s="20" t="n"/>
      <c r="G133" s="20" t="n"/>
      <c r="H133" s="22" t="n"/>
      <c r="I133" s="22" t="n"/>
      <c r="J133" s="21" t="n"/>
      <c r="K133" s="20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20">
        <f>IF(AND(B134="",C134=""),"",ROW()-1)</f>
        <v/>
      </c>
      <c r="B134" s="20" t="n"/>
      <c r="C134" s="21">
        <f>IF(B134="","",VLOOKUP(B134,Projects!$B:$C,2,FALSE()))</f>
        <v/>
      </c>
      <c r="D134" s="21" t="n"/>
      <c r="E134" s="20" t="n"/>
      <c r="F134" s="20" t="n"/>
      <c r="G134" s="20" t="n"/>
      <c r="H134" s="22" t="n"/>
      <c r="I134" s="22" t="n"/>
      <c r="J134" s="21" t="n"/>
      <c r="K134" s="20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20">
        <f>IF(AND(B135="",C135=""),"",ROW()-1)</f>
        <v/>
      </c>
      <c r="B135" s="20" t="n"/>
      <c r="C135" s="21">
        <f>IF(B135="","",VLOOKUP(B135,Projects!$B:$C,2,FALSE()))</f>
        <v/>
      </c>
      <c r="D135" s="21" t="n"/>
      <c r="E135" s="20" t="n"/>
      <c r="F135" s="20" t="n"/>
      <c r="G135" s="20" t="n"/>
      <c r="H135" s="22" t="n"/>
      <c r="I135" s="22" t="n"/>
      <c r="J135" s="21" t="n"/>
      <c r="K135" s="20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20">
        <f>IF(AND(B136="",C136=""),"",ROW()-1)</f>
        <v/>
      </c>
      <c r="B136" s="20" t="n"/>
      <c r="C136" s="21">
        <f>IF(B136="","",VLOOKUP(B136,Projects!$B:$C,2,FALSE()))</f>
        <v/>
      </c>
      <c r="D136" s="21" t="n"/>
      <c r="E136" s="20" t="n"/>
      <c r="F136" s="20" t="n"/>
      <c r="G136" s="20" t="n"/>
      <c r="H136" s="22" t="n"/>
      <c r="I136" s="22" t="n"/>
      <c r="J136" s="21" t="n"/>
      <c r="K136" s="20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20">
        <f>IF(AND(B137="",C137=""),"",ROW()-1)</f>
        <v/>
      </c>
      <c r="B137" s="20" t="n"/>
      <c r="C137" s="21">
        <f>IF(B137="","",VLOOKUP(B137,Projects!$B:$C,2,FALSE()))</f>
        <v/>
      </c>
      <c r="D137" s="21" t="n"/>
      <c r="E137" s="20" t="n"/>
      <c r="F137" s="20" t="n"/>
      <c r="G137" s="20" t="n"/>
      <c r="H137" s="22" t="n"/>
      <c r="I137" s="22" t="n"/>
      <c r="J137" s="21" t="n"/>
      <c r="K137" s="20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20">
        <f>IF(AND(B138="",C138=""),"",ROW()-1)</f>
        <v/>
      </c>
      <c r="B138" s="20" t="n"/>
      <c r="C138" s="21">
        <f>IF(B138="","",VLOOKUP(B138,Projects!$B:$C,2,FALSE()))</f>
        <v/>
      </c>
      <c r="D138" s="21" t="n"/>
      <c r="E138" s="20" t="n"/>
      <c r="F138" s="20" t="n"/>
      <c r="G138" s="20" t="n"/>
      <c r="H138" s="22" t="n"/>
      <c r="I138" s="22" t="n"/>
      <c r="J138" s="21" t="n"/>
      <c r="K138" s="20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20">
        <f>IF(AND(B139="",C139=""),"",ROW()-1)</f>
        <v/>
      </c>
      <c r="B139" s="20" t="n"/>
      <c r="C139" s="21">
        <f>IF(B139="","",VLOOKUP(B139,Projects!$B:$C,2,FALSE()))</f>
        <v/>
      </c>
      <c r="D139" s="21" t="n"/>
      <c r="E139" s="20" t="n"/>
      <c r="F139" s="20" t="n"/>
      <c r="G139" s="20" t="n"/>
      <c r="H139" s="22" t="n"/>
      <c r="I139" s="22" t="n"/>
      <c r="J139" s="21" t="n"/>
      <c r="K139" s="20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20">
        <f>IF(AND(B140="",C140=""),"",ROW()-1)</f>
        <v/>
      </c>
      <c r="B140" s="20" t="n"/>
      <c r="C140" s="21">
        <f>IF(B140="","",VLOOKUP(B140,Projects!$B:$C,2,FALSE()))</f>
        <v/>
      </c>
      <c r="D140" s="21" t="n"/>
      <c r="E140" s="20" t="n"/>
      <c r="F140" s="20" t="n"/>
      <c r="G140" s="20" t="n"/>
      <c r="H140" s="22" t="n"/>
      <c r="I140" s="22" t="n"/>
      <c r="J140" s="21" t="n"/>
      <c r="K140" s="20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20">
        <f>IF(AND(B141="",C141=""),"",ROW()-1)</f>
        <v/>
      </c>
      <c r="B141" s="20" t="n"/>
      <c r="C141" s="21">
        <f>IF(B141="","",VLOOKUP(B141,Projects!$B:$C,2,FALSE()))</f>
        <v/>
      </c>
      <c r="D141" s="21" t="n"/>
      <c r="E141" s="20" t="n"/>
      <c r="F141" s="20" t="n"/>
      <c r="G141" s="20" t="n"/>
      <c r="H141" s="22" t="n"/>
      <c r="I141" s="22" t="n"/>
      <c r="J141" s="21" t="n"/>
      <c r="K141" s="20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20">
        <f>IF(AND(B142="",C142=""),"",ROW()-1)</f>
        <v/>
      </c>
      <c r="B142" s="20" t="n"/>
      <c r="C142" s="21">
        <f>IF(B142="","",VLOOKUP(B142,Projects!$B:$C,2,FALSE()))</f>
        <v/>
      </c>
      <c r="D142" s="21" t="n"/>
      <c r="E142" s="20" t="n"/>
      <c r="F142" s="20" t="n"/>
      <c r="G142" s="20" t="n"/>
      <c r="H142" s="22" t="n"/>
      <c r="I142" s="22" t="n"/>
      <c r="J142" s="21" t="n"/>
      <c r="K142" s="20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20">
        <f>IF(AND(B143="",C143=""),"",ROW()-1)</f>
        <v/>
      </c>
      <c r="B143" s="20" t="n"/>
      <c r="C143" s="21">
        <f>IF(B143="","",VLOOKUP(B143,Projects!$B:$C,2,FALSE()))</f>
        <v/>
      </c>
      <c r="D143" s="21" t="n"/>
      <c r="E143" s="20" t="n"/>
      <c r="F143" s="20" t="n"/>
      <c r="G143" s="20" t="n"/>
      <c r="H143" s="22" t="n"/>
      <c r="I143" s="22" t="n"/>
      <c r="J143" s="21" t="n"/>
      <c r="K143" s="20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20">
        <f>IF(AND(B144="",C144=""),"",ROW()-1)</f>
        <v/>
      </c>
      <c r="B144" s="20" t="n"/>
      <c r="C144" s="21">
        <f>IF(B144="","",VLOOKUP(B144,Projects!$B:$C,2,FALSE()))</f>
        <v/>
      </c>
      <c r="D144" s="21" t="n"/>
      <c r="E144" s="20" t="n"/>
      <c r="F144" s="20" t="n"/>
      <c r="G144" s="20" t="n"/>
      <c r="H144" s="22" t="n"/>
      <c r="I144" s="22" t="n"/>
      <c r="J144" s="21" t="n"/>
      <c r="K144" s="20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20">
        <f>IF(AND(B145="",C145=""),"",ROW()-1)</f>
        <v/>
      </c>
      <c r="B145" s="20" t="n"/>
      <c r="C145" s="21">
        <f>IF(B145="","",VLOOKUP(B145,Projects!$B:$C,2,FALSE()))</f>
        <v/>
      </c>
      <c r="D145" s="21" t="n"/>
      <c r="E145" s="20" t="n"/>
      <c r="F145" s="20" t="n"/>
      <c r="G145" s="20" t="n"/>
      <c r="H145" s="22" t="n"/>
      <c r="I145" s="22" t="n"/>
      <c r="J145" s="21" t="n"/>
      <c r="K145" s="20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20">
        <f>IF(AND(B146="",C146=""),"",ROW()-1)</f>
        <v/>
      </c>
      <c r="B146" s="20" t="n"/>
      <c r="C146" s="21">
        <f>IF(B146="","",VLOOKUP(B146,Projects!$B:$C,2,FALSE()))</f>
        <v/>
      </c>
      <c r="D146" s="21" t="n"/>
      <c r="E146" s="20" t="n"/>
      <c r="F146" s="20" t="n"/>
      <c r="G146" s="20" t="n"/>
      <c r="H146" s="22" t="n"/>
      <c r="I146" s="22" t="n"/>
      <c r="J146" s="21" t="n"/>
      <c r="K146" s="20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20">
        <f>IF(AND(B147="",C147=""),"",ROW()-1)</f>
        <v/>
      </c>
      <c r="B147" s="20" t="n"/>
      <c r="C147" s="21">
        <f>IF(B147="","",VLOOKUP(B147,Projects!$B:$C,2,FALSE()))</f>
        <v/>
      </c>
      <c r="D147" s="21" t="n"/>
      <c r="E147" s="20" t="n"/>
      <c r="F147" s="20" t="n"/>
      <c r="G147" s="20" t="n"/>
      <c r="H147" s="22" t="n"/>
      <c r="I147" s="22" t="n"/>
      <c r="J147" s="21" t="n"/>
      <c r="K147" s="20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20">
        <f>IF(AND(B148="",C148=""),"",ROW()-1)</f>
        <v/>
      </c>
      <c r="B148" s="20" t="n"/>
      <c r="C148" s="21">
        <f>IF(B148="","",VLOOKUP(B148,Projects!$B:$C,2,FALSE()))</f>
        <v/>
      </c>
      <c r="D148" s="21" t="n"/>
      <c r="E148" s="20" t="n"/>
      <c r="F148" s="20" t="n"/>
      <c r="G148" s="20" t="n"/>
      <c r="H148" s="22" t="n"/>
      <c r="I148" s="22" t="n"/>
      <c r="J148" s="21" t="n"/>
      <c r="K148" s="20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20">
        <f>IF(AND(B149="",C149=""),"",ROW()-1)</f>
        <v/>
      </c>
      <c r="B149" s="20" t="n"/>
      <c r="C149" s="21">
        <f>IF(B149="","",VLOOKUP(B149,Projects!$B:$C,2,FALSE()))</f>
        <v/>
      </c>
      <c r="D149" s="21" t="n"/>
      <c r="E149" s="20" t="n"/>
      <c r="F149" s="20" t="n"/>
      <c r="G149" s="20" t="n"/>
      <c r="H149" s="22" t="n"/>
      <c r="I149" s="22" t="n"/>
      <c r="J149" s="21" t="n"/>
      <c r="K149" s="20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20">
        <f>IF(AND(B150="",C150=""),"",ROW()-1)</f>
        <v/>
      </c>
      <c r="B150" s="20" t="n"/>
      <c r="C150" s="21">
        <f>IF(B150="","",VLOOKUP(B150,Projects!$B:$C,2,FALSE()))</f>
        <v/>
      </c>
      <c r="D150" s="21" t="n"/>
      <c r="E150" s="20" t="n"/>
      <c r="F150" s="20" t="n"/>
      <c r="G150" s="20" t="n"/>
      <c r="H150" s="22" t="n"/>
      <c r="I150" s="22" t="n"/>
      <c r="J150" s="21" t="n"/>
      <c r="K150" s="20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20">
        <f>IF(AND(B151="",C151=""),"",ROW()-1)</f>
        <v/>
      </c>
      <c r="B151" s="20" t="n"/>
      <c r="C151" s="21">
        <f>IF(B151="","",VLOOKUP(B151,Projects!$B:$C,2,FALSE()))</f>
        <v/>
      </c>
      <c r="D151" s="21" t="n"/>
      <c r="E151" s="20" t="n"/>
      <c r="F151" s="20" t="n"/>
      <c r="G151" s="20" t="n"/>
      <c r="H151" s="22" t="n"/>
      <c r="I151" s="22" t="n"/>
      <c r="J151" s="21" t="n"/>
      <c r="K151" s="20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20">
        <f>IF(AND(B152="",C152=""),"",ROW()-1)</f>
        <v/>
      </c>
      <c r="B152" s="20" t="n"/>
      <c r="C152" s="21">
        <f>IF(B152="","",VLOOKUP(B152,Projects!$B:$C,2,FALSE()))</f>
        <v/>
      </c>
      <c r="D152" s="21" t="n"/>
      <c r="E152" s="20" t="n"/>
      <c r="F152" s="20" t="n"/>
      <c r="G152" s="20" t="n"/>
      <c r="H152" s="22" t="n"/>
      <c r="I152" s="22" t="n"/>
      <c r="J152" s="21" t="n"/>
      <c r="K152" s="20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20">
        <f>IF(AND(B153="",C153=""),"",ROW()-1)</f>
        <v/>
      </c>
      <c r="B153" s="20" t="n"/>
      <c r="C153" s="21">
        <f>IF(B153="","",VLOOKUP(B153,Projects!$B:$C,2,FALSE()))</f>
        <v/>
      </c>
      <c r="D153" s="21" t="n"/>
      <c r="E153" s="20" t="n"/>
      <c r="F153" s="20" t="n"/>
      <c r="G153" s="20" t="n"/>
      <c r="H153" s="22" t="n"/>
      <c r="I153" s="22" t="n"/>
      <c r="J153" s="21" t="n"/>
      <c r="K153" s="20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20">
        <f>IF(AND(B154="",C154=""),"",ROW()-1)</f>
        <v/>
      </c>
      <c r="B154" s="20" t="n"/>
      <c r="C154" s="21">
        <f>IF(B154="","",VLOOKUP(B154,Projects!$B:$C,2,FALSE()))</f>
        <v/>
      </c>
      <c r="D154" s="21" t="n"/>
      <c r="E154" s="20" t="n"/>
      <c r="F154" s="20" t="n"/>
      <c r="G154" s="20" t="n"/>
      <c r="H154" s="22" t="n"/>
      <c r="I154" s="22" t="n"/>
      <c r="J154" s="21" t="n"/>
      <c r="K154" s="20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20">
        <f>IF(AND(B155="",C155=""),"",ROW()-1)</f>
        <v/>
      </c>
      <c r="B155" s="20" t="n"/>
      <c r="C155" s="21">
        <f>IF(B155="","",VLOOKUP(B155,Projects!$B:$C,2,FALSE()))</f>
        <v/>
      </c>
      <c r="D155" s="21" t="n"/>
      <c r="E155" s="20" t="n"/>
      <c r="F155" s="20" t="n"/>
      <c r="G155" s="20" t="n"/>
      <c r="H155" s="22" t="n"/>
      <c r="I155" s="22" t="n"/>
      <c r="J155" s="21" t="n"/>
      <c r="K155" s="20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20">
        <f>IF(AND(B156="",C156=""),"",ROW()-1)</f>
        <v/>
      </c>
      <c r="B156" s="20" t="n"/>
      <c r="C156" s="21">
        <f>IF(B156="","",VLOOKUP(B156,Projects!$B:$C,2,FALSE()))</f>
        <v/>
      </c>
      <c r="D156" s="21" t="n"/>
      <c r="E156" s="20" t="n"/>
      <c r="F156" s="20" t="n"/>
      <c r="G156" s="20" t="n"/>
      <c r="H156" s="22" t="n"/>
      <c r="I156" s="22" t="n"/>
      <c r="J156" s="21" t="n"/>
      <c r="K156" s="20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20">
        <f>IF(AND(B157="",C157=""),"",ROW()-1)</f>
        <v/>
      </c>
      <c r="B157" s="20" t="n"/>
      <c r="C157" s="21">
        <f>IF(B157="","",VLOOKUP(B157,Projects!$B:$C,2,FALSE()))</f>
        <v/>
      </c>
      <c r="D157" s="21" t="n"/>
      <c r="E157" s="20" t="n"/>
      <c r="F157" s="20" t="n"/>
      <c r="G157" s="20" t="n"/>
      <c r="H157" s="22" t="n"/>
      <c r="I157" s="22" t="n"/>
      <c r="J157" s="21" t="n"/>
      <c r="K157" s="20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20">
        <f>IF(AND(B158="",C158=""),"",ROW()-1)</f>
        <v/>
      </c>
      <c r="B158" s="20" t="n"/>
      <c r="C158" s="21">
        <f>IF(B158="","",VLOOKUP(B158,Projects!$B:$C,2,FALSE()))</f>
        <v/>
      </c>
      <c r="D158" s="21" t="n"/>
      <c r="E158" s="20" t="n"/>
      <c r="F158" s="20" t="n"/>
      <c r="G158" s="20" t="n"/>
      <c r="H158" s="22" t="n"/>
      <c r="I158" s="22" t="n"/>
      <c r="J158" s="21" t="n"/>
      <c r="K158" s="20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20">
        <f>IF(AND(B159="",C159=""),"",ROW()-1)</f>
        <v/>
      </c>
      <c r="B159" s="20" t="n"/>
      <c r="C159" s="21">
        <f>IF(B159="","",VLOOKUP(B159,Projects!$B:$C,2,FALSE()))</f>
        <v/>
      </c>
      <c r="D159" s="21" t="n"/>
      <c r="E159" s="20" t="n"/>
      <c r="F159" s="20" t="n"/>
      <c r="G159" s="20" t="n"/>
      <c r="H159" s="22" t="n"/>
      <c r="I159" s="22" t="n"/>
      <c r="J159" s="21" t="n"/>
      <c r="K159" s="20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20">
        <f>IF(AND(B160="",C160=""),"",ROW()-1)</f>
        <v/>
      </c>
      <c r="B160" s="20" t="n"/>
      <c r="C160" s="21">
        <f>IF(B160="","",VLOOKUP(B160,Projects!$B:$C,2,FALSE()))</f>
        <v/>
      </c>
      <c r="D160" s="21" t="n"/>
      <c r="E160" s="20" t="n"/>
      <c r="F160" s="20" t="n"/>
      <c r="G160" s="20" t="n"/>
      <c r="H160" s="22" t="n"/>
      <c r="I160" s="22" t="n"/>
      <c r="J160" s="21" t="n"/>
      <c r="K160" s="20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20">
        <f>IF(AND(B161="",C161=""),"",ROW()-1)</f>
        <v/>
      </c>
      <c r="B161" s="20" t="n"/>
      <c r="C161" s="21">
        <f>IF(B161="","",VLOOKUP(B161,Projects!$B:$C,2,FALSE()))</f>
        <v/>
      </c>
      <c r="D161" s="21" t="n"/>
      <c r="E161" s="20" t="n"/>
      <c r="F161" s="20" t="n"/>
      <c r="G161" s="20" t="n"/>
      <c r="H161" s="22" t="n"/>
      <c r="I161" s="22" t="n"/>
      <c r="J161" s="21" t="n"/>
      <c r="K161" s="20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20">
        <f>IF(AND(B162="",C162=""),"",ROW()-1)</f>
        <v/>
      </c>
      <c r="B162" s="20" t="n"/>
      <c r="C162" s="21">
        <f>IF(B162="","",VLOOKUP(B162,Projects!$B:$C,2,FALSE()))</f>
        <v/>
      </c>
      <c r="D162" s="21" t="n"/>
      <c r="E162" s="20" t="n"/>
      <c r="F162" s="20" t="n"/>
      <c r="G162" s="20" t="n"/>
      <c r="H162" s="22" t="n"/>
      <c r="I162" s="22" t="n"/>
      <c r="J162" s="21" t="n"/>
      <c r="K162" s="20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20">
        <f>IF(AND(B163="",C163=""),"",ROW()-1)</f>
        <v/>
      </c>
      <c r="B163" s="20" t="n"/>
      <c r="C163" s="21">
        <f>IF(B163="","",VLOOKUP(B163,Projects!$B:$C,2,FALSE()))</f>
        <v/>
      </c>
      <c r="D163" s="21" t="n"/>
      <c r="E163" s="20" t="n"/>
      <c r="F163" s="20" t="n"/>
      <c r="G163" s="20" t="n"/>
      <c r="H163" s="22" t="n"/>
      <c r="I163" s="22" t="n"/>
      <c r="J163" s="21" t="n"/>
      <c r="K163" s="20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20">
        <f>IF(AND(B164="",C164=""),"",ROW()-1)</f>
        <v/>
      </c>
      <c r="B164" s="20" t="n"/>
      <c r="C164" s="21">
        <f>IF(B164="","",VLOOKUP(B164,Projects!$B:$C,2,FALSE()))</f>
        <v/>
      </c>
      <c r="D164" s="21" t="n"/>
      <c r="E164" s="20" t="n"/>
      <c r="F164" s="20" t="n"/>
      <c r="G164" s="20" t="n"/>
      <c r="H164" s="22" t="n"/>
      <c r="I164" s="22" t="n"/>
      <c r="J164" s="21" t="n"/>
      <c r="K164" s="20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20">
        <f>IF(AND(B165="",C165=""),"",ROW()-1)</f>
        <v/>
      </c>
      <c r="B165" s="20" t="n"/>
      <c r="C165" s="21">
        <f>IF(B165="","",VLOOKUP(B165,Projects!$B:$C,2,FALSE()))</f>
        <v/>
      </c>
      <c r="D165" s="21" t="n"/>
      <c r="E165" s="20" t="n"/>
      <c r="F165" s="20" t="n"/>
      <c r="G165" s="20" t="n"/>
      <c r="H165" s="22" t="n"/>
      <c r="I165" s="22" t="n"/>
      <c r="J165" s="21" t="n"/>
      <c r="K165" s="20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20">
        <f>IF(AND(B166="",C166=""),"",ROW()-1)</f>
        <v/>
      </c>
      <c r="B166" s="20" t="n"/>
      <c r="C166" s="21">
        <f>IF(B166="","",VLOOKUP(B166,Projects!$B:$C,2,FALSE()))</f>
        <v/>
      </c>
      <c r="D166" s="21" t="n"/>
      <c r="E166" s="20" t="n"/>
      <c r="F166" s="20" t="n"/>
      <c r="G166" s="20" t="n"/>
      <c r="H166" s="22" t="n"/>
      <c r="I166" s="22" t="n"/>
      <c r="J166" s="21" t="n"/>
      <c r="K166" s="20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20">
        <f>IF(AND(B167="",C167=""),"",ROW()-1)</f>
        <v/>
      </c>
      <c r="B167" s="20" t="n"/>
      <c r="C167" s="21">
        <f>IF(B167="","",VLOOKUP(B167,Projects!$B:$C,2,FALSE()))</f>
        <v/>
      </c>
      <c r="D167" s="21" t="n"/>
      <c r="E167" s="20" t="n"/>
      <c r="F167" s="20" t="n"/>
      <c r="G167" s="20" t="n"/>
      <c r="H167" s="22" t="n"/>
      <c r="I167" s="22" t="n"/>
      <c r="J167" s="21" t="n"/>
      <c r="K167" s="20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20">
        <f>IF(AND(B168="",C168=""),"",ROW()-1)</f>
        <v/>
      </c>
      <c r="B168" s="20" t="n"/>
      <c r="C168" s="21">
        <f>IF(B168="","",VLOOKUP(B168,Projects!$B:$C,2,FALSE()))</f>
        <v/>
      </c>
      <c r="D168" s="21" t="n"/>
      <c r="E168" s="20" t="n"/>
      <c r="F168" s="20" t="n"/>
      <c r="G168" s="20" t="n"/>
      <c r="H168" s="22" t="n"/>
      <c r="I168" s="22" t="n"/>
      <c r="J168" s="21" t="n"/>
      <c r="K168" s="20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20">
        <f>IF(AND(B169="",C169=""),"",ROW()-1)</f>
        <v/>
      </c>
      <c r="B169" s="20" t="n"/>
      <c r="C169" s="21">
        <f>IF(B169="","",VLOOKUP(B169,Projects!$B:$C,2,FALSE()))</f>
        <v/>
      </c>
      <c r="D169" s="21" t="n"/>
      <c r="E169" s="20" t="n"/>
      <c r="F169" s="20" t="n"/>
      <c r="G169" s="20" t="n"/>
      <c r="H169" s="22" t="n"/>
      <c r="I169" s="22" t="n"/>
      <c r="J169" s="21" t="n"/>
      <c r="K169" s="20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20">
        <f>IF(AND(B170="",C170=""),"",ROW()-1)</f>
        <v/>
      </c>
      <c r="B170" s="20" t="n"/>
      <c r="C170" s="21">
        <f>IF(B170="","",VLOOKUP(B170,Projects!$B:$C,2,FALSE()))</f>
        <v/>
      </c>
      <c r="D170" s="21" t="n"/>
      <c r="E170" s="20" t="n"/>
      <c r="F170" s="20" t="n"/>
      <c r="G170" s="20" t="n"/>
      <c r="H170" s="22" t="n"/>
      <c r="I170" s="22" t="n"/>
      <c r="J170" s="21" t="n"/>
      <c r="K170" s="20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20">
        <f>IF(AND(B171="",C171=""),"",ROW()-1)</f>
        <v/>
      </c>
      <c r="B171" s="20" t="n"/>
      <c r="C171" s="21">
        <f>IF(B171="","",VLOOKUP(B171,Projects!$B:$C,2,FALSE()))</f>
        <v/>
      </c>
      <c r="D171" s="21" t="n"/>
      <c r="E171" s="20" t="n"/>
      <c r="F171" s="20" t="n"/>
      <c r="G171" s="20" t="n"/>
      <c r="H171" s="22" t="n"/>
      <c r="I171" s="22" t="n"/>
      <c r="J171" s="21" t="n"/>
      <c r="K171" s="20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20">
        <f>IF(AND(B172="",C172=""),"",ROW()-1)</f>
        <v/>
      </c>
      <c r="B172" s="20" t="n"/>
      <c r="C172" s="21">
        <f>IF(B172="","",VLOOKUP(B172,Projects!$B:$C,2,FALSE()))</f>
        <v/>
      </c>
      <c r="D172" s="21" t="n"/>
      <c r="E172" s="20" t="n"/>
      <c r="F172" s="20" t="n"/>
      <c r="G172" s="20" t="n"/>
      <c r="H172" s="22" t="n"/>
      <c r="I172" s="22" t="n"/>
      <c r="J172" s="21" t="n"/>
      <c r="K172" s="20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20">
        <f>IF(AND(B173="",C173=""),"",ROW()-1)</f>
        <v/>
      </c>
      <c r="B173" s="20" t="n"/>
      <c r="C173" s="21">
        <f>IF(B173="","",VLOOKUP(B173,Projects!$B:$C,2,FALSE()))</f>
        <v/>
      </c>
      <c r="D173" s="21" t="n"/>
      <c r="E173" s="20" t="n"/>
      <c r="F173" s="20" t="n"/>
      <c r="G173" s="20" t="n"/>
      <c r="H173" s="22" t="n"/>
      <c r="I173" s="22" t="n"/>
      <c r="J173" s="21" t="n"/>
      <c r="K173" s="20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20">
        <f>IF(AND(B174="",C174=""),"",ROW()-1)</f>
        <v/>
      </c>
      <c r="B174" s="20" t="n"/>
      <c r="C174" s="21">
        <f>IF(B174="","",VLOOKUP(B174,Projects!$B:$C,2,FALSE()))</f>
        <v/>
      </c>
      <c r="D174" s="21" t="n"/>
      <c r="E174" s="20" t="n"/>
      <c r="F174" s="20" t="n"/>
      <c r="G174" s="20" t="n"/>
      <c r="H174" s="22" t="n"/>
      <c r="I174" s="22" t="n"/>
      <c r="J174" s="21" t="n"/>
      <c r="K174" s="20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20">
        <f>IF(AND(B175="",C175=""),"",ROW()-1)</f>
        <v/>
      </c>
      <c r="B175" s="20" t="n"/>
      <c r="C175" s="21">
        <f>IF(B175="","",VLOOKUP(B175,Projects!$B:$C,2,FALSE()))</f>
        <v/>
      </c>
      <c r="D175" s="21" t="n"/>
      <c r="E175" s="20" t="n"/>
      <c r="F175" s="20" t="n"/>
      <c r="G175" s="20" t="n"/>
      <c r="H175" s="22" t="n"/>
      <c r="I175" s="22" t="n"/>
      <c r="J175" s="21" t="n"/>
      <c r="K175" s="20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20">
        <f>IF(AND(B176="",C176=""),"",ROW()-1)</f>
        <v/>
      </c>
      <c r="B176" s="20" t="n"/>
      <c r="C176" s="21">
        <f>IF(B176="","",VLOOKUP(B176,Projects!$B:$C,2,FALSE()))</f>
        <v/>
      </c>
      <c r="D176" s="21" t="n"/>
      <c r="E176" s="20" t="n"/>
      <c r="F176" s="20" t="n"/>
      <c r="G176" s="20" t="n"/>
      <c r="H176" s="22" t="n"/>
      <c r="I176" s="22" t="n"/>
      <c r="J176" s="21" t="n"/>
      <c r="K176" s="20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20">
        <f>IF(AND(B177="",C177=""),"",ROW()-1)</f>
        <v/>
      </c>
      <c r="B177" s="20" t="n"/>
      <c r="C177" s="21">
        <f>IF(B177="","",VLOOKUP(B177,Projects!$B:$C,2,FALSE()))</f>
        <v/>
      </c>
      <c r="D177" s="21" t="n"/>
      <c r="E177" s="20" t="n"/>
      <c r="F177" s="20" t="n"/>
      <c r="G177" s="20" t="n"/>
      <c r="H177" s="22" t="n"/>
      <c r="I177" s="22" t="n"/>
      <c r="J177" s="21" t="n"/>
      <c r="K177" s="20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20">
        <f>IF(AND(B178="",C178=""),"",ROW()-1)</f>
        <v/>
      </c>
      <c r="B178" s="20" t="n"/>
      <c r="C178" s="21">
        <f>IF(B178="","",VLOOKUP(B178,Projects!$B:$C,2,FALSE()))</f>
        <v/>
      </c>
      <c r="D178" s="21" t="n"/>
      <c r="E178" s="20" t="n"/>
      <c r="F178" s="20" t="n"/>
      <c r="G178" s="20" t="n"/>
      <c r="H178" s="22" t="n"/>
      <c r="I178" s="22" t="n"/>
      <c r="J178" s="21" t="n"/>
      <c r="K178" s="20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20">
        <f>IF(AND(B179="",C179=""),"",ROW()-1)</f>
        <v/>
      </c>
      <c r="B179" s="20" t="n"/>
      <c r="C179" s="21">
        <f>IF(B179="","",VLOOKUP(B179,Projects!$B:$C,2,FALSE()))</f>
        <v/>
      </c>
      <c r="D179" s="21" t="n"/>
      <c r="E179" s="20" t="n"/>
      <c r="F179" s="20" t="n"/>
      <c r="G179" s="20" t="n"/>
      <c r="H179" s="22" t="n"/>
      <c r="I179" s="22" t="n"/>
      <c r="J179" s="21" t="n"/>
      <c r="K179" s="20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20">
        <f>IF(AND(B180="",C180=""),"",ROW()-1)</f>
        <v/>
      </c>
      <c r="B180" s="20" t="n"/>
      <c r="C180" s="21">
        <f>IF(B180="","",VLOOKUP(B180,Projects!$B:$C,2,FALSE()))</f>
        <v/>
      </c>
      <c r="D180" s="21" t="n"/>
      <c r="E180" s="20" t="n"/>
      <c r="F180" s="20" t="n"/>
      <c r="G180" s="20" t="n"/>
      <c r="H180" s="22" t="n"/>
      <c r="I180" s="22" t="n"/>
      <c r="J180" s="21" t="n"/>
      <c r="K180" s="20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20">
        <f>IF(AND(B181="",C181=""),"",ROW()-1)</f>
        <v/>
      </c>
      <c r="B181" s="20" t="n"/>
      <c r="C181" s="21">
        <f>IF(B181="","",VLOOKUP(B181,Projects!$B:$C,2,FALSE()))</f>
        <v/>
      </c>
      <c r="D181" s="21" t="n"/>
      <c r="E181" s="20" t="n"/>
      <c r="F181" s="20" t="n"/>
      <c r="G181" s="20" t="n"/>
      <c r="H181" s="22" t="n"/>
      <c r="I181" s="22" t="n"/>
      <c r="J181" s="21" t="n"/>
      <c r="K181" s="20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20">
        <f>IF(AND(B182="",C182=""),"",ROW()-1)</f>
        <v/>
      </c>
      <c r="B182" s="20" t="n"/>
      <c r="C182" s="21">
        <f>IF(B182="","",VLOOKUP(B182,Projects!$B:$C,2,FALSE()))</f>
        <v/>
      </c>
      <c r="D182" s="21" t="n"/>
      <c r="E182" s="20" t="n"/>
      <c r="F182" s="20" t="n"/>
      <c r="G182" s="20" t="n"/>
      <c r="H182" s="22" t="n"/>
      <c r="I182" s="22" t="n"/>
      <c r="J182" s="21" t="n"/>
      <c r="K182" s="20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20">
        <f>IF(AND(B183="",C183=""),"",ROW()-1)</f>
        <v/>
      </c>
      <c r="B183" s="20" t="n"/>
      <c r="C183" s="21">
        <f>IF(B183="","",VLOOKUP(B183,Projects!$B:$C,2,FALSE()))</f>
        <v/>
      </c>
      <c r="D183" s="21" t="n"/>
      <c r="E183" s="20" t="n"/>
      <c r="F183" s="20" t="n"/>
      <c r="G183" s="20" t="n"/>
      <c r="H183" s="22" t="n"/>
      <c r="I183" s="22" t="n"/>
      <c r="J183" s="21" t="n"/>
      <c r="K183" s="20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20">
        <f>IF(AND(B184="",C184=""),"",ROW()-1)</f>
        <v/>
      </c>
      <c r="B184" s="20" t="n"/>
      <c r="C184" s="21">
        <f>IF(B184="","",VLOOKUP(B184,Projects!$B:$C,2,FALSE()))</f>
        <v/>
      </c>
      <c r="D184" s="21" t="n"/>
      <c r="E184" s="20" t="n"/>
      <c r="F184" s="20" t="n"/>
      <c r="G184" s="20" t="n"/>
      <c r="H184" s="22" t="n"/>
      <c r="I184" s="22" t="n"/>
      <c r="J184" s="21" t="n"/>
      <c r="K184" s="20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20">
        <f>IF(AND(B185="",C185=""),"",ROW()-1)</f>
        <v/>
      </c>
      <c r="B185" s="20" t="n"/>
      <c r="C185" s="21">
        <f>IF(B185="","",VLOOKUP(B185,Projects!$B:$C,2,FALSE()))</f>
        <v/>
      </c>
      <c r="D185" s="21" t="n"/>
      <c r="E185" s="20" t="n"/>
      <c r="F185" s="20" t="n"/>
      <c r="G185" s="20" t="n"/>
      <c r="H185" s="22" t="n"/>
      <c r="I185" s="22" t="n"/>
      <c r="J185" s="21" t="n"/>
      <c r="K185" s="20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20">
        <f>IF(AND(B186="",C186=""),"",ROW()-1)</f>
        <v/>
      </c>
      <c r="B186" s="20" t="n"/>
      <c r="C186" s="21">
        <f>IF(B186="","",VLOOKUP(B186,Projects!$B:$C,2,FALSE()))</f>
        <v/>
      </c>
      <c r="D186" s="21" t="n"/>
      <c r="E186" s="20" t="n"/>
      <c r="F186" s="20" t="n"/>
      <c r="G186" s="20" t="n"/>
      <c r="H186" s="22" t="n"/>
      <c r="I186" s="22" t="n"/>
      <c r="J186" s="21" t="n"/>
      <c r="K186" s="20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20">
        <f>IF(AND(B187="",C187=""),"",ROW()-1)</f>
        <v/>
      </c>
      <c r="B187" s="20" t="n"/>
      <c r="C187" s="21">
        <f>IF(B187="","",VLOOKUP(B187,Projects!$B:$C,2,FALSE()))</f>
        <v/>
      </c>
      <c r="D187" s="21" t="n"/>
      <c r="E187" s="20" t="n"/>
      <c r="F187" s="20" t="n"/>
      <c r="G187" s="20" t="n"/>
      <c r="H187" s="22" t="n"/>
      <c r="I187" s="22" t="n"/>
      <c r="J187" s="21" t="n"/>
      <c r="K187" s="20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20">
        <f>IF(AND(B188="",C188=""),"",ROW()-1)</f>
        <v/>
      </c>
      <c r="B188" s="20" t="n"/>
      <c r="C188" s="21">
        <f>IF(B188="","",VLOOKUP(B188,Projects!$B:$C,2,FALSE()))</f>
        <v/>
      </c>
      <c r="D188" s="21" t="n"/>
      <c r="E188" s="20" t="n"/>
      <c r="F188" s="20" t="n"/>
      <c r="G188" s="20" t="n"/>
      <c r="H188" s="22" t="n"/>
      <c r="I188" s="22" t="n"/>
      <c r="J188" s="21" t="n"/>
      <c r="K188" s="20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20">
        <f>IF(AND(B189="",C189=""),"",ROW()-1)</f>
        <v/>
      </c>
      <c r="B189" s="20" t="n"/>
      <c r="C189" s="21">
        <f>IF(B189="","",VLOOKUP(B189,Projects!$B:$C,2,FALSE()))</f>
        <v/>
      </c>
      <c r="D189" s="21" t="n"/>
      <c r="E189" s="20" t="n"/>
      <c r="F189" s="20" t="n"/>
      <c r="G189" s="20" t="n"/>
      <c r="H189" s="22" t="n"/>
      <c r="I189" s="22" t="n"/>
      <c r="J189" s="21" t="n"/>
      <c r="K189" s="20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20">
        <f>IF(AND(B190="",C190=""),"",ROW()-1)</f>
        <v/>
      </c>
      <c r="B190" s="20" t="n"/>
      <c r="C190" s="21">
        <f>IF(B190="","",VLOOKUP(B190,Projects!$B:$C,2,FALSE()))</f>
        <v/>
      </c>
      <c r="D190" s="21" t="n"/>
      <c r="E190" s="20" t="n"/>
      <c r="F190" s="20" t="n"/>
      <c r="G190" s="20" t="n"/>
      <c r="H190" s="22" t="n"/>
      <c r="I190" s="22" t="n"/>
      <c r="J190" s="21" t="n"/>
      <c r="K190" s="20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20">
        <f>IF(AND(B191="",C191=""),"",ROW()-1)</f>
        <v/>
      </c>
      <c r="B191" s="20" t="n"/>
      <c r="C191" s="21">
        <f>IF(B191="","",VLOOKUP(B191,Projects!$B:$C,2,FALSE()))</f>
        <v/>
      </c>
      <c r="D191" s="21" t="n"/>
      <c r="E191" s="20" t="n"/>
      <c r="F191" s="20" t="n"/>
      <c r="G191" s="20" t="n"/>
      <c r="H191" s="22" t="n"/>
      <c r="I191" s="22" t="n"/>
      <c r="J191" s="21" t="n"/>
      <c r="K191" s="20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20">
        <f>IF(AND(B192="",C192=""),"",ROW()-1)</f>
        <v/>
      </c>
      <c r="B192" s="20" t="n"/>
      <c r="C192" s="21">
        <f>IF(B192="","",VLOOKUP(B192,Projects!$B:$C,2,FALSE()))</f>
        <v/>
      </c>
      <c r="D192" s="21" t="n"/>
      <c r="E192" s="20" t="n"/>
      <c r="F192" s="20" t="n"/>
      <c r="G192" s="20" t="n"/>
      <c r="H192" s="22" t="n"/>
      <c r="I192" s="22" t="n"/>
      <c r="J192" s="21" t="n"/>
      <c r="K192" s="20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20">
        <f>IF(AND(B193="",C193=""),"",ROW()-1)</f>
        <v/>
      </c>
      <c r="B193" s="20" t="n"/>
      <c r="C193" s="21">
        <f>IF(B193="","",VLOOKUP(B193,Projects!$B:$C,2,FALSE()))</f>
        <v/>
      </c>
      <c r="D193" s="21" t="n"/>
      <c r="E193" s="20" t="n"/>
      <c r="F193" s="20" t="n"/>
      <c r="G193" s="20" t="n"/>
      <c r="H193" s="22" t="n"/>
      <c r="I193" s="22" t="n"/>
      <c r="J193" s="21" t="n"/>
      <c r="K193" s="20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20">
        <f>IF(AND(B194="",C194=""),"",ROW()-1)</f>
        <v/>
      </c>
      <c r="B194" s="20" t="n"/>
      <c r="C194" s="21">
        <f>IF(B194="","",VLOOKUP(B194,Projects!$B:$C,2,FALSE()))</f>
        <v/>
      </c>
      <c r="D194" s="21" t="n"/>
      <c r="E194" s="20" t="n"/>
      <c r="F194" s="20" t="n"/>
      <c r="G194" s="20" t="n"/>
      <c r="H194" s="22" t="n"/>
      <c r="I194" s="22" t="n"/>
      <c r="J194" s="21" t="n"/>
      <c r="K194" s="20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20">
        <f>IF(AND(B195="",C195=""),"",ROW()-1)</f>
        <v/>
      </c>
      <c r="B195" s="20" t="n"/>
      <c r="C195" s="21">
        <f>IF(B195="","",VLOOKUP(B195,Projects!$B:$C,2,FALSE()))</f>
        <v/>
      </c>
      <c r="D195" s="21" t="n"/>
      <c r="E195" s="20" t="n"/>
      <c r="F195" s="20" t="n"/>
      <c r="G195" s="20" t="n"/>
      <c r="H195" s="22" t="n"/>
      <c r="I195" s="22" t="n"/>
      <c r="J195" s="21" t="n"/>
      <c r="K195" s="20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20">
        <f>IF(AND(B196="",C196=""),"",ROW()-1)</f>
        <v/>
      </c>
      <c r="B196" s="20" t="n"/>
      <c r="C196" s="21">
        <f>IF(B196="","",VLOOKUP(B196,Projects!$B:$C,2,FALSE()))</f>
        <v/>
      </c>
      <c r="D196" s="21" t="n"/>
      <c r="E196" s="20" t="n"/>
      <c r="F196" s="20" t="n"/>
      <c r="G196" s="20" t="n"/>
      <c r="H196" s="22" t="n"/>
      <c r="I196" s="22" t="n"/>
      <c r="J196" s="21" t="n"/>
      <c r="K196" s="20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20">
        <f>IF(AND(B197="",C197=""),"",ROW()-1)</f>
        <v/>
      </c>
      <c r="B197" s="20" t="n"/>
      <c r="C197" s="21">
        <f>IF(B197="","",VLOOKUP(B197,Projects!$B:$C,2,FALSE()))</f>
        <v/>
      </c>
      <c r="D197" s="21" t="n"/>
      <c r="E197" s="20" t="n"/>
      <c r="F197" s="20" t="n"/>
      <c r="G197" s="20" t="n"/>
      <c r="H197" s="22" t="n"/>
      <c r="I197" s="22" t="n"/>
      <c r="J197" s="21" t="n"/>
      <c r="K197" s="20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20">
        <f>IF(AND(B198="",C198=""),"",ROW()-1)</f>
        <v/>
      </c>
      <c r="B198" s="20" t="n"/>
      <c r="C198" s="21">
        <f>IF(B198="","",VLOOKUP(B198,Projects!$B:$C,2,FALSE()))</f>
        <v/>
      </c>
      <c r="D198" s="21" t="n"/>
      <c r="E198" s="20" t="n"/>
      <c r="F198" s="20" t="n"/>
      <c r="G198" s="20" t="n"/>
      <c r="H198" s="22" t="n"/>
      <c r="I198" s="22" t="n"/>
      <c r="J198" s="21" t="n"/>
      <c r="K198" s="20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20">
        <f>IF(AND(B199="",C199=""),"",ROW()-1)</f>
        <v/>
      </c>
      <c r="B199" s="20" t="n"/>
      <c r="C199" s="21">
        <f>IF(B199="","",VLOOKUP(B199,Projects!$B:$C,2,FALSE()))</f>
        <v/>
      </c>
      <c r="D199" s="21" t="n"/>
      <c r="E199" s="20" t="n"/>
      <c r="F199" s="20" t="n"/>
      <c r="G199" s="20" t="n"/>
      <c r="H199" s="22" t="n"/>
      <c r="I199" s="22" t="n"/>
      <c r="J199" s="21" t="n"/>
      <c r="K199" s="20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20">
        <f>IF(AND(B200="",C200=""),"",ROW()-1)</f>
        <v/>
      </c>
      <c r="B200" s="20" t="n"/>
      <c r="C200" s="21">
        <f>IF(B200="","",VLOOKUP(B200,Projects!$B:$C,2,FALSE()))</f>
        <v/>
      </c>
      <c r="D200" s="21" t="n"/>
      <c r="E200" s="20" t="n"/>
      <c r="F200" s="20" t="n"/>
      <c r="G200" s="20" t="n"/>
      <c r="H200" s="22" t="n"/>
      <c r="I200" s="22" t="n"/>
      <c r="J200" s="21" t="n"/>
      <c r="K200" s="20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20">
        <f>IF(AND(B201="",C201=""),"",ROW()-1)</f>
        <v/>
      </c>
      <c r="B201" s="20" t="n"/>
      <c r="C201" s="21">
        <f>IF(B201="","",VLOOKUP(B201,Projects!$B:$C,2,FALSE()))</f>
        <v/>
      </c>
      <c r="D201" s="21" t="n"/>
      <c r="E201" s="20" t="n"/>
      <c r="F201" s="20" t="n"/>
      <c r="G201" s="20" t="n"/>
      <c r="H201" s="22" t="n"/>
      <c r="I201" s="22" t="n"/>
      <c r="J201" s="21" t="n"/>
      <c r="K201" s="20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20">
        <f>IF(AND(B202="",C202=""),"",ROW()-1)</f>
        <v/>
      </c>
      <c r="B202" s="20" t="n"/>
      <c r="C202" s="21">
        <f>IF(B202="","",VLOOKUP(B202,Projects!$B:$C,2,FALSE()))</f>
        <v/>
      </c>
      <c r="D202" s="21" t="n"/>
      <c r="E202" s="20" t="n"/>
      <c r="F202" s="20" t="n"/>
      <c r="G202" s="20" t="n"/>
      <c r="H202" s="22" t="n"/>
      <c r="I202" s="22" t="n"/>
      <c r="J202" s="21" t="n"/>
      <c r="K202" s="20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20">
        <f>IF(AND(B203="",C203=""),"",ROW()-1)</f>
        <v/>
      </c>
      <c r="B203" s="20" t="n"/>
      <c r="C203" s="21">
        <f>IF(B203="","",VLOOKUP(B203,Projects!$B:$C,2,FALSE()))</f>
        <v/>
      </c>
      <c r="D203" s="21" t="n"/>
      <c r="E203" s="20" t="n"/>
      <c r="F203" s="20" t="n"/>
      <c r="G203" s="20" t="n"/>
      <c r="H203" s="22" t="n"/>
      <c r="I203" s="22" t="n"/>
      <c r="J203" s="21" t="n"/>
      <c r="K203" s="20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20">
        <f>IF(AND(B204="",C204=""),"",ROW()-1)</f>
        <v/>
      </c>
      <c r="B204" s="20" t="n"/>
      <c r="C204" s="21">
        <f>IF(B204="","",VLOOKUP(B204,Projects!$B:$C,2,FALSE()))</f>
        <v/>
      </c>
      <c r="D204" s="21" t="n"/>
      <c r="E204" s="20" t="n"/>
      <c r="F204" s="20" t="n"/>
      <c r="G204" s="20" t="n"/>
      <c r="H204" s="22" t="n"/>
      <c r="I204" s="22" t="n"/>
      <c r="J204" s="21" t="n"/>
      <c r="K204" s="20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20">
        <f>IF(AND(B205="",C205=""),"",ROW()-1)</f>
        <v/>
      </c>
      <c r="B205" s="20" t="n"/>
      <c r="C205" s="21">
        <f>IF(B205="","",VLOOKUP(B205,Projects!$B:$C,2,FALSE()))</f>
        <v/>
      </c>
      <c r="D205" s="21" t="n"/>
      <c r="E205" s="20" t="n"/>
      <c r="F205" s="20" t="n"/>
      <c r="G205" s="20" t="n"/>
      <c r="H205" s="22" t="n"/>
      <c r="I205" s="22" t="n"/>
      <c r="J205" s="21" t="n"/>
      <c r="K205" s="20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20">
        <f>IF(AND(B206="",C206=""),"",ROW()-1)</f>
        <v/>
      </c>
      <c r="B206" s="20" t="n"/>
      <c r="C206" s="21">
        <f>IF(B206="","",VLOOKUP(B206,Projects!$B:$C,2,FALSE()))</f>
        <v/>
      </c>
      <c r="D206" s="21" t="n"/>
      <c r="E206" s="20" t="n"/>
      <c r="F206" s="20" t="n"/>
      <c r="G206" s="20" t="n"/>
      <c r="H206" s="22" t="n"/>
      <c r="I206" s="22" t="n"/>
      <c r="J206" s="21" t="n"/>
      <c r="K206" s="20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20">
        <f>IF(AND(B207="",C207=""),"",ROW()-1)</f>
        <v/>
      </c>
      <c r="B207" s="20" t="n"/>
      <c r="C207" s="21">
        <f>IF(B207="","",VLOOKUP(B207,Projects!$B:$C,2,FALSE()))</f>
        <v/>
      </c>
      <c r="D207" s="21" t="n"/>
      <c r="E207" s="20" t="n"/>
      <c r="F207" s="20" t="n"/>
      <c r="G207" s="20" t="n"/>
      <c r="H207" s="22" t="n"/>
      <c r="I207" s="22" t="n"/>
      <c r="J207" s="21" t="n"/>
      <c r="K207" s="20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20">
        <f>IF(AND(B208="",C208=""),"",ROW()-1)</f>
        <v/>
      </c>
      <c r="B208" s="20" t="n"/>
      <c r="C208" s="21">
        <f>IF(B208="","",VLOOKUP(B208,Projects!$B:$C,2,FALSE()))</f>
        <v/>
      </c>
      <c r="D208" s="21" t="n"/>
      <c r="E208" s="20" t="n"/>
      <c r="F208" s="20" t="n"/>
      <c r="G208" s="20" t="n"/>
      <c r="H208" s="22" t="n"/>
      <c r="I208" s="22" t="n"/>
      <c r="J208" s="21" t="n"/>
      <c r="K208" s="20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20">
        <f>IF(AND(B209="",C209=""),"",ROW()-1)</f>
        <v/>
      </c>
      <c r="B209" s="20" t="n"/>
      <c r="C209" s="21">
        <f>IF(B209="","",VLOOKUP(B209,Projects!$B:$C,2,FALSE()))</f>
        <v/>
      </c>
      <c r="D209" s="21" t="n"/>
      <c r="E209" s="20" t="n"/>
      <c r="F209" s="20" t="n"/>
      <c r="G209" s="20" t="n"/>
      <c r="H209" s="22" t="n"/>
      <c r="I209" s="22" t="n"/>
      <c r="J209" s="21" t="n"/>
      <c r="K209" s="20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20">
        <f>IF(AND(B210="",C210=""),"",ROW()-1)</f>
        <v/>
      </c>
      <c r="B210" s="20" t="n"/>
      <c r="C210" s="21">
        <f>IF(B210="","",VLOOKUP(B210,Projects!$B:$C,2,FALSE()))</f>
        <v/>
      </c>
      <c r="D210" s="21" t="n"/>
      <c r="E210" s="20" t="n"/>
      <c r="F210" s="20" t="n"/>
      <c r="G210" s="20" t="n"/>
      <c r="H210" s="22" t="n"/>
      <c r="I210" s="22" t="n"/>
      <c r="J210" s="21" t="n"/>
      <c r="K210" s="20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20">
        <f>IF(AND(B211="",C211=""),"",ROW()-1)</f>
        <v/>
      </c>
      <c r="B211" s="20" t="n"/>
      <c r="C211" s="21">
        <f>IF(B211="","",VLOOKUP(B211,Projects!$B:$C,2,FALSE()))</f>
        <v/>
      </c>
      <c r="D211" s="21" t="n"/>
      <c r="E211" s="20" t="n"/>
      <c r="F211" s="20" t="n"/>
      <c r="G211" s="20" t="n"/>
      <c r="H211" s="22" t="n"/>
      <c r="I211" s="22" t="n"/>
      <c r="J211" s="21" t="n"/>
      <c r="K211" s="20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20">
        <f>IF(AND(B212="",C212=""),"",ROW()-1)</f>
        <v/>
      </c>
      <c r="B212" s="20" t="n"/>
      <c r="C212" s="21">
        <f>IF(B212="","",VLOOKUP(B212,Projects!$B:$C,2,FALSE()))</f>
        <v/>
      </c>
      <c r="D212" s="21" t="n"/>
      <c r="E212" s="20" t="n"/>
      <c r="F212" s="20" t="n"/>
      <c r="G212" s="20" t="n"/>
      <c r="H212" s="22" t="n"/>
      <c r="I212" s="22" t="n"/>
      <c r="J212" s="21" t="n"/>
      <c r="K212" s="20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20">
        <f>IF(AND(B213="",C213=""),"",ROW()-1)</f>
        <v/>
      </c>
      <c r="B213" s="20" t="n"/>
      <c r="C213" s="21">
        <f>IF(B213="","",VLOOKUP(B213,Projects!$B:$C,2,FALSE()))</f>
        <v/>
      </c>
      <c r="D213" s="21" t="n"/>
      <c r="E213" s="20" t="n"/>
      <c r="F213" s="20" t="n"/>
      <c r="G213" s="20" t="n"/>
      <c r="H213" s="22" t="n"/>
      <c r="I213" s="22" t="n"/>
      <c r="J213" s="21" t="n"/>
      <c r="K213" s="20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20">
        <f>IF(AND(B214="",C214=""),"",ROW()-1)</f>
        <v/>
      </c>
      <c r="B214" s="20" t="n"/>
      <c r="C214" s="21">
        <f>IF(B214="","",VLOOKUP(B214,Projects!$B:$C,2,FALSE()))</f>
        <v/>
      </c>
      <c r="D214" s="21" t="n"/>
      <c r="E214" s="20" t="n"/>
      <c r="F214" s="20" t="n"/>
      <c r="G214" s="20" t="n"/>
      <c r="H214" s="22" t="n"/>
      <c r="I214" s="22" t="n"/>
      <c r="J214" s="21" t="n"/>
      <c r="K214" s="20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20">
        <f>IF(AND(B215="",C215=""),"",ROW()-1)</f>
        <v/>
      </c>
      <c r="B215" s="20" t="n"/>
      <c r="C215" s="21">
        <f>IF(B215="","",VLOOKUP(B215,Projects!$B:$C,2,FALSE()))</f>
        <v/>
      </c>
      <c r="D215" s="21" t="n"/>
      <c r="E215" s="20" t="n"/>
      <c r="F215" s="20" t="n"/>
      <c r="G215" s="20" t="n"/>
      <c r="H215" s="22" t="n"/>
      <c r="I215" s="22" t="n"/>
      <c r="J215" s="21" t="n"/>
      <c r="K215" s="20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20">
        <f>IF(AND(B216="",C216=""),"",ROW()-1)</f>
        <v/>
      </c>
      <c r="B216" s="20" t="n"/>
      <c r="C216" s="21">
        <f>IF(B216="","",VLOOKUP(B216,Projects!$B:$C,2,FALSE()))</f>
        <v/>
      </c>
      <c r="D216" s="21" t="n"/>
      <c r="E216" s="20" t="n"/>
      <c r="F216" s="20" t="n"/>
      <c r="G216" s="20" t="n"/>
      <c r="H216" s="22" t="n"/>
      <c r="I216" s="22" t="n"/>
      <c r="J216" s="21" t="n"/>
      <c r="K216" s="20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20">
        <f>IF(AND(B217="",C217=""),"",ROW()-1)</f>
        <v/>
      </c>
      <c r="B217" s="20" t="n"/>
      <c r="C217" s="21">
        <f>IF(B217="","",VLOOKUP(B217,Projects!$B:$C,2,FALSE()))</f>
        <v/>
      </c>
      <c r="D217" s="21" t="n"/>
      <c r="E217" s="20" t="n"/>
      <c r="F217" s="20" t="n"/>
      <c r="G217" s="20" t="n"/>
      <c r="H217" s="22" t="n"/>
      <c r="I217" s="22" t="n"/>
      <c r="J217" s="21" t="n"/>
      <c r="K217" s="20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20">
        <f>IF(AND(B218="",C218=""),"",ROW()-1)</f>
        <v/>
      </c>
      <c r="B218" s="20" t="n"/>
      <c r="C218" s="21">
        <f>IF(B218="","",VLOOKUP(B218,Projects!$B:$C,2,FALSE()))</f>
        <v/>
      </c>
      <c r="D218" s="21" t="n"/>
      <c r="E218" s="20" t="n"/>
      <c r="F218" s="20" t="n"/>
      <c r="G218" s="20" t="n"/>
      <c r="H218" s="22" t="n"/>
      <c r="I218" s="22" t="n"/>
      <c r="J218" s="21" t="n"/>
      <c r="K218" s="20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20">
        <f>IF(AND(B219="",C219=""),"",ROW()-1)</f>
        <v/>
      </c>
      <c r="B219" s="20" t="n"/>
      <c r="C219" s="21">
        <f>IF(B219="","",VLOOKUP(B219,Projects!$B:$C,2,FALSE()))</f>
        <v/>
      </c>
      <c r="D219" s="21" t="n"/>
      <c r="E219" s="20" t="n"/>
      <c r="F219" s="20" t="n"/>
      <c r="G219" s="20" t="n"/>
      <c r="H219" s="22" t="n"/>
      <c r="I219" s="22" t="n"/>
      <c r="J219" s="21" t="n"/>
      <c r="K219" s="20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20">
        <f>IF(AND(B220="",C220=""),"",ROW()-1)</f>
        <v/>
      </c>
      <c r="B220" s="20" t="n"/>
      <c r="C220" s="21">
        <f>IF(B220="","",VLOOKUP(B220,Projects!$B:$C,2,FALSE()))</f>
        <v/>
      </c>
      <c r="D220" s="21" t="n"/>
      <c r="E220" s="20" t="n"/>
      <c r="F220" s="20" t="n"/>
      <c r="G220" s="20" t="n"/>
      <c r="H220" s="22" t="n"/>
      <c r="I220" s="22" t="n"/>
      <c r="J220" s="21" t="n"/>
      <c r="K220" s="20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20">
        <f>IF(AND(B221="",C221=""),"",ROW()-1)</f>
        <v/>
      </c>
      <c r="B221" s="20" t="n"/>
      <c r="C221" s="21">
        <f>IF(B221="","",VLOOKUP(B221,Projects!$B:$C,2,FALSE()))</f>
        <v/>
      </c>
      <c r="D221" s="21" t="n"/>
      <c r="E221" s="20" t="n"/>
      <c r="F221" s="20" t="n"/>
      <c r="G221" s="20" t="n"/>
      <c r="H221" s="22" t="n"/>
      <c r="I221" s="22" t="n"/>
      <c r="J221" s="21" t="n"/>
      <c r="K221" s="20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20">
        <f>IF(AND(B222="",C222=""),"",ROW()-1)</f>
        <v/>
      </c>
      <c r="B222" s="20" t="n"/>
      <c r="C222" s="21">
        <f>IF(B222="","",VLOOKUP(B222,Projects!$B:$C,2,FALSE()))</f>
        <v/>
      </c>
      <c r="D222" s="21" t="n"/>
      <c r="E222" s="20" t="n"/>
      <c r="F222" s="20" t="n"/>
      <c r="G222" s="20" t="n"/>
      <c r="H222" s="22" t="n"/>
      <c r="I222" s="22" t="n"/>
      <c r="J222" s="21" t="n"/>
      <c r="K222" s="20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20">
        <f>IF(AND(B223="",C223=""),"",ROW()-1)</f>
        <v/>
      </c>
      <c r="B223" s="20" t="n"/>
      <c r="C223" s="21">
        <f>IF(B223="","",VLOOKUP(B223,Projects!$B:$C,2,FALSE()))</f>
        <v/>
      </c>
      <c r="D223" s="21" t="n"/>
      <c r="E223" s="20" t="n"/>
      <c r="F223" s="20" t="n"/>
      <c r="G223" s="20" t="n"/>
      <c r="H223" s="22" t="n"/>
      <c r="I223" s="22" t="n"/>
      <c r="J223" s="21" t="n"/>
      <c r="K223" s="20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20">
        <f>IF(AND(B224="",C224=""),"",ROW()-1)</f>
        <v/>
      </c>
      <c r="B224" s="20" t="n"/>
      <c r="C224" s="21">
        <f>IF(B224="","",VLOOKUP(B224,Projects!$B:$C,2,FALSE()))</f>
        <v/>
      </c>
      <c r="D224" s="21" t="n"/>
      <c r="E224" s="20" t="n"/>
      <c r="F224" s="20" t="n"/>
      <c r="G224" s="20" t="n"/>
      <c r="H224" s="22" t="n"/>
      <c r="I224" s="22" t="n"/>
      <c r="J224" s="21" t="n"/>
      <c r="K224" s="20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20">
        <f>IF(AND(B225="",C225=""),"",ROW()-1)</f>
        <v/>
      </c>
      <c r="B225" s="20" t="n"/>
      <c r="C225" s="21">
        <f>IF(B225="","",VLOOKUP(B225,Projects!$B:$C,2,FALSE()))</f>
        <v/>
      </c>
      <c r="D225" s="21" t="n"/>
      <c r="E225" s="20" t="n"/>
      <c r="F225" s="20" t="n"/>
      <c r="G225" s="20" t="n"/>
      <c r="H225" s="22" t="n"/>
      <c r="I225" s="22" t="n"/>
      <c r="J225" s="21" t="n"/>
      <c r="K225" s="20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20">
        <f>IF(AND(B226="",C226=""),"",ROW()-1)</f>
        <v/>
      </c>
      <c r="B226" s="20" t="n"/>
      <c r="C226" s="21">
        <f>IF(B226="","",VLOOKUP(B226,Projects!$B:$C,2,FALSE()))</f>
        <v/>
      </c>
      <c r="D226" s="21" t="n"/>
      <c r="E226" s="20" t="n"/>
      <c r="F226" s="20" t="n"/>
      <c r="G226" s="20" t="n"/>
      <c r="H226" s="22" t="n"/>
      <c r="I226" s="22" t="n"/>
      <c r="J226" s="21" t="n"/>
      <c r="K226" s="20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20">
        <f>IF(AND(B227="",C227=""),"",ROW()-1)</f>
        <v/>
      </c>
      <c r="B227" s="20" t="n"/>
      <c r="C227" s="21">
        <f>IF(B227="","",VLOOKUP(B227,Projects!$B:$C,2,FALSE()))</f>
        <v/>
      </c>
      <c r="D227" s="21" t="n"/>
      <c r="E227" s="20" t="n"/>
      <c r="F227" s="20" t="n"/>
      <c r="G227" s="20" t="n"/>
      <c r="H227" s="22" t="n"/>
      <c r="I227" s="22" t="n"/>
      <c r="J227" s="21" t="n"/>
      <c r="K227" s="20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20">
        <f>IF(AND(B228="",C228=""),"",ROW()-1)</f>
        <v/>
      </c>
      <c r="B228" s="20" t="n"/>
      <c r="C228" s="21">
        <f>IF(B228="","",VLOOKUP(B228,Projects!$B:$C,2,FALSE()))</f>
        <v/>
      </c>
      <c r="D228" s="21" t="n"/>
      <c r="E228" s="20" t="n"/>
      <c r="F228" s="20" t="n"/>
      <c r="G228" s="20" t="n"/>
      <c r="H228" s="22" t="n"/>
      <c r="I228" s="22" t="n"/>
      <c r="J228" s="21" t="n"/>
      <c r="K228" s="20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20">
        <f>IF(AND(B229="",C229=""),"",ROW()-1)</f>
        <v/>
      </c>
      <c r="B229" s="20" t="n"/>
      <c r="C229" s="21">
        <f>IF(B229="","",VLOOKUP(B229,Projects!$B:$C,2,FALSE()))</f>
        <v/>
      </c>
      <c r="D229" s="21" t="n"/>
      <c r="E229" s="20" t="n"/>
      <c r="F229" s="20" t="n"/>
      <c r="G229" s="20" t="n"/>
      <c r="H229" s="22" t="n"/>
      <c r="I229" s="22" t="n"/>
      <c r="J229" s="21" t="n"/>
      <c r="K229" s="20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20">
        <f>IF(AND(B230="",C230=""),"",ROW()-1)</f>
        <v/>
      </c>
      <c r="B230" s="20" t="n"/>
      <c r="C230" s="21">
        <f>IF(B230="","",VLOOKUP(B230,Projects!$B:$C,2,FALSE()))</f>
        <v/>
      </c>
      <c r="D230" s="21" t="n"/>
      <c r="E230" s="20" t="n"/>
      <c r="F230" s="20" t="n"/>
      <c r="G230" s="20" t="n"/>
      <c r="H230" s="22" t="n"/>
      <c r="I230" s="22" t="n"/>
      <c r="J230" s="21" t="n"/>
      <c r="K230" s="20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20">
        <f>IF(AND(B231="",C231=""),"",ROW()-1)</f>
        <v/>
      </c>
      <c r="B231" s="20" t="n"/>
      <c r="C231" s="21">
        <f>IF(B231="","",VLOOKUP(B231,Projects!$B:$C,2,FALSE()))</f>
        <v/>
      </c>
      <c r="D231" s="21" t="n"/>
      <c r="E231" s="20" t="n"/>
      <c r="F231" s="20" t="n"/>
      <c r="G231" s="20" t="n"/>
      <c r="H231" s="22" t="n"/>
      <c r="I231" s="22" t="n"/>
      <c r="J231" s="21" t="n"/>
      <c r="K231" s="20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20">
        <f>IF(AND(B232="",C232=""),"",ROW()-1)</f>
        <v/>
      </c>
      <c r="B232" s="20" t="n"/>
      <c r="C232" s="21">
        <f>IF(B232="","",VLOOKUP(B232,Projects!$B:$C,2,FALSE()))</f>
        <v/>
      </c>
      <c r="D232" s="21" t="n"/>
      <c r="E232" s="20" t="n"/>
      <c r="F232" s="20" t="n"/>
      <c r="G232" s="20" t="n"/>
      <c r="H232" s="22" t="n"/>
      <c r="I232" s="22" t="n"/>
      <c r="J232" s="21" t="n"/>
      <c r="K232" s="20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20">
        <f>IF(AND(B233="",C233=""),"",ROW()-1)</f>
        <v/>
      </c>
      <c r="B233" s="20" t="n"/>
      <c r="C233" s="21">
        <f>IF(B233="","",VLOOKUP(B233,Projects!$B:$C,2,FALSE()))</f>
        <v/>
      </c>
      <c r="D233" s="21" t="n"/>
      <c r="E233" s="20" t="n"/>
      <c r="F233" s="20" t="n"/>
      <c r="G233" s="20" t="n"/>
      <c r="H233" s="22" t="n"/>
      <c r="I233" s="22" t="n"/>
      <c r="J233" s="21" t="n"/>
      <c r="K233" s="20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20">
        <f>IF(AND(B234="",C234=""),"",ROW()-1)</f>
        <v/>
      </c>
      <c r="B234" s="20" t="n"/>
      <c r="C234" s="21">
        <f>IF(B234="","",VLOOKUP(B234,Projects!$B:$C,2,FALSE()))</f>
        <v/>
      </c>
      <c r="D234" s="21" t="n"/>
      <c r="E234" s="20" t="n"/>
      <c r="F234" s="20" t="n"/>
      <c r="G234" s="20" t="n"/>
      <c r="H234" s="22" t="n"/>
      <c r="I234" s="22" t="n"/>
      <c r="J234" s="21" t="n"/>
      <c r="K234" s="20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20">
        <f>IF(AND(B235="",C235=""),"",ROW()-1)</f>
        <v/>
      </c>
      <c r="B235" s="20" t="n"/>
      <c r="C235" s="21">
        <f>IF(B235="","",VLOOKUP(B235,Projects!$B:$C,2,FALSE()))</f>
        <v/>
      </c>
      <c r="D235" s="21" t="n"/>
      <c r="E235" s="20" t="n"/>
      <c r="F235" s="20" t="n"/>
      <c r="G235" s="20" t="n"/>
      <c r="H235" s="22" t="n"/>
      <c r="I235" s="22" t="n"/>
      <c r="J235" s="21" t="n"/>
      <c r="K235" s="20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20">
        <f>IF(AND(B236="",C236=""),"",ROW()-1)</f>
        <v/>
      </c>
      <c r="B236" s="20" t="n"/>
      <c r="C236" s="21">
        <f>IF(B236="","",VLOOKUP(B236,Projects!$B:$C,2,FALSE()))</f>
        <v/>
      </c>
      <c r="D236" s="21" t="n"/>
      <c r="E236" s="20" t="n"/>
      <c r="F236" s="20" t="n"/>
      <c r="G236" s="20" t="n"/>
      <c r="H236" s="22" t="n"/>
      <c r="I236" s="22" t="n"/>
      <c r="J236" s="21" t="n"/>
      <c r="K236" s="20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20">
        <f>IF(AND(B237="",C237=""),"",ROW()-1)</f>
        <v/>
      </c>
      <c r="B237" s="20" t="n"/>
      <c r="C237" s="21">
        <f>IF(B237="","",VLOOKUP(B237,Projects!$B:$C,2,FALSE()))</f>
        <v/>
      </c>
      <c r="D237" s="21" t="n"/>
      <c r="E237" s="20" t="n"/>
      <c r="F237" s="20" t="n"/>
      <c r="G237" s="20" t="n"/>
      <c r="H237" s="22" t="n"/>
      <c r="I237" s="22" t="n"/>
      <c r="J237" s="21" t="n"/>
      <c r="K237" s="20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20">
        <f>IF(AND(B238="",C238=""),"",ROW()-1)</f>
        <v/>
      </c>
      <c r="B238" s="20" t="n"/>
      <c r="C238" s="21">
        <f>IF(B238="","",VLOOKUP(B238,Projects!$B:$C,2,FALSE()))</f>
        <v/>
      </c>
      <c r="D238" s="21" t="n"/>
      <c r="E238" s="20" t="n"/>
      <c r="F238" s="20" t="n"/>
      <c r="G238" s="20" t="n"/>
      <c r="H238" s="22" t="n"/>
      <c r="I238" s="22" t="n"/>
      <c r="J238" s="21" t="n"/>
      <c r="K238" s="20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20">
        <f>IF(AND(B239="",C239=""),"",ROW()-1)</f>
        <v/>
      </c>
      <c r="B239" s="20" t="n"/>
      <c r="C239" s="21">
        <f>IF(B239="","",VLOOKUP(B239,Projects!$B:$C,2,FALSE()))</f>
        <v/>
      </c>
      <c r="D239" s="21" t="n"/>
      <c r="E239" s="20" t="n"/>
      <c r="F239" s="20" t="n"/>
      <c r="G239" s="20" t="n"/>
      <c r="H239" s="22" t="n"/>
      <c r="I239" s="22" t="n"/>
      <c r="J239" s="21" t="n"/>
      <c r="K239" s="20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20">
        <f>IF(AND(B240="",C240=""),"",ROW()-1)</f>
        <v/>
      </c>
      <c r="B240" s="20" t="n"/>
      <c r="C240" s="21">
        <f>IF(B240="","",VLOOKUP(B240,Projects!$B:$C,2,FALSE()))</f>
        <v/>
      </c>
      <c r="D240" s="21" t="n"/>
      <c r="E240" s="20" t="n"/>
      <c r="F240" s="20" t="n"/>
      <c r="G240" s="20" t="n"/>
      <c r="H240" s="22" t="n"/>
      <c r="I240" s="22" t="n"/>
      <c r="J240" s="21" t="n"/>
      <c r="K240" s="20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20">
        <f>IF(AND(B241="",C241=""),"",ROW()-1)</f>
        <v/>
      </c>
      <c r="B241" s="20" t="n"/>
      <c r="C241" s="21">
        <f>IF(B241="","",VLOOKUP(B241,Projects!$B:$C,2,FALSE()))</f>
        <v/>
      </c>
      <c r="D241" s="21" t="n"/>
      <c r="E241" s="20" t="n"/>
      <c r="F241" s="20" t="n"/>
      <c r="G241" s="20" t="n"/>
      <c r="H241" s="22" t="n"/>
      <c r="I241" s="22" t="n"/>
      <c r="J241" s="21" t="n"/>
      <c r="K241" s="20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20">
        <f>IF(AND(B242="",C242=""),"",ROW()-1)</f>
        <v/>
      </c>
      <c r="B242" s="20" t="n"/>
      <c r="C242" s="21">
        <f>IF(B242="","",VLOOKUP(B242,Projects!$B:$C,2,FALSE()))</f>
        <v/>
      </c>
      <c r="D242" s="21" t="n"/>
      <c r="E242" s="20" t="n"/>
      <c r="F242" s="20" t="n"/>
      <c r="G242" s="20" t="n"/>
      <c r="H242" s="22" t="n"/>
      <c r="I242" s="22" t="n"/>
      <c r="J242" s="21" t="n"/>
      <c r="K242" s="20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20">
        <f>IF(AND(B243="",C243=""),"",ROW()-1)</f>
        <v/>
      </c>
      <c r="B243" s="20" t="n"/>
      <c r="C243" s="21">
        <f>IF(B243="","",VLOOKUP(B243,Projects!$B:$C,2,FALSE()))</f>
        <v/>
      </c>
      <c r="D243" s="21" t="n"/>
      <c r="E243" s="20" t="n"/>
      <c r="F243" s="20" t="n"/>
      <c r="G243" s="20" t="n"/>
      <c r="H243" s="22" t="n"/>
      <c r="I243" s="22" t="n"/>
      <c r="J243" s="21" t="n"/>
      <c r="K243" s="20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20">
        <f>IF(AND(B244="",C244=""),"",ROW()-1)</f>
        <v/>
      </c>
      <c r="B244" s="20" t="n"/>
      <c r="C244" s="21">
        <f>IF(B244="","",VLOOKUP(B244,Projects!$B:$C,2,FALSE()))</f>
        <v/>
      </c>
      <c r="D244" s="21" t="n"/>
      <c r="E244" s="20" t="n"/>
      <c r="F244" s="20" t="n"/>
      <c r="G244" s="20" t="n"/>
      <c r="H244" s="22" t="n"/>
      <c r="I244" s="22" t="n"/>
      <c r="J244" s="21" t="n"/>
      <c r="K244" s="20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20">
        <f>IF(AND(B245="",C245=""),"",ROW()-1)</f>
        <v/>
      </c>
      <c r="B245" s="20" t="n"/>
      <c r="C245" s="21">
        <f>IF(B245="","",VLOOKUP(B245,Projects!$B:$C,2,FALSE()))</f>
        <v/>
      </c>
      <c r="D245" s="21" t="n"/>
      <c r="E245" s="20" t="n"/>
      <c r="F245" s="20" t="n"/>
      <c r="G245" s="20" t="n"/>
      <c r="H245" s="22" t="n"/>
      <c r="I245" s="22" t="n"/>
      <c r="J245" s="21" t="n"/>
      <c r="K245" s="20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20">
        <f>IF(AND(B246="",C246=""),"",ROW()-1)</f>
        <v/>
      </c>
      <c r="B246" s="20" t="n"/>
      <c r="C246" s="21">
        <f>IF(B246="","",VLOOKUP(B246,Projects!$B:$C,2,FALSE()))</f>
        <v/>
      </c>
      <c r="D246" s="21" t="n"/>
      <c r="E246" s="20" t="n"/>
      <c r="F246" s="20" t="n"/>
      <c r="G246" s="20" t="n"/>
      <c r="H246" s="22" t="n"/>
      <c r="I246" s="22" t="n"/>
      <c r="J246" s="21" t="n"/>
      <c r="K246" s="20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20">
        <f>IF(AND(B247="",C247=""),"",ROW()-1)</f>
        <v/>
      </c>
      <c r="B247" s="20" t="n"/>
      <c r="C247" s="21">
        <f>IF(B247="","",VLOOKUP(B247,Projects!$B:$C,2,FALSE()))</f>
        <v/>
      </c>
      <c r="D247" s="21" t="n"/>
      <c r="E247" s="20" t="n"/>
      <c r="F247" s="20" t="n"/>
      <c r="G247" s="20" t="n"/>
      <c r="H247" s="22" t="n"/>
      <c r="I247" s="22" t="n"/>
      <c r="J247" s="21" t="n"/>
      <c r="K247" s="20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20">
        <f>IF(AND(B248="",C248=""),"",ROW()-1)</f>
        <v/>
      </c>
      <c r="B248" s="20" t="n"/>
      <c r="C248" s="21">
        <f>IF(B248="","",VLOOKUP(B248,Projects!$B:$C,2,FALSE()))</f>
        <v/>
      </c>
      <c r="D248" s="21" t="n"/>
      <c r="E248" s="20" t="n"/>
      <c r="F248" s="20" t="n"/>
      <c r="G248" s="20" t="n"/>
      <c r="H248" s="22" t="n"/>
      <c r="I248" s="22" t="n"/>
      <c r="J248" s="21" t="n"/>
      <c r="K248" s="20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20">
        <f>IF(AND(B249="",C249=""),"",ROW()-1)</f>
        <v/>
      </c>
      <c r="B249" s="20" t="n"/>
      <c r="C249" s="21">
        <f>IF(B249="","",VLOOKUP(B249,Projects!$B:$C,2,FALSE()))</f>
        <v/>
      </c>
      <c r="D249" s="21" t="n"/>
      <c r="E249" s="20" t="n"/>
      <c r="F249" s="20" t="n"/>
      <c r="G249" s="20" t="n"/>
      <c r="H249" s="22" t="n"/>
      <c r="I249" s="22" t="n"/>
      <c r="J249" s="21" t="n"/>
      <c r="K249" s="20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20">
        <f>IF(AND(B250="",C250=""),"",ROW()-1)</f>
        <v/>
      </c>
      <c r="B250" s="20" t="n"/>
      <c r="C250" s="21">
        <f>IF(B250="","",VLOOKUP(B250,Projects!$B:$C,2,FALSE()))</f>
        <v/>
      </c>
      <c r="D250" s="21" t="n"/>
      <c r="E250" s="20" t="n"/>
      <c r="F250" s="20" t="n"/>
      <c r="G250" s="20" t="n"/>
      <c r="H250" s="22" t="n"/>
      <c r="I250" s="22" t="n"/>
      <c r="J250" s="21" t="n"/>
      <c r="K250" s="20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20">
        <f>IF(AND(B251="",C251=""),"",ROW()-1)</f>
        <v/>
      </c>
      <c r="B251" s="20" t="n"/>
      <c r="C251" s="21">
        <f>IF(B251="","",VLOOKUP(B251,Projects!$B:$C,2,FALSE()))</f>
        <v/>
      </c>
      <c r="D251" s="21" t="n"/>
      <c r="E251" s="20" t="n"/>
      <c r="F251" s="20" t="n"/>
      <c r="G251" s="20" t="n"/>
      <c r="H251" s="22" t="n"/>
      <c r="I251" s="22" t="n"/>
      <c r="J251" s="21" t="n"/>
      <c r="K251" s="20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20">
        <f>IF(AND(B252="",C252=""),"",ROW()-1)</f>
        <v/>
      </c>
      <c r="B252" s="20" t="n"/>
      <c r="C252" s="21">
        <f>IF(B252="","",VLOOKUP(B252,Projects!$B:$C,2,FALSE()))</f>
        <v/>
      </c>
      <c r="D252" s="21" t="n"/>
      <c r="E252" s="20" t="n"/>
      <c r="F252" s="20" t="n"/>
      <c r="G252" s="20" t="n"/>
      <c r="H252" s="22" t="n"/>
      <c r="I252" s="22" t="n"/>
      <c r="J252" s="21" t="n"/>
      <c r="K252" s="20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20">
        <f>IF(AND(B253="",C253=""),"",ROW()-1)</f>
        <v/>
      </c>
      <c r="B253" s="20" t="n"/>
      <c r="C253" s="21">
        <f>IF(B253="","",VLOOKUP(B253,Projects!$B:$C,2,FALSE()))</f>
        <v/>
      </c>
      <c r="D253" s="21" t="n"/>
      <c r="E253" s="20" t="n"/>
      <c r="F253" s="20" t="n"/>
      <c r="G253" s="20" t="n"/>
      <c r="H253" s="22" t="n"/>
      <c r="I253" s="22" t="n"/>
      <c r="J253" s="21" t="n"/>
      <c r="K253" s="20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20">
        <f>IF(AND(B254="",C254=""),"",ROW()-1)</f>
        <v/>
      </c>
      <c r="B254" s="20" t="n"/>
      <c r="C254" s="21">
        <f>IF(B254="","",VLOOKUP(B254,Projects!$B:$C,2,FALSE()))</f>
        <v/>
      </c>
      <c r="D254" s="21" t="n"/>
      <c r="E254" s="20" t="n"/>
      <c r="F254" s="20" t="n"/>
      <c r="G254" s="20" t="n"/>
      <c r="H254" s="22" t="n"/>
      <c r="I254" s="22" t="n"/>
      <c r="J254" s="21" t="n"/>
      <c r="K254" s="20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20">
        <f>IF(AND(B255="",C255=""),"",ROW()-1)</f>
        <v/>
      </c>
      <c r="B255" s="20" t="n"/>
      <c r="C255" s="21">
        <f>IF(B255="","",VLOOKUP(B255,Projects!$B:$C,2,FALSE()))</f>
        <v/>
      </c>
      <c r="D255" s="21" t="n"/>
      <c r="E255" s="20" t="n"/>
      <c r="F255" s="20" t="n"/>
      <c r="G255" s="20" t="n"/>
      <c r="H255" s="22" t="n"/>
      <c r="I255" s="22" t="n"/>
      <c r="J255" s="21" t="n"/>
      <c r="K255" s="20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20">
        <f>IF(AND(B256="",C256=""),"",ROW()-1)</f>
        <v/>
      </c>
      <c r="B256" s="20" t="n"/>
      <c r="C256" s="21">
        <f>IF(B256="","",VLOOKUP(B256,Projects!$B:$C,2,FALSE()))</f>
        <v/>
      </c>
      <c r="D256" s="21" t="n"/>
      <c r="E256" s="20" t="n"/>
      <c r="F256" s="20" t="n"/>
      <c r="G256" s="20" t="n"/>
      <c r="H256" s="22" t="n"/>
      <c r="I256" s="22" t="n"/>
      <c r="J256" s="21" t="n"/>
      <c r="K256" s="20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20">
        <f>IF(AND(B257="",C257=""),"",ROW()-1)</f>
        <v/>
      </c>
      <c r="B257" s="20" t="n"/>
      <c r="C257" s="21">
        <f>IF(B257="","",VLOOKUP(B257,Projects!$B:$C,2,FALSE()))</f>
        <v/>
      </c>
      <c r="D257" s="21" t="n"/>
      <c r="E257" s="20" t="n"/>
      <c r="F257" s="20" t="n"/>
      <c r="G257" s="20" t="n"/>
      <c r="H257" s="22" t="n"/>
      <c r="I257" s="22" t="n"/>
      <c r="J257" s="21" t="n"/>
      <c r="K257" s="20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20">
        <f>IF(AND(B258="",C258=""),"",ROW()-1)</f>
        <v/>
      </c>
      <c r="B258" s="20" t="n"/>
      <c r="C258" s="21">
        <f>IF(B258="","",VLOOKUP(B258,Projects!$B:$C,2,FALSE()))</f>
        <v/>
      </c>
      <c r="D258" s="21" t="n"/>
      <c r="E258" s="20" t="n"/>
      <c r="F258" s="20" t="n"/>
      <c r="G258" s="20" t="n"/>
      <c r="H258" s="22" t="n"/>
      <c r="I258" s="22" t="n"/>
      <c r="J258" s="21" t="n"/>
      <c r="K258" s="20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20">
        <f>IF(AND(B259="",C259=""),"",ROW()-1)</f>
        <v/>
      </c>
      <c r="B259" s="20" t="n"/>
      <c r="C259" s="21">
        <f>IF(B259="","",VLOOKUP(B259,Projects!$B:$C,2,FALSE()))</f>
        <v/>
      </c>
      <c r="D259" s="21" t="n"/>
      <c r="E259" s="20" t="n"/>
      <c r="F259" s="20" t="n"/>
      <c r="G259" s="20" t="n"/>
      <c r="H259" s="22" t="n"/>
      <c r="I259" s="22" t="n"/>
      <c r="J259" s="21" t="n"/>
      <c r="K259" s="20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20">
        <f>IF(AND(B260="",C260=""),"",ROW()-1)</f>
        <v/>
      </c>
      <c r="B260" s="20" t="n"/>
      <c r="C260" s="21">
        <f>IF(B260="","",VLOOKUP(B260,Projects!$B:$C,2,FALSE()))</f>
        <v/>
      </c>
      <c r="D260" s="21" t="n"/>
      <c r="E260" s="20" t="n"/>
      <c r="F260" s="20" t="n"/>
      <c r="G260" s="20" t="n"/>
      <c r="H260" s="22" t="n"/>
      <c r="I260" s="22" t="n"/>
      <c r="J260" s="21" t="n"/>
      <c r="K260" s="20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20">
        <f>IF(AND(B261="",C261=""),"",ROW()-1)</f>
        <v/>
      </c>
      <c r="B261" s="20" t="n"/>
      <c r="C261" s="21">
        <f>IF(B261="","",VLOOKUP(B261,Projects!$B:$C,2,FALSE()))</f>
        <v/>
      </c>
      <c r="D261" s="21" t="n"/>
      <c r="E261" s="20" t="n"/>
      <c r="F261" s="20" t="n"/>
      <c r="G261" s="20" t="n"/>
      <c r="H261" s="22" t="n"/>
      <c r="I261" s="22" t="n"/>
      <c r="J261" s="21" t="n"/>
      <c r="K261" s="20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20">
        <f>IF(AND(B262="",C262=""),"",ROW()-1)</f>
        <v/>
      </c>
      <c r="B262" s="20" t="n"/>
      <c r="C262" s="21">
        <f>IF(B262="","",VLOOKUP(B262,Projects!$B:$C,2,FALSE()))</f>
        <v/>
      </c>
      <c r="D262" s="21" t="n"/>
      <c r="E262" s="20" t="n"/>
      <c r="F262" s="20" t="n"/>
      <c r="G262" s="20" t="n"/>
      <c r="H262" s="22" t="n"/>
      <c r="I262" s="22" t="n"/>
      <c r="J262" s="21" t="n"/>
      <c r="K262" s="20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20">
        <f>IF(AND(B263="",C263=""),"",ROW()-1)</f>
        <v/>
      </c>
      <c r="B263" s="20" t="n"/>
      <c r="C263" s="21">
        <f>IF(B263="","",VLOOKUP(B263,Projects!$B:$C,2,FALSE()))</f>
        <v/>
      </c>
      <c r="D263" s="21" t="n"/>
      <c r="E263" s="20" t="n"/>
      <c r="F263" s="20" t="n"/>
      <c r="G263" s="20" t="n"/>
      <c r="H263" s="22" t="n"/>
      <c r="I263" s="22" t="n"/>
      <c r="J263" s="21" t="n"/>
      <c r="K263" s="20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20">
        <f>IF(AND(B264="",C264=""),"",ROW()-1)</f>
        <v/>
      </c>
      <c r="B264" s="20" t="n"/>
      <c r="C264" s="21">
        <f>IF(B264="","",VLOOKUP(B264,Projects!$B:$C,2,FALSE()))</f>
        <v/>
      </c>
      <c r="D264" s="21" t="n"/>
      <c r="E264" s="20" t="n"/>
      <c r="F264" s="20" t="n"/>
      <c r="G264" s="20" t="n"/>
      <c r="H264" s="22" t="n"/>
      <c r="I264" s="22" t="n"/>
      <c r="J264" s="21" t="n"/>
      <c r="K264" s="20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20">
        <f>IF(AND(B265="",C265=""),"",ROW()-1)</f>
        <v/>
      </c>
      <c r="B265" s="20" t="n"/>
      <c r="C265" s="21">
        <f>IF(B265="","",VLOOKUP(B265,Projects!$B:$C,2,FALSE()))</f>
        <v/>
      </c>
      <c r="D265" s="21" t="n"/>
      <c r="E265" s="20" t="n"/>
      <c r="F265" s="20" t="n"/>
      <c r="G265" s="20" t="n"/>
      <c r="H265" s="22" t="n"/>
      <c r="I265" s="22" t="n"/>
      <c r="J265" s="21" t="n"/>
      <c r="K265" s="20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20">
        <f>IF(AND(B266="",C266=""),"",ROW()-1)</f>
        <v/>
      </c>
      <c r="B266" s="20" t="n"/>
      <c r="C266" s="21">
        <f>IF(B266="","",VLOOKUP(B266,Projects!$B:$C,2,FALSE()))</f>
        <v/>
      </c>
      <c r="D266" s="21" t="n"/>
      <c r="E266" s="20" t="n"/>
      <c r="F266" s="20" t="n"/>
      <c r="G266" s="20" t="n"/>
      <c r="H266" s="22" t="n"/>
      <c r="I266" s="22" t="n"/>
      <c r="J266" s="21" t="n"/>
      <c r="K266" s="20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20">
        <f>IF(AND(B267="",C267=""),"",ROW()-1)</f>
        <v/>
      </c>
      <c r="B267" s="20" t="n"/>
      <c r="C267" s="21">
        <f>IF(B267="","",VLOOKUP(B267,Projects!$B:$C,2,FALSE()))</f>
        <v/>
      </c>
      <c r="D267" s="21" t="n"/>
      <c r="E267" s="20" t="n"/>
      <c r="F267" s="20" t="n"/>
      <c r="G267" s="20" t="n"/>
      <c r="H267" s="22" t="n"/>
      <c r="I267" s="22" t="n"/>
      <c r="J267" s="21" t="n"/>
      <c r="K267" s="20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20">
        <f>IF(AND(B268="",C268=""),"",ROW()-1)</f>
        <v/>
      </c>
      <c r="B268" s="20" t="n"/>
      <c r="C268" s="21">
        <f>IF(B268="","",VLOOKUP(B268,Projects!$B:$C,2,FALSE()))</f>
        <v/>
      </c>
      <c r="D268" s="21" t="n"/>
      <c r="E268" s="20" t="n"/>
      <c r="F268" s="20" t="n"/>
      <c r="G268" s="20" t="n"/>
      <c r="H268" s="22" t="n"/>
      <c r="I268" s="22" t="n"/>
      <c r="J268" s="21" t="n"/>
      <c r="K268" s="20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20">
        <f>IF(AND(B269="",C269=""),"",ROW()-1)</f>
        <v/>
      </c>
      <c r="B269" s="20" t="n"/>
      <c r="C269" s="21">
        <f>IF(B269="","",VLOOKUP(B269,Projects!$B:$C,2,FALSE()))</f>
        <v/>
      </c>
      <c r="D269" s="21" t="n"/>
      <c r="E269" s="20" t="n"/>
      <c r="F269" s="20" t="n"/>
      <c r="G269" s="20" t="n"/>
      <c r="H269" s="22" t="n"/>
      <c r="I269" s="22" t="n"/>
      <c r="J269" s="21" t="n"/>
      <c r="K269" s="20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20">
        <f>IF(AND(B270="",C270=""),"",ROW()-1)</f>
        <v/>
      </c>
      <c r="B270" s="20" t="n"/>
      <c r="C270" s="21">
        <f>IF(B270="","",VLOOKUP(B270,Projects!$B:$C,2,FALSE()))</f>
        <v/>
      </c>
      <c r="D270" s="21" t="n"/>
      <c r="E270" s="20" t="n"/>
      <c r="F270" s="20" t="n"/>
      <c r="G270" s="20" t="n"/>
      <c r="H270" s="22" t="n"/>
      <c r="I270" s="22" t="n"/>
      <c r="J270" s="21" t="n"/>
      <c r="K270" s="20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20">
        <f>IF(AND(B271="",C271=""),"",ROW()-1)</f>
        <v/>
      </c>
      <c r="B271" s="20" t="n"/>
      <c r="C271" s="21">
        <f>IF(B271="","",VLOOKUP(B271,Projects!$B:$C,2,FALSE()))</f>
        <v/>
      </c>
      <c r="D271" s="21" t="n"/>
      <c r="E271" s="20" t="n"/>
      <c r="F271" s="20" t="n"/>
      <c r="G271" s="20" t="n"/>
      <c r="H271" s="22" t="n"/>
      <c r="I271" s="22" t="n"/>
      <c r="J271" s="21" t="n"/>
      <c r="K271" s="20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20">
        <f>IF(AND(B272="",C272=""),"",ROW()-1)</f>
        <v/>
      </c>
      <c r="B272" s="20" t="n"/>
      <c r="C272" s="21">
        <f>IF(B272="","",VLOOKUP(B272,Projects!$B:$C,2,FALSE()))</f>
        <v/>
      </c>
      <c r="D272" s="21" t="n"/>
      <c r="E272" s="20" t="n"/>
      <c r="F272" s="20" t="n"/>
      <c r="G272" s="20" t="n"/>
      <c r="H272" s="22" t="n"/>
      <c r="I272" s="22" t="n"/>
      <c r="J272" s="21" t="n"/>
      <c r="K272" s="20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20">
        <f>IF(AND(B273="",C273=""),"",ROW()-1)</f>
        <v/>
      </c>
      <c r="B273" s="20" t="n"/>
      <c r="C273" s="21">
        <f>IF(B273="","",VLOOKUP(B273,Projects!$B:$C,2,FALSE()))</f>
        <v/>
      </c>
      <c r="D273" s="21" t="n"/>
      <c r="E273" s="20" t="n"/>
      <c r="F273" s="20" t="n"/>
      <c r="G273" s="20" t="n"/>
      <c r="H273" s="22" t="n"/>
      <c r="I273" s="22" t="n"/>
      <c r="J273" s="21" t="n"/>
      <c r="K273" s="20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20">
        <f>IF(AND(B274="",C274=""),"",ROW()-1)</f>
        <v/>
      </c>
      <c r="B274" s="20" t="n"/>
      <c r="C274" s="21">
        <f>IF(B274="","",VLOOKUP(B274,Projects!$B:$C,2,FALSE()))</f>
        <v/>
      </c>
      <c r="D274" s="21" t="n"/>
      <c r="E274" s="20" t="n"/>
      <c r="F274" s="20" t="n"/>
      <c r="G274" s="20" t="n"/>
      <c r="H274" s="22" t="n"/>
      <c r="I274" s="22" t="n"/>
      <c r="J274" s="21" t="n"/>
      <c r="K274" s="20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20">
        <f>IF(AND(B275="",C275=""),"",ROW()-1)</f>
        <v/>
      </c>
      <c r="B275" s="20" t="n"/>
      <c r="C275" s="21">
        <f>IF(B275="","",VLOOKUP(B275,Projects!$B:$C,2,FALSE()))</f>
        <v/>
      </c>
      <c r="D275" s="21" t="n"/>
      <c r="E275" s="20" t="n"/>
      <c r="F275" s="20" t="n"/>
      <c r="G275" s="20" t="n"/>
      <c r="H275" s="22" t="n"/>
      <c r="I275" s="22" t="n"/>
      <c r="J275" s="21" t="n"/>
      <c r="K275" s="20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20">
        <f>IF(AND(B276="",C276=""),"",ROW()-1)</f>
        <v/>
      </c>
      <c r="B276" s="20" t="n"/>
      <c r="C276" s="21">
        <f>IF(B276="","",VLOOKUP(B276,Projects!$B:$C,2,FALSE()))</f>
        <v/>
      </c>
      <c r="D276" s="21" t="n"/>
      <c r="E276" s="20" t="n"/>
      <c r="F276" s="20" t="n"/>
      <c r="G276" s="20" t="n"/>
      <c r="H276" s="22" t="n"/>
      <c r="I276" s="22" t="n"/>
      <c r="J276" s="21" t="n"/>
      <c r="K276" s="20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20">
        <f>IF(AND(B277="",C277=""),"",ROW()-1)</f>
        <v/>
      </c>
      <c r="B277" s="20" t="n"/>
      <c r="C277" s="21">
        <f>IF(B277="","",VLOOKUP(B277,Projects!$B:$C,2,FALSE()))</f>
        <v/>
      </c>
      <c r="D277" s="21" t="n"/>
      <c r="E277" s="20" t="n"/>
      <c r="F277" s="20" t="n"/>
      <c r="G277" s="20" t="n"/>
      <c r="H277" s="22" t="n"/>
      <c r="I277" s="22" t="n"/>
      <c r="J277" s="21" t="n"/>
      <c r="K277" s="20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20">
        <f>IF(AND(B278="",C278=""),"",ROW()-1)</f>
        <v/>
      </c>
      <c r="B278" s="20" t="n"/>
      <c r="C278" s="21">
        <f>IF(B278="","",VLOOKUP(B278,Projects!$B:$C,2,FALSE()))</f>
        <v/>
      </c>
      <c r="D278" s="21" t="n"/>
      <c r="E278" s="20" t="n"/>
      <c r="F278" s="20" t="n"/>
      <c r="G278" s="20" t="n"/>
      <c r="H278" s="22" t="n"/>
      <c r="I278" s="22" t="n"/>
      <c r="J278" s="21" t="n"/>
      <c r="K278" s="20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20">
        <f>IF(AND(B279="",C279=""),"",ROW()-1)</f>
        <v/>
      </c>
      <c r="B279" s="20" t="n"/>
      <c r="C279" s="21">
        <f>IF(B279="","",VLOOKUP(B279,Projects!$B:$C,2,FALSE()))</f>
        <v/>
      </c>
      <c r="D279" s="21" t="n"/>
      <c r="E279" s="20" t="n"/>
      <c r="F279" s="20" t="n"/>
      <c r="G279" s="20" t="n"/>
      <c r="H279" s="22" t="n"/>
      <c r="I279" s="22" t="n"/>
      <c r="J279" s="21" t="n"/>
      <c r="K279" s="20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20">
        <f>IF(AND(B280="",C280=""),"",ROW()-1)</f>
        <v/>
      </c>
      <c r="B280" s="20" t="n"/>
      <c r="C280" s="21">
        <f>IF(B280="","",VLOOKUP(B280,Projects!$B:$C,2,FALSE()))</f>
        <v/>
      </c>
      <c r="D280" s="21" t="n"/>
      <c r="E280" s="20" t="n"/>
      <c r="F280" s="20" t="n"/>
      <c r="G280" s="20" t="n"/>
      <c r="H280" s="22" t="n"/>
      <c r="I280" s="22" t="n"/>
      <c r="J280" s="21" t="n"/>
      <c r="K280" s="20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20">
        <f>IF(AND(B281="",C281=""),"",ROW()-1)</f>
        <v/>
      </c>
      <c r="B281" s="20" t="n"/>
      <c r="C281" s="21">
        <f>IF(B281="","",VLOOKUP(B281,Projects!$B:$C,2,FALSE()))</f>
        <v/>
      </c>
      <c r="D281" s="21" t="n"/>
      <c r="E281" s="20" t="n"/>
      <c r="F281" s="20" t="n"/>
      <c r="G281" s="20" t="n"/>
      <c r="H281" s="22" t="n"/>
      <c r="I281" s="22" t="n"/>
      <c r="J281" s="21" t="n"/>
      <c r="K281" s="20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20">
        <f>IF(AND(B282="",C282=""),"",ROW()-1)</f>
        <v/>
      </c>
      <c r="B282" s="20" t="n"/>
      <c r="C282" s="21">
        <f>IF(B282="","",VLOOKUP(B282,Projects!$B:$C,2,FALSE()))</f>
        <v/>
      </c>
      <c r="D282" s="21" t="n"/>
      <c r="E282" s="20" t="n"/>
      <c r="F282" s="20" t="n"/>
      <c r="G282" s="20" t="n"/>
      <c r="H282" s="22" t="n"/>
      <c r="I282" s="22" t="n"/>
      <c r="J282" s="21" t="n"/>
      <c r="K282" s="20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20">
        <f>IF(AND(B283="",C283=""),"",ROW()-1)</f>
        <v/>
      </c>
      <c r="B283" s="20" t="n"/>
      <c r="C283" s="21">
        <f>IF(B283="","",VLOOKUP(B283,Projects!$B:$C,2,FALSE()))</f>
        <v/>
      </c>
      <c r="D283" s="21" t="n"/>
      <c r="E283" s="20" t="n"/>
      <c r="F283" s="20" t="n"/>
      <c r="G283" s="20" t="n"/>
      <c r="H283" s="22" t="n"/>
      <c r="I283" s="22" t="n"/>
      <c r="J283" s="21" t="n"/>
      <c r="K283" s="20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20">
        <f>IF(AND(B284="",C284=""),"",ROW()-1)</f>
        <v/>
      </c>
      <c r="B284" s="20" t="n"/>
      <c r="C284" s="21">
        <f>IF(B284="","",VLOOKUP(B284,Projects!$B:$C,2,FALSE()))</f>
        <v/>
      </c>
      <c r="D284" s="21" t="n"/>
      <c r="E284" s="20" t="n"/>
      <c r="F284" s="20" t="n"/>
      <c r="G284" s="20" t="n"/>
      <c r="H284" s="22" t="n"/>
      <c r="I284" s="22" t="n"/>
      <c r="J284" s="21" t="n"/>
      <c r="K284" s="20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20">
        <f>IF(AND(B285="",C285=""),"",ROW()-1)</f>
        <v/>
      </c>
      <c r="B285" s="20" t="n"/>
      <c r="C285" s="21">
        <f>IF(B285="","",VLOOKUP(B285,Projects!$B:$C,2,FALSE()))</f>
        <v/>
      </c>
      <c r="D285" s="21" t="n"/>
      <c r="E285" s="20" t="n"/>
      <c r="F285" s="20" t="n"/>
      <c r="G285" s="20" t="n"/>
      <c r="H285" s="22" t="n"/>
      <c r="I285" s="22" t="n"/>
      <c r="J285" s="21" t="n"/>
      <c r="K285" s="20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20">
        <f>IF(AND(B286="",C286=""),"",ROW()-1)</f>
        <v/>
      </c>
      <c r="B286" s="20" t="n"/>
      <c r="C286" s="21">
        <f>IF(B286="","",VLOOKUP(B286,Projects!$B:$C,2,FALSE()))</f>
        <v/>
      </c>
      <c r="D286" s="21" t="n"/>
      <c r="E286" s="20" t="n"/>
      <c r="F286" s="20" t="n"/>
      <c r="G286" s="20" t="n"/>
      <c r="H286" s="22" t="n"/>
      <c r="I286" s="22" t="n"/>
      <c r="J286" s="21" t="n"/>
      <c r="K286" s="20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20">
        <f>IF(AND(B287="",C287=""),"",ROW()-1)</f>
        <v/>
      </c>
      <c r="B287" s="20" t="n"/>
      <c r="C287" s="21">
        <f>IF(B287="","",VLOOKUP(B287,Projects!$B:$C,2,FALSE()))</f>
        <v/>
      </c>
      <c r="D287" s="21" t="n"/>
      <c r="E287" s="20" t="n"/>
      <c r="F287" s="20" t="n"/>
      <c r="G287" s="20" t="n"/>
      <c r="H287" s="22" t="n"/>
      <c r="I287" s="22" t="n"/>
      <c r="J287" s="21" t="n"/>
      <c r="K287" s="20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20">
        <f>IF(AND(B288="",C288=""),"",ROW()-1)</f>
        <v/>
      </c>
      <c r="B288" s="20" t="n"/>
      <c r="C288" s="21">
        <f>IF(B288="","",VLOOKUP(B288,Projects!$B:$C,2,FALSE()))</f>
        <v/>
      </c>
      <c r="D288" s="21" t="n"/>
      <c r="E288" s="20" t="n"/>
      <c r="F288" s="20" t="n"/>
      <c r="G288" s="20" t="n"/>
      <c r="H288" s="22" t="n"/>
      <c r="I288" s="22" t="n"/>
      <c r="J288" s="21" t="n"/>
      <c r="K288" s="20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20">
        <f>IF(AND(B289="",C289=""),"",ROW()-1)</f>
        <v/>
      </c>
      <c r="B289" s="20" t="n"/>
      <c r="C289" s="21">
        <f>IF(B289="","",VLOOKUP(B289,Projects!$B:$C,2,FALSE()))</f>
        <v/>
      </c>
      <c r="D289" s="21" t="n"/>
      <c r="E289" s="20" t="n"/>
      <c r="F289" s="20" t="n"/>
      <c r="G289" s="20" t="n"/>
      <c r="H289" s="22" t="n"/>
      <c r="I289" s="22" t="n"/>
      <c r="J289" s="21" t="n"/>
      <c r="K289" s="20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20">
        <f>IF(AND(B290="",C290=""),"",ROW()-1)</f>
        <v/>
      </c>
      <c r="B290" s="20" t="n"/>
      <c r="C290" s="21">
        <f>IF(B290="","",VLOOKUP(B290,Projects!$B:$C,2,FALSE()))</f>
        <v/>
      </c>
      <c r="D290" s="21" t="n"/>
      <c r="E290" s="20" t="n"/>
      <c r="F290" s="20" t="n"/>
      <c r="G290" s="20" t="n"/>
      <c r="H290" s="22" t="n"/>
      <c r="I290" s="22" t="n"/>
      <c r="J290" s="21" t="n"/>
      <c r="K290" s="20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20">
        <f>IF(AND(B291="",C291=""),"",ROW()-1)</f>
        <v/>
      </c>
      <c r="B291" s="20" t="n"/>
      <c r="C291" s="21">
        <f>IF(B291="","",VLOOKUP(B291,Projects!$B:$C,2,FALSE()))</f>
        <v/>
      </c>
      <c r="D291" s="21" t="n"/>
      <c r="E291" s="20" t="n"/>
      <c r="F291" s="20" t="n"/>
      <c r="G291" s="20" t="n"/>
      <c r="H291" s="22" t="n"/>
      <c r="I291" s="22" t="n"/>
      <c r="J291" s="21" t="n"/>
      <c r="K291" s="20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20">
        <f>IF(AND(B292="",C292=""),"",ROW()-1)</f>
        <v/>
      </c>
      <c r="B292" s="20" t="n"/>
      <c r="C292" s="21">
        <f>IF(B292="","",VLOOKUP(B292,Projects!$B:$C,2,FALSE()))</f>
        <v/>
      </c>
      <c r="D292" s="21" t="n"/>
      <c r="E292" s="20" t="n"/>
      <c r="F292" s="20" t="n"/>
      <c r="G292" s="20" t="n"/>
      <c r="H292" s="22" t="n"/>
      <c r="I292" s="22" t="n"/>
      <c r="J292" s="21" t="n"/>
      <c r="K292" s="20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20">
        <f>IF(AND(B293="",C293=""),"",ROW()-1)</f>
        <v/>
      </c>
      <c r="B293" s="20" t="n"/>
      <c r="C293" s="21">
        <f>IF(B293="","",VLOOKUP(B293,Projects!$B:$C,2,FALSE()))</f>
        <v/>
      </c>
      <c r="D293" s="21" t="n"/>
      <c r="E293" s="20" t="n"/>
      <c r="F293" s="20" t="n"/>
      <c r="G293" s="20" t="n"/>
      <c r="H293" s="22" t="n"/>
      <c r="I293" s="22" t="n"/>
      <c r="J293" s="21" t="n"/>
      <c r="K293" s="20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20">
        <f>IF(AND(B294="",C294=""),"",ROW()-1)</f>
        <v/>
      </c>
      <c r="B294" s="20" t="n"/>
      <c r="C294" s="21">
        <f>IF(B294="","",VLOOKUP(B294,Projects!$B:$C,2,FALSE()))</f>
        <v/>
      </c>
      <c r="D294" s="21" t="n"/>
      <c r="E294" s="20" t="n"/>
      <c r="F294" s="20" t="n"/>
      <c r="G294" s="20" t="n"/>
      <c r="H294" s="22" t="n"/>
      <c r="I294" s="22" t="n"/>
      <c r="J294" s="21" t="n"/>
      <c r="K294" s="20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20">
        <f>IF(AND(B295="",C295=""),"",ROW()-1)</f>
        <v/>
      </c>
      <c r="B295" s="20" t="n"/>
      <c r="C295" s="21">
        <f>IF(B295="","",VLOOKUP(B295,Projects!$B:$C,2,FALSE()))</f>
        <v/>
      </c>
      <c r="D295" s="21" t="n"/>
      <c r="E295" s="20" t="n"/>
      <c r="F295" s="20" t="n"/>
      <c r="G295" s="20" t="n"/>
      <c r="H295" s="22" t="n"/>
      <c r="I295" s="22" t="n"/>
      <c r="J295" s="21" t="n"/>
      <c r="K295" s="20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20">
        <f>IF(AND(B296="",C296=""),"",ROW()-1)</f>
        <v/>
      </c>
      <c r="B296" s="20" t="n"/>
      <c r="C296" s="21">
        <f>IF(B296="","",VLOOKUP(B296,Projects!$B:$C,2,FALSE()))</f>
        <v/>
      </c>
      <c r="D296" s="21" t="n"/>
      <c r="E296" s="20" t="n"/>
      <c r="F296" s="20" t="n"/>
      <c r="G296" s="20" t="n"/>
      <c r="H296" s="22" t="n"/>
      <c r="I296" s="22" t="n"/>
      <c r="J296" s="21" t="n"/>
      <c r="K296" s="20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20">
        <f>IF(AND(B297="",C297=""),"",ROW()-1)</f>
        <v/>
      </c>
      <c r="B297" s="20" t="n"/>
      <c r="C297" s="21">
        <f>IF(B297="","",VLOOKUP(B297,Projects!$B:$C,2,FALSE()))</f>
        <v/>
      </c>
      <c r="D297" s="21" t="n"/>
      <c r="E297" s="20" t="n"/>
      <c r="F297" s="20" t="n"/>
      <c r="G297" s="20" t="n"/>
      <c r="H297" s="22" t="n"/>
      <c r="I297" s="22" t="n"/>
      <c r="J297" s="21" t="n"/>
      <c r="K297" s="20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20">
        <f>IF(AND(B298="",C298=""),"",ROW()-1)</f>
        <v/>
      </c>
      <c r="B298" s="20" t="n"/>
      <c r="C298" s="21">
        <f>IF(B298="","",VLOOKUP(B298,Projects!$B:$C,2,FALSE()))</f>
        <v/>
      </c>
      <c r="D298" s="21" t="n"/>
      <c r="E298" s="20" t="n"/>
      <c r="F298" s="20" t="n"/>
      <c r="G298" s="20" t="n"/>
      <c r="H298" s="22" t="n"/>
      <c r="I298" s="22" t="n"/>
      <c r="J298" s="21" t="n"/>
      <c r="K298" s="20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20">
        <f>IF(AND(B299="",C299=""),"",ROW()-1)</f>
        <v/>
      </c>
      <c r="B299" s="20" t="n"/>
      <c r="C299" s="21">
        <f>IF(B299="","",VLOOKUP(B299,Projects!$B:$C,2,FALSE()))</f>
        <v/>
      </c>
      <c r="D299" s="21" t="n"/>
      <c r="E299" s="20" t="n"/>
      <c r="F299" s="20" t="n"/>
      <c r="G299" s="20" t="n"/>
      <c r="H299" s="22" t="n"/>
      <c r="I299" s="22" t="n"/>
      <c r="J299" s="21" t="n"/>
      <c r="K299" s="20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20">
        <f>IF(AND(B300="",C300=""),"",ROW()-1)</f>
        <v/>
      </c>
      <c r="B300" s="20" t="n"/>
      <c r="C300" s="21">
        <f>IF(B300="","",VLOOKUP(B300,Projects!$B:$C,2,FALSE()))</f>
        <v/>
      </c>
      <c r="D300" s="21" t="n"/>
      <c r="E300" s="20" t="n"/>
      <c r="F300" s="20" t="n"/>
      <c r="G300" s="20" t="n"/>
      <c r="H300" s="22" t="n"/>
      <c r="I300" s="22" t="n"/>
      <c r="J300" s="21" t="n"/>
      <c r="K300" s="20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20">
        <f>IF(AND(B301="",C301=""),"",ROW()-1)</f>
        <v/>
      </c>
      <c r="B301" s="20" t="n"/>
      <c r="C301" s="21">
        <f>IF(B301="","",VLOOKUP(B301,Projects!$B:$C,2,FALSE()))</f>
        <v/>
      </c>
      <c r="D301" s="21" t="n"/>
      <c r="E301" s="20" t="n"/>
      <c r="F301" s="20" t="n"/>
      <c r="G301" s="20" t="n"/>
      <c r="H301" s="22" t="n"/>
      <c r="I301" s="22" t="n"/>
      <c r="J301" s="21" t="n"/>
      <c r="K301" s="20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20">
        <f>IF(AND(B302="",C302=""),"",ROW()-1)</f>
        <v/>
      </c>
      <c r="B302" s="20" t="n"/>
      <c r="C302" s="21">
        <f>IF(B302="","",VLOOKUP(B302,Projects!$B:$C,2,FALSE()))</f>
        <v/>
      </c>
      <c r="D302" s="21" t="n"/>
      <c r="E302" s="20" t="n"/>
      <c r="F302" s="20" t="n"/>
      <c r="G302" s="20" t="n"/>
      <c r="H302" s="22" t="n"/>
      <c r="I302" s="22" t="n"/>
      <c r="J302" s="21" t="n"/>
      <c r="K302" s="20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20">
        <f>IF(AND(B303="",C303=""),"",ROW()-1)</f>
        <v/>
      </c>
      <c r="B303" s="20" t="n"/>
      <c r="C303" s="21">
        <f>IF(B303="","",VLOOKUP(B303,Projects!$B:$C,2,FALSE()))</f>
        <v/>
      </c>
      <c r="D303" s="21" t="n"/>
      <c r="E303" s="20" t="n"/>
      <c r="F303" s="20" t="n"/>
      <c r="G303" s="20" t="n"/>
      <c r="H303" s="22" t="n"/>
      <c r="I303" s="22" t="n"/>
      <c r="J303" s="21" t="n"/>
      <c r="K303" s="20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20">
        <f>IF(AND(B304="",C304=""),"",ROW()-1)</f>
        <v/>
      </c>
      <c r="B304" s="20" t="n"/>
      <c r="C304" s="21">
        <f>IF(B304="","",VLOOKUP(B304,Projects!$B:$C,2,FALSE()))</f>
        <v/>
      </c>
      <c r="D304" s="21" t="n"/>
      <c r="E304" s="20" t="n"/>
      <c r="F304" s="20" t="n"/>
      <c r="G304" s="20" t="n"/>
      <c r="H304" s="22" t="n"/>
      <c r="I304" s="22" t="n"/>
      <c r="J304" s="21" t="n"/>
      <c r="K304" s="20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20">
        <f>IF(AND(B305="",C305=""),"",ROW()-1)</f>
        <v/>
      </c>
      <c r="B305" s="20" t="n"/>
      <c r="C305" s="21">
        <f>IF(B305="","",VLOOKUP(B305,Projects!$B:$C,2,FALSE()))</f>
        <v/>
      </c>
      <c r="D305" s="21" t="n"/>
      <c r="E305" s="20" t="n"/>
      <c r="F305" s="20" t="n"/>
      <c r="G305" s="20" t="n"/>
      <c r="H305" s="22" t="n"/>
      <c r="I305" s="22" t="n"/>
      <c r="J305" s="21" t="n"/>
      <c r="K305" s="20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20">
        <f>IF(AND(B306="",C306=""),"",ROW()-1)</f>
        <v/>
      </c>
      <c r="B306" s="20" t="n"/>
      <c r="C306" s="21">
        <f>IF(B306="","",VLOOKUP(B306,Projects!$B:$C,2,FALSE()))</f>
        <v/>
      </c>
      <c r="D306" s="21" t="n"/>
      <c r="E306" s="20" t="n"/>
      <c r="F306" s="20" t="n"/>
      <c r="G306" s="20" t="n"/>
      <c r="H306" s="22" t="n"/>
      <c r="I306" s="22" t="n"/>
      <c r="J306" s="21" t="n"/>
      <c r="K306" s="20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20">
        <f>IF(AND(B307="",C307=""),"",ROW()-1)</f>
        <v/>
      </c>
      <c r="B307" s="20" t="n"/>
      <c r="C307" s="21">
        <f>IF(B307="","",VLOOKUP(B307,Projects!$B:$C,2,FALSE()))</f>
        <v/>
      </c>
      <c r="D307" s="21" t="n"/>
      <c r="E307" s="20" t="n"/>
      <c r="F307" s="20" t="n"/>
      <c r="G307" s="20" t="n"/>
      <c r="H307" s="22" t="n"/>
      <c r="I307" s="22" t="n"/>
      <c r="J307" s="21" t="n"/>
      <c r="K307" s="20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20">
        <f>IF(AND(B308="",C308=""),"",ROW()-1)</f>
        <v/>
      </c>
      <c r="B308" s="20" t="n"/>
      <c r="C308" s="21">
        <f>IF(B308="","",VLOOKUP(B308,Projects!$B:$C,2,FALSE()))</f>
        <v/>
      </c>
      <c r="D308" s="21" t="n"/>
      <c r="E308" s="20" t="n"/>
      <c r="F308" s="20" t="n"/>
      <c r="G308" s="20" t="n"/>
      <c r="H308" s="22" t="n"/>
      <c r="I308" s="22" t="n"/>
      <c r="J308" s="21" t="n"/>
      <c r="K308" s="20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20">
        <f>IF(AND(B309="",C309=""),"",ROW()-1)</f>
        <v/>
      </c>
      <c r="B309" s="20" t="n"/>
      <c r="C309" s="21">
        <f>IF(B309="","",VLOOKUP(B309,Projects!$B:$C,2,FALSE()))</f>
        <v/>
      </c>
      <c r="D309" s="21" t="n"/>
      <c r="E309" s="20" t="n"/>
      <c r="F309" s="20" t="n"/>
      <c r="G309" s="20" t="n"/>
      <c r="H309" s="22" t="n"/>
      <c r="I309" s="22" t="n"/>
      <c r="J309" s="21" t="n"/>
      <c r="K309" s="20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20">
        <f>IF(AND(B310="",C310=""),"",ROW()-1)</f>
        <v/>
      </c>
      <c r="B310" s="20" t="n"/>
      <c r="C310" s="21">
        <f>IF(B310="","",VLOOKUP(B310,Projects!$B:$C,2,FALSE()))</f>
        <v/>
      </c>
      <c r="D310" s="21" t="n"/>
      <c r="E310" s="20" t="n"/>
      <c r="F310" s="20" t="n"/>
      <c r="G310" s="20" t="n"/>
      <c r="H310" s="22" t="n"/>
      <c r="I310" s="22" t="n"/>
      <c r="J310" s="21" t="n"/>
      <c r="K310" s="20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20">
        <f>IF(AND(B311="",C311=""),"",ROW()-1)</f>
        <v/>
      </c>
      <c r="B311" s="20" t="n"/>
      <c r="C311" s="21">
        <f>IF(B311="","",VLOOKUP(B311,Projects!$B:$C,2,FALSE()))</f>
        <v/>
      </c>
      <c r="D311" s="21" t="n"/>
      <c r="E311" s="20" t="n"/>
      <c r="F311" s="20" t="n"/>
      <c r="G311" s="20" t="n"/>
      <c r="H311" s="22" t="n"/>
      <c r="I311" s="22" t="n"/>
      <c r="J311" s="21" t="n"/>
      <c r="K311" s="20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20">
        <f>IF(AND(B312="",C312=""),"",ROW()-1)</f>
        <v/>
      </c>
      <c r="B312" s="20" t="n"/>
      <c r="C312" s="21">
        <f>IF(B312="","",VLOOKUP(B312,Projects!$B:$C,2,FALSE()))</f>
        <v/>
      </c>
      <c r="D312" s="21" t="n"/>
      <c r="E312" s="20" t="n"/>
      <c r="F312" s="20" t="n"/>
      <c r="G312" s="20" t="n"/>
      <c r="H312" s="22" t="n"/>
      <c r="I312" s="22" t="n"/>
      <c r="J312" s="21" t="n"/>
      <c r="K312" s="20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20">
        <f>IF(AND(B313="",C313=""),"",ROW()-1)</f>
        <v/>
      </c>
      <c r="B313" s="20" t="n"/>
      <c r="C313" s="21">
        <f>IF(B313="","",VLOOKUP(B313,Projects!$B:$C,2,FALSE()))</f>
        <v/>
      </c>
      <c r="D313" s="21" t="n"/>
      <c r="E313" s="20" t="n"/>
      <c r="F313" s="20" t="n"/>
      <c r="G313" s="20" t="n"/>
      <c r="H313" s="22" t="n"/>
      <c r="I313" s="22" t="n"/>
      <c r="J313" s="21" t="n"/>
      <c r="K313" s="20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20">
        <f>IF(AND(B314="",C314=""),"",ROW()-1)</f>
        <v/>
      </c>
      <c r="B314" s="20" t="n"/>
      <c r="C314" s="21">
        <f>IF(B314="","",VLOOKUP(B314,Projects!$B:$C,2,FALSE()))</f>
        <v/>
      </c>
      <c r="D314" s="21" t="n"/>
      <c r="E314" s="20" t="n"/>
      <c r="F314" s="20" t="n"/>
      <c r="G314" s="20" t="n"/>
      <c r="H314" s="22" t="n"/>
      <c r="I314" s="22" t="n"/>
      <c r="J314" s="21" t="n"/>
      <c r="K314" s="20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20">
        <f>IF(AND(B315="",C315=""),"",ROW()-1)</f>
        <v/>
      </c>
      <c r="B315" s="20" t="n"/>
      <c r="C315" s="21">
        <f>IF(B315="","",VLOOKUP(B315,Projects!$B:$C,2,FALSE()))</f>
        <v/>
      </c>
      <c r="D315" s="21" t="n"/>
      <c r="E315" s="20" t="n"/>
      <c r="F315" s="20" t="n"/>
      <c r="G315" s="20" t="n"/>
      <c r="H315" s="22" t="n"/>
      <c r="I315" s="22" t="n"/>
      <c r="J315" s="21" t="n"/>
      <c r="K315" s="20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20">
        <f>IF(AND(B316="",C316=""),"",ROW()-1)</f>
        <v/>
      </c>
      <c r="B316" s="20" t="n"/>
      <c r="C316" s="21">
        <f>IF(B316="","",VLOOKUP(B316,Projects!$B:$C,2,FALSE()))</f>
        <v/>
      </c>
      <c r="D316" s="21" t="n"/>
      <c r="E316" s="20" t="n"/>
      <c r="F316" s="20" t="n"/>
      <c r="G316" s="20" t="n"/>
      <c r="H316" s="22" t="n"/>
      <c r="I316" s="22" t="n"/>
      <c r="J316" s="21" t="n"/>
      <c r="K316" s="20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20">
        <f>IF(AND(B317="",C317=""),"",ROW()-1)</f>
        <v/>
      </c>
      <c r="B317" s="20" t="n"/>
      <c r="C317" s="21">
        <f>IF(B317="","",VLOOKUP(B317,Projects!$B:$C,2,FALSE()))</f>
        <v/>
      </c>
      <c r="D317" s="21" t="n"/>
      <c r="E317" s="20" t="n"/>
      <c r="F317" s="20" t="n"/>
      <c r="G317" s="20" t="n"/>
      <c r="H317" s="22" t="n"/>
      <c r="I317" s="22" t="n"/>
      <c r="J317" s="21" t="n"/>
      <c r="K317" s="20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20">
        <f>IF(AND(B318="",C318=""),"",ROW()-1)</f>
        <v/>
      </c>
      <c r="B318" s="20" t="n"/>
      <c r="C318" s="21">
        <f>IF(B318="","",VLOOKUP(B318,Projects!$B:$C,2,FALSE()))</f>
        <v/>
      </c>
      <c r="D318" s="21" t="n"/>
      <c r="E318" s="20" t="n"/>
      <c r="F318" s="20" t="n"/>
      <c r="G318" s="20" t="n"/>
      <c r="H318" s="22" t="n"/>
      <c r="I318" s="22" t="n"/>
      <c r="J318" s="21" t="n"/>
      <c r="K318" s="20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20">
        <f>IF(AND(B319="",C319=""),"",ROW()-1)</f>
        <v/>
      </c>
      <c r="B319" s="20" t="n"/>
      <c r="C319" s="21">
        <f>IF(B319="","",VLOOKUP(B319,Projects!$B:$C,2,FALSE()))</f>
        <v/>
      </c>
      <c r="D319" s="21" t="n"/>
      <c r="E319" s="20" t="n"/>
      <c r="F319" s="20" t="n"/>
      <c r="G319" s="20" t="n"/>
      <c r="H319" s="22" t="n"/>
      <c r="I319" s="22" t="n"/>
      <c r="J319" s="21" t="n"/>
      <c r="K319" s="20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20">
        <f>IF(AND(B320="",C320=""),"",ROW()-1)</f>
        <v/>
      </c>
      <c r="B320" s="20" t="n"/>
      <c r="C320" s="21">
        <f>IF(B320="","",VLOOKUP(B320,Projects!$B:$C,2,FALSE()))</f>
        <v/>
      </c>
      <c r="D320" s="21" t="n"/>
      <c r="E320" s="20" t="n"/>
      <c r="F320" s="20" t="n"/>
      <c r="G320" s="20" t="n"/>
      <c r="H320" s="22" t="n"/>
      <c r="I320" s="22" t="n"/>
      <c r="J320" s="21" t="n"/>
      <c r="K320" s="20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20">
        <f>IF(AND(B321="",C321=""),"",ROW()-1)</f>
        <v/>
      </c>
      <c r="B321" s="20" t="n"/>
      <c r="C321" s="21">
        <f>IF(B321="","",VLOOKUP(B321,Projects!$B:$C,2,FALSE()))</f>
        <v/>
      </c>
      <c r="D321" s="21" t="n"/>
      <c r="E321" s="20" t="n"/>
      <c r="F321" s="20" t="n"/>
      <c r="G321" s="20" t="n"/>
      <c r="H321" s="22" t="n"/>
      <c r="I321" s="22" t="n"/>
      <c r="J321" s="21" t="n"/>
      <c r="K321" s="20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20">
        <f>IF(AND(B322="",C322=""),"",ROW()-1)</f>
        <v/>
      </c>
      <c r="B322" s="20" t="n"/>
      <c r="C322" s="21">
        <f>IF(B322="","",VLOOKUP(B322,Projects!$B:$C,2,FALSE()))</f>
        <v/>
      </c>
      <c r="D322" s="21" t="n"/>
      <c r="E322" s="20" t="n"/>
      <c r="F322" s="20" t="n"/>
      <c r="G322" s="20" t="n"/>
      <c r="H322" s="22" t="n"/>
      <c r="I322" s="22" t="n"/>
      <c r="J322" s="21" t="n"/>
      <c r="K322" s="20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20">
        <f>IF(AND(B323="",C323=""),"",ROW()-1)</f>
        <v/>
      </c>
      <c r="B323" s="20" t="n"/>
      <c r="C323" s="21">
        <f>IF(B323="","",VLOOKUP(B323,Projects!$B:$C,2,FALSE()))</f>
        <v/>
      </c>
      <c r="D323" s="21" t="n"/>
      <c r="E323" s="20" t="n"/>
      <c r="F323" s="20" t="n"/>
      <c r="G323" s="20" t="n"/>
      <c r="H323" s="22" t="n"/>
      <c r="I323" s="22" t="n"/>
      <c r="J323" s="21" t="n"/>
      <c r="K323" s="20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20">
        <f>IF(AND(B324="",C324=""),"",ROW()-1)</f>
        <v/>
      </c>
      <c r="B324" s="20" t="n"/>
      <c r="C324" s="21">
        <f>IF(B324="","",VLOOKUP(B324,Projects!$B:$C,2,FALSE()))</f>
        <v/>
      </c>
      <c r="D324" s="21" t="n"/>
      <c r="E324" s="20" t="n"/>
      <c r="F324" s="20" t="n"/>
      <c r="G324" s="20" t="n"/>
      <c r="H324" s="22" t="n"/>
      <c r="I324" s="22" t="n"/>
      <c r="J324" s="21" t="n"/>
      <c r="K324" s="20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20">
        <f>IF(AND(B325="",C325=""),"",ROW()-1)</f>
        <v/>
      </c>
      <c r="B325" s="20" t="n"/>
      <c r="C325" s="21">
        <f>IF(B325="","",VLOOKUP(B325,Projects!$B:$C,2,FALSE()))</f>
        <v/>
      </c>
      <c r="D325" s="21" t="n"/>
      <c r="E325" s="20" t="n"/>
      <c r="F325" s="20" t="n"/>
      <c r="G325" s="20" t="n"/>
      <c r="H325" s="22" t="n"/>
      <c r="I325" s="22" t="n"/>
      <c r="J325" s="21" t="n"/>
      <c r="K325" s="20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20">
        <f>IF(AND(B326="",C326=""),"",ROW()-1)</f>
        <v/>
      </c>
      <c r="B326" s="20" t="n"/>
      <c r="C326" s="21">
        <f>IF(B326="","",VLOOKUP(B326,Projects!$B:$C,2,FALSE()))</f>
        <v/>
      </c>
      <c r="D326" s="21" t="n"/>
      <c r="E326" s="20" t="n"/>
      <c r="F326" s="20" t="n"/>
      <c r="G326" s="20" t="n"/>
      <c r="H326" s="22" t="n"/>
      <c r="I326" s="22" t="n"/>
      <c r="J326" s="21" t="n"/>
      <c r="K326" s="20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20">
        <f>IF(AND(B327="",C327=""),"",ROW()-1)</f>
        <v/>
      </c>
      <c r="B327" s="20" t="n"/>
      <c r="C327" s="21">
        <f>IF(B327="","",VLOOKUP(B327,Projects!$B:$C,2,FALSE()))</f>
        <v/>
      </c>
      <c r="D327" s="21" t="n"/>
      <c r="E327" s="20" t="n"/>
      <c r="F327" s="20" t="n"/>
      <c r="G327" s="20" t="n"/>
      <c r="H327" s="22" t="n"/>
      <c r="I327" s="22" t="n"/>
      <c r="J327" s="21" t="n"/>
      <c r="K327" s="20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20">
        <f>IF(AND(B328="",C328=""),"",ROW()-1)</f>
        <v/>
      </c>
      <c r="B328" s="20" t="n"/>
      <c r="C328" s="21">
        <f>IF(B328="","",VLOOKUP(B328,Projects!$B:$C,2,FALSE()))</f>
        <v/>
      </c>
      <c r="D328" s="21" t="n"/>
      <c r="E328" s="20" t="n"/>
      <c r="F328" s="20" t="n"/>
      <c r="G328" s="20" t="n"/>
      <c r="H328" s="22" t="n"/>
      <c r="I328" s="22" t="n"/>
      <c r="J328" s="21" t="n"/>
      <c r="K328" s="20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20">
        <f>IF(AND(B329="",C329=""),"",ROW()-1)</f>
        <v/>
      </c>
      <c r="B329" s="20" t="n"/>
      <c r="C329" s="21">
        <f>IF(B329="","",VLOOKUP(B329,Projects!$B:$C,2,FALSE()))</f>
        <v/>
      </c>
      <c r="D329" s="21" t="n"/>
      <c r="E329" s="20" t="n"/>
      <c r="F329" s="20" t="n"/>
      <c r="G329" s="20" t="n"/>
      <c r="H329" s="22" t="n"/>
      <c r="I329" s="22" t="n"/>
      <c r="J329" s="21" t="n"/>
      <c r="K329" s="20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20">
        <f>IF(AND(B330="",C330=""),"",ROW()-1)</f>
        <v/>
      </c>
      <c r="B330" s="20" t="n"/>
      <c r="C330" s="21">
        <f>IF(B330="","",VLOOKUP(B330,Projects!$B:$C,2,FALSE()))</f>
        <v/>
      </c>
      <c r="D330" s="21" t="n"/>
      <c r="E330" s="20" t="n"/>
      <c r="F330" s="20" t="n"/>
      <c r="G330" s="20" t="n"/>
      <c r="H330" s="22" t="n"/>
      <c r="I330" s="22" t="n"/>
      <c r="J330" s="21" t="n"/>
      <c r="K330" s="20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20">
        <f>IF(AND(B331="",C331=""),"",ROW()-1)</f>
        <v/>
      </c>
      <c r="B331" s="20" t="n"/>
      <c r="C331" s="21">
        <f>IF(B331="","",VLOOKUP(B331,Projects!$B:$C,2,FALSE()))</f>
        <v/>
      </c>
      <c r="D331" s="21" t="n"/>
      <c r="E331" s="20" t="n"/>
      <c r="F331" s="20" t="n"/>
      <c r="G331" s="20" t="n"/>
      <c r="H331" s="22" t="n"/>
      <c r="I331" s="22" t="n"/>
      <c r="J331" s="21" t="n"/>
      <c r="K331" s="20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20">
        <f>IF(AND(B332="",C332=""),"",ROW()-1)</f>
        <v/>
      </c>
      <c r="B332" s="20" t="n"/>
      <c r="C332" s="21">
        <f>IF(B332="","",VLOOKUP(B332,Projects!$B:$C,2,FALSE()))</f>
        <v/>
      </c>
      <c r="D332" s="21" t="n"/>
      <c r="E332" s="20" t="n"/>
      <c r="F332" s="20" t="n"/>
      <c r="G332" s="20" t="n"/>
      <c r="H332" s="22" t="n"/>
      <c r="I332" s="22" t="n"/>
      <c r="J332" s="21" t="n"/>
      <c r="K332" s="20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20">
        <f>IF(AND(B333="",C333=""),"",ROW()-1)</f>
        <v/>
      </c>
      <c r="B333" s="20" t="n"/>
      <c r="C333" s="21">
        <f>IF(B333="","",VLOOKUP(B333,Projects!$B:$C,2,FALSE()))</f>
        <v/>
      </c>
      <c r="D333" s="21" t="n"/>
      <c r="E333" s="20" t="n"/>
      <c r="F333" s="20" t="n"/>
      <c r="G333" s="20" t="n"/>
      <c r="H333" s="22" t="n"/>
      <c r="I333" s="22" t="n"/>
      <c r="J333" s="21" t="n"/>
      <c r="K333" s="20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20">
        <f>IF(AND(B334="",C334=""),"",ROW()-1)</f>
        <v/>
      </c>
      <c r="B334" s="20" t="n"/>
      <c r="C334" s="21">
        <f>IF(B334="","",VLOOKUP(B334,Projects!$B:$C,2,FALSE()))</f>
        <v/>
      </c>
      <c r="D334" s="21" t="n"/>
      <c r="E334" s="20" t="n"/>
      <c r="F334" s="20" t="n"/>
      <c r="G334" s="20" t="n"/>
      <c r="H334" s="22" t="n"/>
      <c r="I334" s="22" t="n"/>
      <c r="J334" s="21" t="n"/>
      <c r="K334" s="20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20">
        <f>IF(AND(B335="",C335=""),"",ROW()-1)</f>
        <v/>
      </c>
      <c r="B335" s="20" t="n"/>
      <c r="C335" s="21">
        <f>IF(B335="","",VLOOKUP(B335,Projects!$B:$C,2,FALSE()))</f>
        <v/>
      </c>
      <c r="D335" s="21" t="n"/>
      <c r="E335" s="20" t="n"/>
      <c r="F335" s="20" t="n"/>
      <c r="G335" s="20" t="n"/>
      <c r="H335" s="22" t="n"/>
      <c r="I335" s="22" t="n"/>
      <c r="J335" s="21" t="n"/>
      <c r="K335" s="20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20">
        <f>IF(AND(B336="",C336=""),"",ROW()-1)</f>
        <v/>
      </c>
      <c r="B336" s="20" t="n"/>
      <c r="C336" s="21">
        <f>IF(B336="","",VLOOKUP(B336,Projects!$B:$C,2,FALSE()))</f>
        <v/>
      </c>
      <c r="D336" s="21" t="n"/>
      <c r="E336" s="20" t="n"/>
      <c r="F336" s="20" t="n"/>
      <c r="G336" s="20" t="n"/>
      <c r="H336" s="22" t="n"/>
      <c r="I336" s="22" t="n"/>
      <c r="J336" s="21" t="n"/>
      <c r="K336" s="20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20">
        <f>IF(AND(B337="",C337=""),"",ROW()-1)</f>
        <v/>
      </c>
      <c r="B337" s="20" t="n"/>
      <c r="C337" s="21">
        <f>IF(B337="","",VLOOKUP(B337,Projects!$B:$C,2,FALSE()))</f>
        <v/>
      </c>
      <c r="D337" s="21" t="n"/>
      <c r="E337" s="20" t="n"/>
      <c r="F337" s="20" t="n"/>
      <c r="G337" s="20" t="n"/>
      <c r="H337" s="22" t="n"/>
      <c r="I337" s="22" t="n"/>
      <c r="J337" s="21" t="n"/>
      <c r="K337" s="20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20">
        <f>IF(AND(B338="",C338=""),"",ROW()-1)</f>
        <v/>
      </c>
      <c r="B338" s="20" t="n"/>
      <c r="C338" s="21">
        <f>IF(B338="","",VLOOKUP(B338,Projects!$B:$C,2,FALSE()))</f>
        <v/>
      </c>
      <c r="D338" s="21" t="n"/>
      <c r="E338" s="20" t="n"/>
      <c r="F338" s="20" t="n"/>
      <c r="G338" s="20" t="n"/>
      <c r="H338" s="22" t="n"/>
      <c r="I338" s="22" t="n"/>
      <c r="J338" s="21" t="n"/>
      <c r="K338" s="20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20">
        <f>IF(AND(B339="",C339=""),"",ROW()-1)</f>
        <v/>
      </c>
      <c r="B339" s="20" t="n"/>
      <c r="C339" s="21">
        <f>IF(B339="","",VLOOKUP(B339,Projects!$B:$C,2,FALSE()))</f>
        <v/>
      </c>
      <c r="D339" s="21" t="n"/>
      <c r="E339" s="20" t="n"/>
      <c r="F339" s="20" t="n"/>
      <c r="G339" s="20" t="n"/>
      <c r="H339" s="22" t="n"/>
      <c r="I339" s="22" t="n"/>
      <c r="J339" s="21" t="n"/>
      <c r="K339" s="20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20">
        <f>IF(AND(B340="",C340=""),"",ROW()-1)</f>
        <v/>
      </c>
      <c r="B340" s="20" t="n"/>
      <c r="C340" s="21">
        <f>IF(B340="","",VLOOKUP(B340,Projects!$B:$C,2,FALSE()))</f>
        <v/>
      </c>
      <c r="D340" s="21" t="n"/>
      <c r="E340" s="20" t="n"/>
      <c r="F340" s="20" t="n"/>
      <c r="G340" s="20" t="n"/>
      <c r="H340" s="22" t="n"/>
      <c r="I340" s="22" t="n"/>
      <c r="J340" s="21" t="n"/>
      <c r="K340" s="20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20">
        <f>IF(AND(B341="",C341=""),"",ROW()-1)</f>
        <v/>
      </c>
      <c r="B341" s="20" t="n"/>
      <c r="C341" s="21">
        <f>IF(B341="","",VLOOKUP(B341,Projects!$B:$C,2,FALSE()))</f>
        <v/>
      </c>
      <c r="D341" s="21" t="n"/>
      <c r="E341" s="20" t="n"/>
      <c r="F341" s="20" t="n"/>
      <c r="G341" s="20" t="n"/>
      <c r="H341" s="22" t="n"/>
      <c r="I341" s="22" t="n"/>
      <c r="J341" s="21" t="n"/>
      <c r="K341" s="20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20">
        <f>IF(AND(B342="",C342=""),"",ROW()-1)</f>
        <v/>
      </c>
      <c r="B342" s="20" t="n"/>
      <c r="C342" s="21">
        <f>IF(B342="","",VLOOKUP(B342,Projects!$B:$C,2,FALSE()))</f>
        <v/>
      </c>
      <c r="D342" s="21" t="n"/>
      <c r="E342" s="20" t="n"/>
      <c r="F342" s="20" t="n"/>
      <c r="G342" s="20" t="n"/>
      <c r="H342" s="22" t="n"/>
      <c r="I342" s="22" t="n"/>
      <c r="J342" s="21" t="n"/>
      <c r="K342" s="20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20">
        <f>IF(AND(B343="",C343=""),"",ROW()-1)</f>
        <v/>
      </c>
      <c r="B343" s="20" t="n"/>
      <c r="C343" s="21">
        <f>IF(B343="","",VLOOKUP(B343,Projects!$B:$C,2,FALSE()))</f>
        <v/>
      </c>
      <c r="D343" s="21" t="n"/>
      <c r="E343" s="20" t="n"/>
      <c r="F343" s="20" t="n"/>
      <c r="G343" s="20" t="n"/>
      <c r="H343" s="22" t="n"/>
      <c r="I343" s="22" t="n"/>
      <c r="J343" s="21" t="n"/>
      <c r="K343" s="20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20">
        <f>IF(AND(B344="",C344=""),"",ROW()-1)</f>
        <v/>
      </c>
      <c r="B344" s="20" t="n"/>
      <c r="C344" s="21">
        <f>IF(B344="","",VLOOKUP(B344,Projects!$B:$C,2,FALSE()))</f>
        <v/>
      </c>
      <c r="D344" s="21" t="n"/>
      <c r="E344" s="20" t="n"/>
      <c r="F344" s="20" t="n"/>
      <c r="G344" s="20" t="n"/>
      <c r="H344" s="22" t="n"/>
      <c r="I344" s="22" t="n"/>
      <c r="J344" s="21" t="n"/>
      <c r="K344" s="20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20">
        <f>IF(AND(B345="",C345=""),"",ROW()-1)</f>
        <v/>
      </c>
      <c r="B345" s="20" t="n"/>
      <c r="C345" s="21">
        <f>IF(B345="","",VLOOKUP(B345,Projects!$B:$C,2,FALSE()))</f>
        <v/>
      </c>
      <c r="D345" s="21" t="n"/>
      <c r="E345" s="20" t="n"/>
      <c r="F345" s="20" t="n"/>
      <c r="G345" s="20" t="n"/>
      <c r="H345" s="22" t="n"/>
      <c r="I345" s="22" t="n"/>
      <c r="J345" s="21" t="n"/>
      <c r="K345" s="20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20">
        <f>IF(AND(B346="",C346=""),"",ROW()-1)</f>
        <v/>
      </c>
      <c r="B346" s="20" t="n"/>
      <c r="C346" s="21">
        <f>IF(B346="","",VLOOKUP(B346,Projects!$B:$C,2,FALSE()))</f>
        <v/>
      </c>
      <c r="D346" s="21" t="n"/>
      <c r="E346" s="20" t="n"/>
      <c r="F346" s="20" t="n"/>
      <c r="G346" s="20" t="n"/>
      <c r="H346" s="22" t="n"/>
      <c r="I346" s="22" t="n"/>
      <c r="J346" s="21" t="n"/>
      <c r="K346" s="20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20">
        <f>IF(AND(B347="",C347=""),"",ROW()-1)</f>
        <v/>
      </c>
      <c r="B347" s="20" t="n"/>
      <c r="C347" s="21">
        <f>IF(B347="","",VLOOKUP(B347,Projects!$B:$C,2,FALSE()))</f>
        <v/>
      </c>
      <c r="D347" s="21" t="n"/>
      <c r="E347" s="20" t="n"/>
      <c r="F347" s="20" t="n"/>
      <c r="G347" s="20" t="n"/>
      <c r="H347" s="22" t="n"/>
      <c r="I347" s="22" t="n"/>
      <c r="J347" s="21" t="n"/>
      <c r="K347" s="20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20">
        <f>IF(AND(B348="",C348=""),"",ROW()-1)</f>
        <v/>
      </c>
      <c r="B348" s="20" t="n"/>
      <c r="C348" s="21">
        <f>IF(B348="","",VLOOKUP(B348,Projects!$B:$C,2,FALSE()))</f>
        <v/>
      </c>
      <c r="D348" s="21" t="n"/>
      <c r="E348" s="20" t="n"/>
      <c r="F348" s="20" t="n"/>
      <c r="G348" s="20" t="n"/>
      <c r="H348" s="22" t="n"/>
      <c r="I348" s="22" t="n"/>
      <c r="J348" s="21" t="n"/>
      <c r="K348" s="20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20">
        <f>IF(AND(B349="",C349=""),"",ROW()-1)</f>
        <v/>
      </c>
      <c r="B349" s="20" t="n"/>
      <c r="C349" s="21">
        <f>IF(B349="","",VLOOKUP(B349,Projects!$B:$C,2,FALSE()))</f>
        <v/>
      </c>
      <c r="D349" s="21" t="n"/>
      <c r="E349" s="20" t="n"/>
      <c r="F349" s="20" t="n"/>
      <c r="G349" s="20" t="n"/>
      <c r="H349" s="22" t="n"/>
      <c r="I349" s="22" t="n"/>
      <c r="J349" s="21" t="n"/>
      <c r="K349" s="20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20">
        <f>IF(AND(B350="",C350=""),"",ROW()-1)</f>
        <v/>
      </c>
      <c r="B350" s="20" t="n"/>
      <c r="C350" s="21">
        <f>IF(B350="","",VLOOKUP(B350,Projects!$B:$C,2,FALSE()))</f>
        <v/>
      </c>
      <c r="D350" s="21" t="n"/>
      <c r="E350" s="20" t="n"/>
      <c r="F350" s="20" t="n"/>
      <c r="G350" s="20" t="n"/>
      <c r="H350" s="22" t="n"/>
      <c r="I350" s="22" t="n"/>
      <c r="J350" s="21" t="n"/>
      <c r="K350" s="20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20">
        <f>IF(AND(B351="",C351=""),"",ROW()-1)</f>
        <v/>
      </c>
      <c r="B351" s="20" t="n"/>
      <c r="C351" s="21">
        <f>IF(B351="","",VLOOKUP(B351,Projects!$B:$C,2,FALSE()))</f>
        <v/>
      </c>
      <c r="D351" s="21" t="n"/>
      <c r="E351" s="20" t="n"/>
      <c r="F351" s="20" t="n"/>
      <c r="G351" s="20" t="n"/>
      <c r="H351" s="22" t="n"/>
      <c r="I351" s="22" t="n"/>
      <c r="J351" s="21" t="n"/>
      <c r="K351" s="20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20">
        <f>IF(AND(B352="",C352=""),"",ROW()-1)</f>
        <v/>
      </c>
      <c r="B352" s="20" t="n"/>
      <c r="C352" s="21">
        <f>IF(B352="","",VLOOKUP(B352,Projects!$B:$C,2,FALSE()))</f>
        <v/>
      </c>
      <c r="D352" s="21" t="n"/>
      <c r="E352" s="20" t="n"/>
      <c r="F352" s="20" t="n"/>
      <c r="G352" s="20" t="n"/>
      <c r="H352" s="22" t="n"/>
      <c r="I352" s="22" t="n"/>
      <c r="J352" s="21" t="n"/>
      <c r="K352" s="20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20">
        <f>IF(AND(B353="",C353=""),"",ROW()-1)</f>
        <v/>
      </c>
      <c r="B353" s="20" t="n"/>
      <c r="C353" s="21">
        <f>IF(B353="","",VLOOKUP(B353,Projects!$B:$C,2,FALSE()))</f>
        <v/>
      </c>
      <c r="D353" s="21" t="n"/>
      <c r="E353" s="20" t="n"/>
      <c r="F353" s="20" t="n"/>
      <c r="G353" s="20" t="n"/>
      <c r="H353" s="22" t="n"/>
      <c r="I353" s="22" t="n"/>
      <c r="J353" s="21" t="n"/>
      <c r="K353" s="20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20">
        <f>IF(AND(B354="",C354=""),"",ROW()-1)</f>
        <v/>
      </c>
      <c r="B354" s="20" t="n"/>
      <c r="C354" s="21">
        <f>IF(B354="","",VLOOKUP(B354,Projects!$B:$C,2,FALSE()))</f>
        <v/>
      </c>
      <c r="D354" s="21" t="n"/>
      <c r="E354" s="20" t="n"/>
      <c r="F354" s="20" t="n"/>
      <c r="G354" s="20" t="n"/>
      <c r="H354" s="22" t="n"/>
      <c r="I354" s="22" t="n"/>
      <c r="J354" s="21" t="n"/>
      <c r="K354" s="20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20">
        <f>IF(AND(B355="",C355=""),"",ROW()-1)</f>
        <v/>
      </c>
      <c r="B355" s="20" t="n"/>
      <c r="C355" s="21">
        <f>IF(B355="","",VLOOKUP(B355,Projects!$B:$C,2,FALSE()))</f>
        <v/>
      </c>
      <c r="D355" s="21" t="n"/>
      <c r="E355" s="20" t="n"/>
      <c r="F355" s="20" t="n"/>
      <c r="G355" s="20" t="n"/>
      <c r="H355" s="22" t="n"/>
      <c r="I355" s="22" t="n"/>
      <c r="J355" s="21" t="n"/>
      <c r="K355" s="20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20">
        <f>IF(AND(B356="",C356=""),"",ROW()-1)</f>
        <v/>
      </c>
      <c r="B356" s="20" t="n"/>
      <c r="C356" s="21">
        <f>IF(B356="","",VLOOKUP(B356,Projects!$B:$C,2,FALSE()))</f>
        <v/>
      </c>
      <c r="D356" s="21" t="n"/>
      <c r="E356" s="20" t="n"/>
      <c r="F356" s="20" t="n"/>
      <c r="G356" s="20" t="n"/>
      <c r="H356" s="22" t="n"/>
      <c r="I356" s="22" t="n"/>
      <c r="J356" s="21" t="n"/>
      <c r="K356" s="20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20">
        <f>IF(AND(B357="",C357=""),"",ROW()-1)</f>
        <v/>
      </c>
      <c r="B357" s="20" t="n"/>
      <c r="C357" s="21">
        <f>IF(B357="","",VLOOKUP(B357,Projects!$B:$C,2,FALSE()))</f>
        <v/>
      </c>
      <c r="D357" s="21" t="n"/>
      <c r="E357" s="20" t="n"/>
      <c r="F357" s="20" t="n"/>
      <c r="G357" s="20" t="n"/>
      <c r="H357" s="22" t="n"/>
      <c r="I357" s="22" t="n"/>
      <c r="J357" s="21" t="n"/>
      <c r="K357" s="20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20">
        <f>IF(AND(B358="",C358=""),"",ROW()-1)</f>
        <v/>
      </c>
      <c r="B358" s="20" t="n"/>
      <c r="C358" s="21">
        <f>IF(B358="","",VLOOKUP(B358,Projects!$B:$C,2,FALSE()))</f>
        <v/>
      </c>
      <c r="D358" s="21" t="n"/>
      <c r="E358" s="20" t="n"/>
      <c r="F358" s="20" t="n"/>
      <c r="G358" s="20" t="n"/>
      <c r="H358" s="22" t="n"/>
      <c r="I358" s="22" t="n"/>
      <c r="J358" s="21" t="n"/>
      <c r="K358" s="20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20">
        <f>IF(AND(B359="",C359=""),"",ROW()-1)</f>
        <v/>
      </c>
      <c r="B359" s="20" t="n"/>
      <c r="C359" s="21">
        <f>IF(B359="","",VLOOKUP(B359,Projects!$B:$C,2,FALSE()))</f>
        <v/>
      </c>
      <c r="D359" s="21" t="n"/>
      <c r="E359" s="20" t="n"/>
      <c r="F359" s="20" t="n"/>
      <c r="G359" s="20" t="n"/>
      <c r="H359" s="22" t="n"/>
      <c r="I359" s="22" t="n"/>
      <c r="J359" s="21" t="n"/>
      <c r="K359" s="20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20">
        <f>IF(AND(B360="",C360=""),"",ROW()-1)</f>
        <v/>
      </c>
      <c r="B360" s="20" t="n"/>
      <c r="C360" s="21">
        <f>IF(B360="","",VLOOKUP(B360,Projects!$B:$C,2,FALSE()))</f>
        <v/>
      </c>
      <c r="D360" s="21" t="n"/>
      <c r="E360" s="20" t="n"/>
      <c r="F360" s="20" t="n"/>
      <c r="G360" s="20" t="n"/>
      <c r="H360" s="22" t="n"/>
      <c r="I360" s="22" t="n"/>
      <c r="J360" s="21" t="n"/>
      <c r="K360" s="20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20">
        <f>IF(AND(B361="",C361=""),"",ROW()-1)</f>
        <v/>
      </c>
      <c r="B361" s="20" t="n"/>
      <c r="C361" s="21">
        <f>IF(B361="","",VLOOKUP(B361,Projects!$B:$C,2,FALSE()))</f>
        <v/>
      </c>
      <c r="D361" s="21" t="n"/>
      <c r="E361" s="20" t="n"/>
      <c r="F361" s="20" t="n"/>
      <c r="G361" s="20" t="n"/>
      <c r="H361" s="22" t="n"/>
      <c r="I361" s="22" t="n"/>
      <c r="J361" s="21" t="n"/>
      <c r="K361" s="20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20">
        <f>IF(AND(B362="",C362=""),"",ROW()-1)</f>
        <v/>
      </c>
      <c r="B362" s="20" t="n"/>
      <c r="C362" s="21">
        <f>IF(B362="","",VLOOKUP(B362,Projects!$B:$C,2,FALSE()))</f>
        <v/>
      </c>
      <c r="D362" s="21" t="n"/>
      <c r="E362" s="20" t="n"/>
      <c r="F362" s="20" t="n"/>
      <c r="G362" s="20" t="n"/>
      <c r="H362" s="22" t="n"/>
      <c r="I362" s="22" t="n"/>
      <c r="J362" s="21" t="n"/>
      <c r="K362" s="20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20">
        <f>IF(AND(B363="",C363=""),"",ROW()-1)</f>
        <v/>
      </c>
      <c r="B363" s="20" t="n"/>
      <c r="C363" s="21">
        <f>IF(B363="","",VLOOKUP(B363,Projects!$B:$C,2,FALSE()))</f>
        <v/>
      </c>
      <c r="D363" s="21" t="n"/>
      <c r="E363" s="20" t="n"/>
      <c r="F363" s="20" t="n"/>
      <c r="G363" s="20" t="n"/>
      <c r="H363" s="22" t="n"/>
      <c r="I363" s="22" t="n"/>
      <c r="J363" s="21" t="n"/>
      <c r="K363" s="20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20">
        <f>IF(AND(B364="",C364=""),"",ROW()-1)</f>
        <v/>
      </c>
      <c r="B364" s="20" t="n"/>
      <c r="C364" s="21">
        <f>IF(B364="","",VLOOKUP(B364,Projects!$B:$C,2,FALSE()))</f>
        <v/>
      </c>
      <c r="D364" s="21" t="n"/>
      <c r="E364" s="20" t="n"/>
      <c r="F364" s="20" t="n"/>
      <c r="G364" s="20" t="n"/>
      <c r="H364" s="22" t="n"/>
      <c r="I364" s="22" t="n"/>
      <c r="J364" s="21" t="n"/>
      <c r="K364" s="20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20">
        <f>IF(AND(B365="",C365=""),"",ROW()-1)</f>
        <v/>
      </c>
      <c r="B365" s="20" t="n"/>
      <c r="C365" s="21">
        <f>IF(B365="","",VLOOKUP(B365,Projects!$B:$C,2,FALSE()))</f>
        <v/>
      </c>
      <c r="D365" s="21" t="n"/>
      <c r="E365" s="20" t="n"/>
      <c r="F365" s="20" t="n"/>
      <c r="G365" s="20" t="n"/>
      <c r="H365" s="22" t="n"/>
      <c r="I365" s="22" t="n"/>
      <c r="J365" s="21" t="n"/>
      <c r="K365" s="20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20">
        <f>IF(AND(B366="",C366=""),"",ROW()-1)</f>
        <v/>
      </c>
      <c r="B366" s="20" t="n"/>
      <c r="C366" s="21">
        <f>IF(B366="","",VLOOKUP(B366,Projects!$B:$C,2,FALSE()))</f>
        <v/>
      </c>
      <c r="D366" s="21" t="n"/>
      <c r="E366" s="20" t="n"/>
      <c r="F366" s="20" t="n"/>
      <c r="G366" s="20" t="n"/>
      <c r="H366" s="22" t="n"/>
      <c r="I366" s="22" t="n"/>
      <c r="J366" s="21" t="n"/>
      <c r="K366" s="20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20">
        <f>IF(AND(B367="",C367=""),"",ROW()-1)</f>
        <v/>
      </c>
      <c r="B367" s="20" t="n"/>
      <c r="C367" s="21">
        <f>IF(B367="","",VLOOKUP(B367,Projects!$B:$C,2,FALSE()))</f>
        <v/>
      </c>
      <c r="D367" s="21" t="n"/>
      <c r="E367" s="20" t="n"/>
      <c r="F367" s="20" t="n"/>
      <c r="G367" s="20" t="n"/>
      <c r="H367" s="22" t="n"/>
      <c r="I367" s="22" t="n"/>
      <c r="J367" s="21" t="n"/>
      <c r="K367" s="20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20">
        <f>IF(AND(B368="",C368=""),"",ROW()-1)</f>
        <v/>
      </c>
      <c r="B368" s="20" t="n"/>
      <c r="C368" s="21">
        <f>IF(B368="","",VLOOKUP(B368,Projects!$B:$C,2,FALSE()))</f>
        <v/>
      </c>
      <c r="D368" s="21" t="n"/>
      <c r="E368" s="20" t="n"/>
      <c r="F368" s="20" t="n"/>
      <c r="G368" s="20" t="n"/>
      <c r="H368" s="22" t="n"/>
      <c r="I368" s="22" t="n"/>
      <c r="J368" s="21" t="n"/>
      <c r="K368" s="20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20">
        <f>IF(AND(B369="",C369=""),"",ROW()-1)</f>
        <v/>
      </c>
      <c r="B369" s="20" t="n"/>
      <c r="C369" s="21">
        <f>IF(B369="","",VLOOKUP(B369,Projects!$B:$C,2,FALSE()))</f>
        <v/>
      </c>
      <c r="D369" s="21" t="n"/>
      <c r="E369" s="20" t="n"/>
      <c r="F369" s="20" t="n"/>
      <c r="G369" s="20" t="n"/>
      <c r="H369" s="22" t="n"/>
      <c r="I369" s="22" t="n"/>
      <c r="J369" s="21" t="n"/>
      <c r="K369" s="20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20">
        <f>IF(AND(B370="",C370=""),"",ROW()-1)</f>
        <v/>
      </c>
      <c r="B370" s="20" t="n"/>
      <c r="C370" s="21">
        <f>IF(B370="","",VLOOKUP(B370,Projects!$B:$C,2,FALSE()))</f>
        <v/>
      </c>
      <c r="D370" s="21" t="n"/>
      <c r="E370" s="20" t="n"/>
      <c r="F370" s="20" t="n"/>
      <c r="G370" s="20" t="n"/>
      <c r="H370" s="22" t="n"/>
      <c r="I370" s="22" t="n"/>
      <c r="J370" s="21" t="n"/>
      <c r="K370" s="20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20">
        <f>IF(AND(B371="",C371=""),"",ROW()-1)</f>
        <v/>
      </c>
      <c r="B371" s="20" t="n"/>
      <c r="C371" s="21">
        <f>IF(B371="","",VLOOKUP(B371,Projects!$B:$C,2,FALSE()))</f>
        <v/>
      </c>
      <c r="D371" s="21" t="n"/>
      <c r="E371" s="20" t="n"/>
      <c r="F371" s="20" t="n"/>
      <c r="G371" s="20" t="n"/>
      <c r="H371" s="22" t="n"/>
      <c r="I371" s="22" t="n"/>
      <c r="J371" s="21" t="n"/>
      <c r="K371" s="20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20">
        <f>IF(AND(B372="",C372=""),"",ROW()-1)</f>
        <v/>
      </c>
      <c r="B372" s="20" t="n"/>
      <c r="C372" s="21">
        <f>IF(B372="","",VLOOKUP(B372,Projects!$B:$C,2,FALSE()))</f>
        <v/>
      </c>
      <c r="D372" s="21" t="n"/>
      <c r="E372" s="20" t="n"/>
      <c r="F372" s="20" t="n"/>
      <c r="G372" s="20" t="n"/>
      <c r="H372" s="22" t="n"/>
      <c r="I372" s="22" t="n"/>
      <c r="J372" s="21" t="n"/>
      <c r="K372" s="20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20">
        <f>IF(AND(B373="",C373=""),"",ROW()-1)</f>
        <v/>
      </c>
      <c r="B373" s="20" t="n"/>
      <c r="C373" s="21">
        <f>IF(B373="","",VLOOKUP(B373,Projects!$B:$C,2,FALSE()))</f>
        <v/>
      </c>
      <c r="D373" s="21" t="n"/>
      <c r="E373" s="20" t="n"/>
      <c r="F373" s="20" t="n"/>
      <c r="G373" s="20" t="n"/>
      <c r="H373" s="22" t="n"/>
      <c r="I373" s="22" t="n"/>
      <c r="J373" s="21" t="n"/>
      <c r="K373" s="20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20">
        <f>IF(AND(B374="",C374=""),"",ROW()-1)</f>
        <v/>
      </c>
      <c r="B374" s="20" t="n"/>
      <c r="C374" s="21">
        <f>IF(B374="","",VLOOKUP(B374,Projects!$B:$C,2,FALSE()))</f>
        <v/>
      </c>
      <c r="D374" s="21" t="n"/>
      <c r="E374" s="20" t="n"/>
      <c r="F374" s="20" t="n"/>
      <c r="G374" s="20" t="n"/>
      <c r="H374" s="22" t="n"/>
      <c r="I374" s="22" t="n"/>
      <c r="J374" s="21" t="n"/>
      <c r="K374" s="20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20">
        <f>IF(AND(B375="",C375=""),"",ROW()-1)</f>
        <v/>
      </c>
      <c r="B375" s="20" t="n"/>
      <c r="C375" s="21">
        <f>IF(B375="","",VLOOKUP(B375,Projects!$B:$C,2,FALSE()))</f>
        <v/>
      </c>
      <c r="D375" s="21" t="n"/>
      <c r="E375" s="20" t="n"/>
      <c r="F375" s="20" t="n"/>
      <c r="G375" s="20" t="n"/>
      <c r="H375" s="22" t="n"/>
      <c r="I375" s="22" t="n"/>
      <c r="J375" s="21" t="n"/>
      <c r="K375" s="20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20">
        <f>IF(AND(B376="",C376=""),"",ROW()-1)</f>
        <v/>
      </c>
      <c r="B376" s="20" t="n"/>
      <c r="C376" s="21">
        <f>IF(B376="","",VLOOKUP(B376,Projects!$B:$C,2,FALSE()))</f>
        <v/>
      </c>
      <c r="D376" s="21" t="n"/>
      <c r="E376" s="20" t="n"/>
      <c r="F376" s="20" t="n"/>
      <c r="G376" s="20" t="n"/>
      <c r="H376" s="22" t="n"/>
      <c r="I376" s="22" t="n"/>
      <c r="J376" s="21" t="n"/>
      <c r="K376" s="20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20">
        <f>IF(AND(B377="",C377=""),"",ROW()-1)</f>
        <v/>
      </c>
      <c r="B377" s="20" t="n"/>
      <c r="C377" s="21">
        <f>IF(B377="","",VLOOKUP(B377,Projects!$B:$C,2,FALSE()))</f>
        <v/>
      </c>
      <c r="D377" s="21" t="n"/>
      <c r="E377" s="20" t="n"/>
      <c r="F377" s="20" t="n"/>
      <c r="G377" s="20" t="n"/>
      <c r="H377" s="22" t="n"/>
      <c r="I377" s="22" t="n"/>
      <c r="J377" s="21" t="n"/>
      <c r="K377" s="20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20">
        <f>IF(AND(B378="",C378=""),"",ROW()-1)</f>
        <v/>
      </c>
      <c r="B378" s="20" t="n"/>
      <c r="C378" s="21">
        <f>IF(B378="","",VLOOKUP(B378,Projects!$B:$C,2,FALSE()))</f>
        <v/>
      </c>
      <c r="D378" s="21" t="n"/>
      <c r="E378" s="20" t="n"/>
      <c r="F378" s="20" t="n"/>
      <c r="G378" s="20" t="n"/>
      <c r="H378" s="22" t="n"/>
      <c r="I378" s="22" t="n"/>
      <c r="J378" s="21" t="n"/>
      <c r="K378" s="20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20">
        <f>IF(AND(B379="",C379=""),"",ROW()-1)</f>
        <v/>
      </c>
      <c r="B379" s="20" t="n"/>
      <c r="C379" s="21">
        <f>IF(B379="","",VLOOKUP(B379,Projects!$B:$C,2,FALSE()))</f>
        <v/>
      </c>
      <c r="D379" s="21" t="n"/>
      <c r="E379" s="20" t="n"/>
      <c r="F379" s="20" t="n"/>
      <c r="G379" s="20" t="n"/>
      <c r="H379" s="22" t="n"/>
      <c r="I379" s="22" t="n"/>
      <c r="J379" s="21" t="n"/>
      <c r="K379" s="20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20">
        <f>IF(AND(B380="",C380=""),"",ROW()-1)</f>
        <v/>
      </c>
      <c r="B380" s="20" t="n"/>
      <c r="C380" s="21">
        <f>IF(B380="","",VLOOKUP(B380,Projects!$B:$C,2,FALSE()))</f>
        <v/>
      </c>
      <c r="D380" s="21" t="n"/>
      <c r="E380" s="20" t="n"/>
      <c r="F380" s="20" t="n"/>
      <c r="G380" s="20" t="n"/>
      <c r="H380" s="22" t="n"/>
      <c r="I380" s="22" t="n"/>
      <c r="J380" s="21" t="n"/>
      <c r="K380" s="20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20">
        <f>IF(AND(B381="",C381=""),"",ROW()-1)</f>
        <v/>
      </c>
      <c r="B381" s="20" t="n"/>
      <c r="C381" s="21">
        <f>IF(B381="","",VLOOKUP(B381,Projects!$B:$C,2,FALSE()))</f>
        <v/>
      </c>
      <c r="D381" s="21" t="n"/>
      <c r="E381" s="20" t="n"/>
      <c r="F381" s="20" t="n"/>
      <c r="G381" s="20" t="n"/>
      <c r="H381" s="22" t="n"/>
      <c r="I381" s="22" t="n"/>
      <c r="J381" s="21" t="n"/>
      <c r="K381" s="20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20">
        <f>IF(AND(B382="",C382=""),"",ROW()-1)</f>
        <v/>
      </c>
      <c r="B382" s="20" t="n"/>
      <c r="C382" s="21">
        <f>IF(B382="","",VLOOKUP(B382,Projects!$B:$C,2,FALSE()))</f>
        <v/>
      </c>
      <c r="D382" s="21" t="n"/>
      <c r="E382" s="20" t="n"/>
      <c r="F382" s="20" t="n"/>
      <c r="G382" s="20" t="n"/>
      <c r="H382" s="22" t="n"/>
      <c r="I382" s="22" t="n"/>
      <c r="J382" s="21" t="n"/>
      <c r="K382" s="20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20">
        <f>IF(AND(B383="",C383=""),"",ROW()-1)</f>
        <v/>
      </c>
      <c r="B383" s="20" t="n"/>
      <c r="C383" s="21">
        <f>IF(B383="","",VLOOKUP(B383,Projects!$B:$C,2,FALSE()))</f>
        <v/>
      </c>
      <c r="D383" s="21" t="n"/>
      <c r="E383" s="20" t="n"/>
      <c r="F383" s="20" t="n"/>
      <c r="G383" s="20" t="n"/>
      <c r="H383" s="22" t="n"/>
      <c r="I383" s="22" t="n"/>
      <c r="J383" s="21" t="n"/>
      <c r="K383" s="20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20">
        <f>IF(AND(B384="",C384=""),"",ROW()-1)</f>
        <v/>
      </c>
      <c r="B384" s="20" t="n"/>
      <c r="C384" s="21">
        <f>IF(B384="","",VLOOKUP(B384,Projects!$B:$C,2,FALSE()))</f>
        <v/>
      </c>
      <c r="D384" s="21" t="n"/>
      <c r="E384" s="20" t="n"/>
      <c r="F384" s="20" t="n"/>
      <c r="G384" s="20" t="n"/>
      <c r="H384" s="22" t="n"/>
      <c r="I384" s="22" t="n"/>
      <c r="J384" s="21" t="n"/>
      <c r="K384" s="20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20">
        <f>IF(AND(B385="",C385=""),"",ROW()-1)</f>
        <v/>
      </c>
      <c r="B385" s="20" t="n"/>
      <c r="C385" s="21">
        <f>IF(B385="","",VLOOKUP(B385,Projects!$B:$C,2,FALSE()))</f>
        <v/>
      </c>
      <c r="D385" s="21" t="n"/>
      <c r="E385" s="20" t="n"/>
      <c r="F385" s="20" t="n"/>
      <c r="G385" s="20" t="n"/>
      <c r="H385" s="22" t="n"/>
      <c r="I385" s="22" t="n"/>
      <c r="J385" s="21" t="n"/>
      <c r="K385" s="20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20">
        <f>IF(AND(B386="",C386=""),"",ROW()-1)</f>
        <v/>
      </c>
      <c r="B386" s="20" t="n"/>
      <c r="C386" s="21">
        <f>IF(B386="","",VLOOKUP(B386,Projects!$B:$C,2,FALSE()))</f>
        <v/>
      </c>
      <c r="D386" s="21" t="n"/>
      <c r="E386" s="20" t="n"/>
      <c r="F386" s="20" t="n"/>
      <c r="G386" s="20" t="n"/>
      <c r="H386" s="22" t="n"/>
      <c r="I386" s="22" t="n"/>
      <c r="J386" s="21" t="n"/>
      <c r="K386" s="20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20">
        <f>IF(AND(B387="",C387=""),"",ROW()-1)</f>
        <v/>
      </c>
      <c r="B387" s="20" t="n"/>
      <c r="C387" s="21">
        <f>IF(B387="","",VLOOKUP(B387,Projects!$B:$C,2,FALSE()))</f>
        <v/>
      </c>
      <c r="D387" s="21" t="n"/>
      <c r="E387" s="20" t="n"/>
      <c r="F387" s="20" t="n"/>
      <c r="G387" s="20" t="n"/>
      <c r="H387" s="22" t="n"/>
      <c r="I387" s="22" t="n"/>
      <c r="J387" s="21" t="n"/>
      <c r="K387" s="20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20">
        <f>IF(AND(B388="",C388=""),"",ROW()-1)</f>
        <v/>
      </c>
      <c r="B388" s="20" t="n"/>
      <c r="C388" s="21">
        <f>IF(B388="","",VLOOKUP(B388,Projects!$B:$C,2,FALSE()))</f>
        <v/>
      </c>
      <c r="D388" s="21" t="n"/>
      <c r="E388" s="20" t="n"/>
      <c r="F388" s="20" t="n"/>
      <c r="G388" s="20" t="n"/>
      <c r="H388" s="22" t="n"/>
      <c r="I388" s="22" t="n"/>
      <c r="J388" s="21" t="n"/>
      <c r="K388" s="20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20">
        <f>IF(AND(B389="",C389=""),"",ROW()-1)</f>
        <v/>
      </c>
      <c r="B389" s="20" t="n"/>
      <c r="C389" s="21">
        <f>IF(B389="","",VLOOKUP(B389,Projects!$B:$C,2,FALSE()))</f>
        <v/>
      </c>
      <c r="D389" s="21" t="n"/>
      <c r="E389" s="20" t="n"/>
      <c r="F389" s="20" t="n"/>
      <c r="G389" s="20" t="n"/>
      <c r="H389" s="22" t="n"/>
      <c r="I389" s="22" t="n"/>
      <c r="J389" s="21" t="n"/>
      <c r="K389" s="20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20">
        <f>IF(AND(B390="",C390=""),"",ROW()-1)</f>
        <v/>
      </c>
      <c r="B390" s="20" t="n"/>
      <c r="C390" s="21">
        <f>IF(B390="","",VLOOKUP(B390,Projects!$B:$C,2,FALSE()))</f>
        <v/>
      </c>
      <c r="D390" s="21" t="n"/>
      <c r="E390" s="20" t="n"/>
      <c r="F390" s="20" t="n"/>
      <c r="G390" s="20" t="n"/>
      <c r="H390" s="22" t="n"/>
      <c r="I390" s="22" t="n"/>
      <c r="J390" s="21" t="n"/>
      <c r="K390" s="20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20">
        <f>IF(AND(B391="",C391=""),"",ROW()-1)</f>
        <v/>
      </c>
      <c r="B391" s="20" t="n"/>
      <c r="C391" s="21">
        <f>IF(B391="","",VLOOKUP(B391,Projects!$B:$C,2,FALSE()))</f>
        <v/>
      </c>
      <c r="D391" s="21" t="n"/>
      <c r="E391" s="20" t="n"/>
      <c r="F391" s="20" t="n"/>
      <c r="G391" s="20" t="n"/>
      <c r="H391" s="22" t="n"/>
      <c r="I391" s="22" t="n"/>
      <c r="J391" s="21" t="n"/>
      <c r="K391" s="20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20">
        <f>IF(AND(B392="",C392=""),"",ROW()-1)</f>
        <v/>
      </c>
      <c r="B392" s="20" t="n"/>
      <c r="C392" s="21">
        <f>IF(B392="","",VLOOKUP(B392,Projects!$B:$C,2,FALSE()))</f>
        <v/>
      </c>
      <c r="D392" s="21" t="n"/>
      <c r="E392" s="20" t="n"/>
      <c r="F392" s="20" t="n"/>
      <c r="G392" s="20" t="n"/>
      <c r="H392" s="22" t="n"/>
      <c r="I392" s="22" t="n"/>
      <c r="J392" s="21" t="n"/>
      <c r="K392" s="20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20">
        <f>IF(AND(B393="",C393=""),"",ROW()-1)</f>
        <v/>
      </c>
      <c r="B393" s="20" t="n"/>
      <c r="C393" s="21">
        <f>IF(B393="","",VLOOKUP(B393,Projects!$B:$C,2,FALSE()))</f>
        <v/>
      </c>
      <c r="D393" s="21" t="n"/>
      <c r="E393" s="20" t="n"/>
      <c r="F393" s="20" t="n"/>
      <c r="G393" s="20" t="n"/>
      <c r="H393" s="22" t="n"/>
      <c r="I393" s="22" t="n"/>
      <c r="J393" s="21" t="n"/>
      <c r="K393" s="20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20">
        <f>IF(AND(B394="",C394=""),"",ROW()-1)</f>
        <v/>
      </c>
      <c r="B394" s="20" t="n"/>
      <c r="C394" s="21">
        <f>IF(B394="","",VLOOKUP(B394,Projects!$B:$C,2,FALSE()))</f>
        <v/>
      </c>
      <c r="D394" s="21" t="n"/>
      <c r="E394" s="20" t="n"/>
      <c r="F394" s="20" t="n"/>
      <c r="G394" s="20" t="n"/>
      <c r="H394" s="22" t="n"/>
      <c r="I394" s="22" t="n"/>
      <c r="J394" s="21" t="n"/>
      <c r="K394" s="20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20">
        <f>IF(AND(B395="",C395=""),"",ROW()-1)</f>
        <v/>
      </c>
      <c r="B395" s="20" t="n"/>
      <c r="C395" s="21">
        <f>IF(B395="","",VLOOKUP(B395,Projects!$B:$C,2,FALSE()))</f>
        <v/>
      </c>
      <c r="D395" s="21" t="n"/>
      <c r="E395" s="20" t="n"/>
      <c r="F395" s="20" t="n"/>
      <c r="G395" s="20" t="n"/>
      <c r="H395" s="22" t="n"/>
      <c r="I395" s="22" t="n"/>
      <c r="J395" s="21" t="n"/>
      <c r="K395" s="20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20">
        <f>IF(AND(B396="",C396=""),"",ROW()-1)</f>
        <v/>
      </c>
      <c r="B396" s="20" t="n"/>
      <c r="C396" s="21">
        <f>IF(B396="","",VLOOKUP(B396,Projects!$B:$C,2,FALSE()))</f>
        <v/>
      </c>
      <c r="D396" s="21" t="n"/>
      <c r="E396" s="20" t="n"/>
      <c r="F396" s="20" t="n"/>
      <c r="G396" s="20" t="n"/>
      <c r="H396" s="22" t="n"/>
      <c r="I396" s="22" t="n"/>
      <c r="J396" s="21" t="n"/>
      <c r="K396" s="20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20">
        <f>IF(AND(B397="",C397=""),"",ROW()-1)</f>
        <v/>
      </c>
      <c r="B397" s="20" t="n"/>
      <c r="C397" s="21">
        <f>IF(B397="","",VLOOKUP(B397,Projects!$B:$C,2,FALSE()))</f>
        <v/>
      </c>
      <c r="D397" s="21" t="n"/>
      <c r="E397" s="20" t="n"/>
      <c r="F397" s="20" t="n"/>
      <c r="G397" s="20" t="n"/>
      <c r="H397" s="22" t="n"/>
      <c r="I397" s="22" t="n"/>
      <c r="J397" s="21" t="n"/>
      <c r="K397" s="20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20">
        <f>IF(AND(B398="",C398=""),"",ROW()-1)</f>
        <v/>
      </c>
      <c r="B398" s="20" t="n"/>
      <c r="C398" s="21">
        <f>IF(B398="","",VLOOKUP(B398,Projects!$B:$C,2,FALSE()))</f>
        <v/>
      </c>
      <c r="D398" s="21" t="n"/>
      <c r="E398" s="20" t="n"/>
      <c r="F398" s="20" t="n"/>
      <c r="G398" s="20" t="n"/>
      <c r="H398" s="22" t="n"/>
      <c r="I398" s="22" t="n"/>
      <c r="J398" s="21" t="n"/>
      <c r="K398" s="20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20">
        <f>IF(AND(B399="",C399=""),"",ROW()-1)</f>
        <v/>
      </c>
      <c r="B399" s="20" t="n"/>
      <c r="C399" s="21">
        <f>IF(B399="","",VLOOKUP(B399,Projects!$B:$C,2,FALSE()))</f>
        <v/>
      </c>
      <c r="D399" s="21" t="n"/>
      <c r="E399" s="20" t="n"/>
      <c r="F399" s="20" t="n"/>
      <c r="G399" s="20" t="n"/>
      <c r="H399" s="22" t="n"/>
      <c r="I399" s="22" t="n"/>
      <c r="J399" s="21" t="n"/>
      <c r="K399" s="20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20">
        <f>IF(AND(B400="",C400=""),"",ROW()-1)</f>
        <v/>
      </c>
      <c r="B400" s="20" t="n"/>
      <c r="C400" s="21">
        <f>IF(B400="","",VLOOKUP(B400,Projects!$B:$C,2,FALSE()))</f>
        <v/>
      </c>
      <c r="D400" s="21" t="n"/>
      <c r="E400" s="20" t="n"/>
      <c r="F400" s="20" t="n"/>
      <c r="G400" s="20" t="n"/>
      <c r="H400" s="22" t="n"/>
      <c r="I400" s="22" t="n"/>
      <c r="J400" s="21" t="n"/>
      <c r="K400" s="20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20">
        <f>IF(AND(B401="",C401=""),"",ROW()-1)</f>
        <v/>
      </c>
      <c r="B401" s="20" t="n"/>
      <c r="C401" s="21">
        <f>IF(B401="","",VLOOKUP(B401,Projects!$B:$C,2,FALSE()))</f>
        <v/>
      </c>
      <c r="D401" s="21" t="n"/>
      <c r="E401" s="20" t="n"/>
      <c r="F401" s="20" t="n"/>
      <c r="G401" s="20" t="n"/>
      <c r="H401" s="22" t="n"/>
      <c r="I401" s="22" t="n"/>
      <c r="J401" s="21" t="n"/>
      <c r="K401" s="20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20">
        <f>IF(AND(B402="",C402=""),"",ROW()-1)</f>
        <v/>
      </c>
      <c r="B402" s="20" t="n"/>
      <c r="C402" s="21">
        <f>IF(B402="","",VLOOKUP(B402,Projects!$B:$C,2,FALSE()))</f>
        <v/>
      </c>
      <c r="D402" s="21" t="n"/>
      <c r="E402" s="20" t="n"/>
      <c r="F402" s="20" t="n"/>
      <c r="G402" s="20" t="n"/>
      <c r="H402" s="22" t="n"/>
      <c r="I402" s="22" t="n"/>
      <c r="J402" s="21" t="n"/>
      <c r="K402" s="20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20">
        <f>IF(AND(B403="",C403=""),"",ROW()-1)</f>
        <v/>
      </c>
      <c r="B403" s="20" t="n"/>
      <c r="C403" s="21">
        <f>IF(B403="","",VLOOKUP(B403,Projects!$B:$C,2,FALSE()))</f>
        <v/>
      </c>
      <c r="D403" s="21" t="n"/>
      <c r="E403" s="20" t="n"/>
      <c r="F403" s="20" t="n"/>
      <c r="G403" s="20" t="n"/>
      <c r="H403" s="22" t="n"/>
      <c r="I403" s="22" t="n"/>
      <c r="J403" s="21" t="n"/>
      <c r="K403" s="20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20">
        <f>IF(AND(B404="",C404=""),"",ROW()-1)</f>
        <v/>
      </c>
      <c r="B404" s="20" t="n"/>
      <c r="C404" s="21">
        <f>IF(B404="","",VLOOKUP(B404,Projects!$B:$C,2,FALSE()))</f>
        <v/>
      </c>
      <c r="D404" s="21" t="n"/>
      <c r="E404" s="20" t="n"/>
      <c r="F404" s="20" t="n"/>
      <c r="G404" s="20" t="n"/>
      <c r="H404" s="22" t="n"/>
      <c r="I404" s="22" t="n"/>
      <c r="J404" s="21" t="n"/>
      <c r="K404" s="20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20">
        <f>IF(AND(B405="",C405=""),"",ROW()-1)</f>
        <v/>
      </c>
      <c r="B405" s="20" t="n"/>
      <c r="C405" s="21">
        <f>IF(B405="","",VLOOKUP(B405,Projects!$B:$C,2,FALSE()))</f>
        <v/>
      </c>
      <c r="D405" s="21" t="n"/>
      <c r="E405" s="20" t="n"/>
      <c r="F405" s="20" t="n"/>
      <c r="G405" s="20" t="n"/>
      <c r="H405" s="22" t="n"/>
      <c r="I405" s="22" t="n"/>
      <c r="J405" s="21" t="n"/>
      <c r="K405" s="20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20">
        <f>IF(AND(B406="",C406=""),"",ROW()-1)</f>
        <v/>
      </c>
      <c r="B406" s="20" t="n"/>
      <c r="C406" s="21">
        <f>IF(B406="","",VLOOKUP(B406,Projects!$B:$C,2,FALSE()))</f>
        <v/>
      </c>
      <c r="D406" s="21" t="n"/>
      <c r="E406" s="20" t="n"/>
      <c r="F406" s="20" t="n"/>
      <c r="G406" s="20" t="n"/>
      <c r="H406" s="22" t="n"/>
      <c r="I406" s="22" t="n"/>
      <c r="J406" s="21" t="n"/>
      <c r="K406" s="20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20">
        <f>IF(AND(B407="",C407=""),"",ROW()-1)</f>
        <v/>
      </c>
      <c r="B407" s="20" t="n"/>
      <c r="C407" s="21">
        <f>IF(B407="","",VLOOKUP(B407,Projects!$B:$C,2,FALSE()))</f>
        <v/>
      </c>
      <c r="D407" s="21" t="n"/>
      <c r="E407" s="20" t="n"/>
      <c r="F407" s="20" t="n"/>
      <c r="G407" s="20" t="n"/>
      <c r="H407" s="22" t="n"/>
      <c r="I407" s="22" t="n"/>
      <c r="J407" s="21" t="n"/>
      <c r="K407" s="20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20">
        <f>IF(AND(B408="",C408=""),"",ROW()-1)</f>
        <v/>
      </c>
      <c r="B408" s="20" t="n"/>
      <c r="C408" s="21">
        <f>IF(B408="","",VLOOKUP(B408,Projects!$B:$C,2,FALSE()))</f>
        <v/>
      </c>
      <c r="D408" s="21" t="n"/>
      <c r="E408" s="20" t="n"/>
      <c r="F408" s="20" t="n"/>
      <c r="G408" s="20" t="n"/>
      <c r="H408" s="22" t="n"/>
      <c r="I408" s="22" t="n"/>
      <c r="J408" s="21" t="n"/>
      <c r="K408" s="20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20">
        <f>IF(AND(B409="",C409=""),"",ROW()-1)</f>
        <v/>
      </c>
      <c r="B409" s="20" t="n"/>
      <c r="C409" s="21">
        <f>IF(B409="","",VLOOKUP(B409,Projects!$B:$C,2,FALSE()))</f>
        <v/>
      </c>
      <c r="D409" s="21" t="n"/>
      <c r="E409" s="20" t="n"/>
      <c r="F409" s="20" t="n"/>
      <c r="G409" s="20" t="n"/>
      <c r="H409" s="22" t="n"/>
      <c r="I409" s="22" t="n"/>
      <c r="J409" s="21" t="n"/>
      <c r="K409" s="20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20">
        <f>IF(AND(B410="",C410=""),"",ROW()-1)</f>
        <v/>
      </c>
      <c r="B410" s="20" t="n"/>
      <c r="C410" s="21">
        <f>IF(B410="","",VLOOKUP(B410,Projects!$B:$C,2,FALSE()))</f>
        <v/>
      </c>
      <c r="D410" s="21" t="n"/>
      <c r="E410" s="20" t="n"/>
      <c r="F410" s="20" t="n"/>
      <c r="G410" s="20" t="n"/>
      <c r="H410" s="22" t="n"/>
      <c r="I410" s="22" t="n"/>
      <c r="J410" s="21" t="n"/>
      <c r="K410" s="20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20">
        <f>IF(AND(B411="",C411=""),"",ROW()-1)</f>
        <v/>
      </c>
      <c r="B411" s="20" t="n"/>
      <c r="C411" s="21">
        <f>IF(B411="","",VLOOKUP(B411,Projects!$B:$C,2,FALSE()))</f>
        <v/>
      </c>
      <c r="D411" s="21" t="n"/>
      <c r="E411" s="20" t="n"/>
      <c r="F411" s="20" t="n"/>
      <c r="G411" s="20" t="n"/>
      <c r="H411" s="22" t="n"/>
      <c r="I411" s="22" t="n"/>
      <c r="J411" s="21" t="n"/>
      <c r="K411" s="20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20">
        <f>IF(AND(B412="",C412=""),"",ROW()-1)</f>
        <v/>
      </c>
      <c r="B412" s="20" t="n"/>
      <c r="C412" s="21">
        <f>IF(B412="","",VLOOKUP(B412,Projects!$B:$C,2,FALSE()))</f>
        <v/>
      </c>
      <c r="D412" s="21" t="n"/>
      <c r="E412" s="20" t="n"/>
      <c r="F412" s="20" t="n"/>
      <c r="G412" s="20" t="n"/>
      <c r="H412" s="22" t="n"/>
      <c r="I412" s="22" t="n"/>
      <c r="J412" s="21" t="n"/>
      <c r="K412" s="20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20">
        <f>IF(AND(B413="",C413=""),"",ROW()-1)</f>
        <v/>
      </c>
      <c r="B413" s="20" t="n"/>
      <c r="C413" s="21">
        <f>IF(B413="","",VLOOKUP(B413,Projects!$B:$C,2,FALSE()))</f>
        <v/>
      </c>
      <c r="D413" s="21" t="n"/>
      <c r="E413" s="20" t="n"/>
      <c r="F413" s="20" t="n"/>
      <c r="G413" s="20" t="n"/>
      <c r="H413" s="22" t="n"/>
      <c r="I413" s="22" t="n"/>
      <c r="J413" s="21" t="n"/>
      <c r="K413" s="20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20">
        <f>IF(AND(B414="",C414=""),"",ROW()-1)</f>
        <v/>
      </c>
      <c r="B414" s="20" t="n"/>
      <c r="C414" s="21">
        <f>IF(B414="","",VLOOKUP(B414,Projects!$B:$C,2,FALSE()))</f>
        <v/>
      </c>
      <c r="D414" s="21" t="n"/>
      <c r="E414" s="20" t="n"/>
      <c r="F414" s="20" t="n"/>
      <c r="G414" s="20" t="n"/>
      <c r="H414" s="22" t="n"/>
      <c r="I414" s="22" t="n"/>
      <c r="J414" s="21" t="n"/>
      <c r="K414" s="20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20">
        <f>IF(AND(B415="",C415=""),"",ROW()-1)</f>
        <v/>
      </c>
      <c r="B415" s="20" t="n"/>
      <c r="C415" s="21">
        <f>IF(B415="","",VLOOKUP(B415,Projects!$B:$C,2,FALSE()))</f>
        <v/>
      </c>
      <c r="D415" s="21" t="n"/>
      <c r="E415" s="20" t="n"/>
      <c r="F415" s="20" t="n"/>
      <c r="G415" s="20" t="n"/>
      <c r="H415" s="22" t="n"/>
      <c r="I415" s="22" t="n"/>
      <c r="J415" s="21" t="n"/>
      <c r="K415" s="20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20">
        <f>IF(AND(B416="",C416=""),"",ROW()-1)</f>
        <v/>
      </c>
      <c r="B416" s="20" t="n"/>
      <c r="C416" s="21">
        <f>IF(B416="","",VLOOKUP(B416,Projects!$B:$C,2,FALSE()))</f>
        <v/>
      </c>
      <c r="D416" s="21" t="n"/>
      <c r="E416" s="20" t="n"/>
      <c r="F416" s="20" t="n"/>
      <c r="G416" s="20" t="n"/>
      <c r="H416" s="22" t="n"/>
      <c r="I416" s="22" t="n"/>
      <c r="J416" s="21" t="n"/>
      <c r="K416" s="20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20">
        <f>IF(AND(B417="",C417=""),"",ROW()-1)</f>
        <v/>
      </c>
      <c r="B417" s="20" t="n"/>
      <c r="C417" s="21">
        <f>IF(B417="","",VLOOKUP(B417,Projects!$B:$C,2,FALSE()))</f>
        <v/>
      </c>
      <c r="D417" s="21" t="n"/>
      <c r="E417" s="20" t="n"/>
      <c r="F417" s="20" t="n"/>
      <c r="G417" s="20" t="n"/>
      <c r="H417" s="22" t="n"/>
      <c r="I417" s="22" t="n"/>
      <c r="J417" s="21" t="n"/>
      <c r="K417" s="20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20">
        <f>IF(AND(B418="",C418=""),"",ROW()-1)</f>
        <v/>
      </c>
      <c r="B418" s="20" t="n"/>
      <c r="C418" s="21">
        <f>IF(B418="","",VLOOKUP(B418,Projects!$B:$C,2,FALSE()))</f>
        <v/>
      </c>
      <c r="D418" s="21" t="n"/>
      <c r="E418" s="20" t="n"/>
      <c r="F418" s="20" t="n"/>
      <c r="G418" s="20" t="n"/>
      <c r="H418" s="22" t="n"/>
      <c r="I418" s="22" t="n"/>
      <c r="J418" s="21" t="n"/>
      <c r="K418" s="20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20">
        <f>IF(AND(B419="",C419=""),"",ROW()-1)</f>
        <v/>
      </c>
      <c r="B419" s="20" t="n"/>
      <c r="C419" s="21">
        <f>IF(B419="","",VLOOKUP(B419,Projects!$B:$C,2,FALSE()))</f>
        <v/>
      </c>
      <c r="D419" s="21" t="n"/>
      <c r="E419" s="20" t="n"/>
      <c r="F419" s="20" t="n"/>
      <c r="G419" s="20" t="n"/>
      <c r="H419" s="22" t="n"/>
      <c r="I419" s="22" t="n"/>
      <c r="J419" s="21" t="n"/>
      <c r="K419" s="20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20">
        <f>IF(AND(B420="",C420=""),"",ROW()-1)</f>
        <v/>
      </c>
      <c r="B420" s="20" t="n"/>
      <c r="C420" s="21">
        <f>IF(B420="","",VLOOKUP(B420,Projects!$B:$C,2,FALSE()))</f>
        <v/>
      </c>
      <c r="D420" s="21" t="n"/>
      <c r="E420" s="20" t="n"/>
      <c r="F420" s="20" t="n"/>
      <c r="G420" s="20" t="n"/>
      <c r="H420" s="22" t="n"/>
      <c r="I420" s="22" t="n"/>
      <c r="J420" s="21" t="n"/>
      <c r="K420" s="20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20">
        <f>IF(AND(B421="",C421=""),"",ROW()-1)</f>
        <v/>
      </c>
      <c r="B421" s="20" t="n"/>
      <c r="C421" s="21">
        <f>IF(B421="","",VLOOKUP(B421,Projects!$B:$C,2,FALSE()))</f>
        <v/>
      </c>
      <c r="D421" s="21" t="n"/>
      <c r="E421" s="20" t="n"/>
      <c r="F421" s="20" t="n"/>
      <c r="G421" s="20" t="n"/>
      <c r="H421" s="22" t="n"/>
      <c r="I421" s="22" t="n"/>
      <c r="J421" s="21" t="n"/>
      <c r="K421" s="20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20">
        <f>IF(AND(B422="",C422=""),"",ROW()-1)</f>
        <v/>
      </c>
      <c r="B422" s="20" t="n"/>
      <c r="C422" s="21">
        <f>IF(B422="","",VLOOKUP(B422,Projects!$B:$C,2,FALSE()))</f>
        <v/>
      </c>
      <c r="D422" s="21" t="n"/>
      <c r="E422" s="20" t="n"/>
      <c r="F422" s="20" t="n"/>
      <c r="G422" s="20" t="n"/>
      <c r="H422" s="22" t="n"/>
      <c r="I422" s="22" t="n"/>
      <c r="J422" s="21" t="n"/>
      <c r="K422" s="20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20">
        <f>IF(AND(B423="",C423=""),"",ROW()-1)</f>
        <v/>
      </c>
      <c r="B423" s="20" t="n"/>
      <c r="C423" s="21">
        <f>IF(B423="","",VLOOKUP(B423,Projects!$B:$C,2,FALSE()))</f>
        <v/>
      </c>
      <c r="D423" s="21" t="n"/>
      <c r="E423" s="20" t="n"/>
      <c r="F423" s="20" t="n"/>
      <c r="G423" s="20" t="n"/>
      <c r="H423" s="22" t="n"/>
      <c r="I423" s="22" t="n"/>
      <c r="J423" s="21" t="n"/>
      <c r="K423" s="20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20">
        <f>IF(AND(B424="",C424=""),"",ROW()-1)</f>
        <v/>
      </c>
      <c r="B424" s="20" t="n"/>
      <c r="C424" s="21">
        <f>IF(B424="","",VLOOKUP(B424,Projects!$B:$C,2,FALSE()))</f>
        <v/>
      </c>
      <c r="D424" s="21" t="n"/>
      <c r="E424" s="20" t="n"/>
      <c r="F424" s="20" t="n"/>
      <c r="G424" s="20" t="n"/>
      <c r="H424" s="22" t="n"/>
      <c r="I424" s="22" t="n"/>
      <c r="J424" s="21" t="n"/>
      <c r="K424" s="20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20">
        <f>IF(AND(B425="",C425=""),"",ROW()-1)</f>
        <v/>
      </c>
      <c r="B425" s="20" t="n"/>
      <c r="C425" s="21">
        <f>IF(B425="","",VLOOKUP(B425,Projects!$B:$C,2,FALSE()))</f>
        <v/>
      </c>
      <c r="D425" s="21" t="n"/>
      <c r="E425" s="20" t="n"/>
      <c r="F425" s="20" t="n"/>
      <c r="G425" s="20" t="n"/>
      <c r="H425" s="22" t="n"/>
      <c r="I425" s="22" t="n"/>
      <c r="J425" s="21" t="n"/>
      <c r="K425" s="20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20">
        <f>IF(AND(B426="",C426=""),"",ROW()-1)</f>
        <v/>
      </c>
      <c r="B426" s="20" t="n"/>
      <c r="C426" s="21">
        <f>IF(B426="","",VLOOKUP(B426,Projects!$B:$C,2,FALSE()))</f>
        <v/>
      </c>
      <c r="D426" s="21" t="n"/>
      <c r="E426" s="20" t="n"/>
      <c r="F426" s="20" t="n"/>
      <c r="G426" s="20" t="n"/>
      <c r="H426" s="22" t="n"/>
      <c r="I426" s="22" t="n"/>
      <c r="J426" s="21" t="n"/>
      <c r="K426" s="20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20">
        <f>IF(AND(B427="",C427=""),"",ROW()-1)</f>
        <v/>
      </c>
      <c r="B427" s="20" t="n"/>
      <c r="C427" s="21">
        <f>IF(B427="","",VLOOKUP(B427,Projects!$B:$C,2,FALSE()))</f>
        <v/>
      </c>
      <c r="D427" s="21" t="n"/>
      <c r="E427" s="20" t="n"/>
      <c r="F427" s="20" t="n"/>
      <c r="G427" s="20" t="n"/>
      <c r="H427" s="22" t="n"/>
      <c r="I427" s="22" t="n"/>
      <c r="J427" s="21" t="n"/>
      <c r="K427" s="20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20">
        <f>IF(AND(B428="",C428=""),"",ROW()-1)</f>
        <v/>
      </c>
      <c r="B428" s="20" t="n"/>
      <c r="C428" s="21">
        <f>IF(B428="","",VLOOKUP(B428,Projects!$B:$C,2,FALSE()))</f>
        <v/>
      </c>
      <c r="D428" s="21" t="n"/>
      <c r="E428" s="20" t="n"/>
      <c r="F428" s="20" t="n"/>
      <c r="G428" s="20" t="n"/>
      <c r="H428" s="22" t="n"/>
      <c r="I428" s="22" t="n"/>
      <c r="J428" s="21" t="n"/>
      <c r="K428" s="20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20">
        <f>IF(AND(B429="",C429=""),"",ROW()-1)</f>
        <v/>
      </c>
      <c r="B429" s="20" t="n"/>
      <c r="C429" s="21">
        <f>IF(B429="","",VLOOKUP(B429,Projects!$B:$C,2,FALSE()))</f>
        <v/>
      </c>
      <c r="D429" s="21" t="n"/>
      <c r="E429" s="20" t="n"/>
      <c r="F429" s="20" t="n"/>
      <c r="G429" s="20" t="n"/>
      <c r="H429" s="22" t="n"/>
      <c r="I429" s="22" t="n"/>
      <c r="J429" s="21" t="n"/>
      <c r="K429" s="20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20">
        <f>IF(AND(B430="",C430=""),"",ROW()-1)</f>
        <v/>
      </c>
      <c r="B430" s="20" t="n"/>
      <c r="C430" s="21">
        <f>IF(B430="","",VLOOKUP(B430,Projects!$B:$C,2,FALSE()))</f>
        <v/>
      </c>
      <c r="D430" s="21" t="n"/>
      <c r="E430" s="20" t="n"/>
      <c r="F430" s="20" t="n"/>
      <c r="G430" s="20" t="n"/>
      <c r="H430" s="22" t="n"/>
      <c r="I430" s="22" t="n"/>
      <c r="J430" s="21" t="n"/>
      <c r="K430" s="20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20">
        <f>IF(AND(B431="",C431=""),"",ROW()-1)</f>
        <v/>
      </c>
      <c r="B431" s="20" t="n"/>
      <c r="C431" s="21">
        <f>IF(B431="","",VLOOKUP(B431,Projects!$B:$C,2,FALSE()))</f>
        <v/>
      </c>
      <c r="D431" s="21" t="n"/>
      <c r="E431" s="20" t="n"/>
      <c r="F431" s="20" t="n"/>
      <c r="G431" s="20" t="n"/>
      <c r="H431" s="22" t="n"/>
      <c r="I431" s="22" t="n"/>
      <c r="J431" s="21" t="n"/>
      <c r="K431" s="20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20">
        <f>IF(AND(B432="",C432=""),"",ROW()-1)</f>
        <v/>
      </c>
      <c r="B432" s="20" t="n"/>
      <c r="C432" s="21">
        <f>IF(B432="","",VLOOKUP(B432,Projects!$B:$C,2,FALSE()))</f>
        <v/>
      </c>
      <c r="D432" s="21" t="n"/>
      <c r="E432" s="20" t="n"/>
      <c r="F432" s="20" t="n"/>
      <c r="G432" s="20" t="n"/>
      <c r="H432" s="22" t="n"/>
      <c r="I432" s="22" t="n"/>
      <c r="J432" s="21" t="n"/>
      <c r="K432" s="20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20">
        <f>IF(AND(B433="",C433=""),"",ROW()-1)</f>
        <v/>
      </c>
      <c r="B433" s="20" t="n"/>
      <c r="C433" s="21">
        <f>IF(B433="","",VLOOKUP(B433,Projects!$B:$C,2,FALSE()))</f>
        <v/>
      </c>
      <c r="D433" s="21" t="n"/>
      <c r="E433" s="20" t="n"/>
      <c r="F433" s="20" t="n"/>
      <c r="G433" s="20" t="n"/>
      <c r="H433" s="22" t="n"/>
      <c r="I433" s="22" t="n"/>
      <c r="J433" s="21" t="n"/>
      <c r="K433" s="20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20">
        <f>IF(AND(B434="",C434=""),"",ROW()-1)</f>
        <v/>
      </c>
      <c r="B434" s="20" t="n"/>
      <c r="C434" s="21">
        <f>IF(B434="","",VLOOKUP(B434,Projects!$B:$C,2,FALSE()))</f>
        <v/>
      </c>
      <c r="D434" s="21" t="n"/>
      <c r="E434" s="20" t="n"/>
      <c r="F434" s="20" t="n"/>
      <c r="G434" s="20" t="n"/>
      <c r="H434" s="22" t="n"/>
      <c r="I434" s="22" t="n"/>
      <c r="J434" s="21" t="n"/>
      <c r="K434" s="20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20">
        <f>IF(AND(B435="",C435=""),"",ROW()-1)</f>
        <v/>
      </c>
      <c r="B435" s="20" t="n"/>
      <c r="C435" s="21">
        <f>IF(B435="","",VLOOKUP(B435,Projects!$B:$C,2,FALSE()))</f>
        <v/>
      </c>
      <c r="D435" s="21" t="n"/>
      <c r="E435" s="20" t="n"/>
      <c r="F435" s="20" t="n"/>
      <c r="G435" s="20" t="n"/>
      <c r="H435" s="22" t="n"/>
      <c r="I435" s="22" t="n"/>
      <c r="J435" s="21" t="n"/>
      <c r="K435" s="20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20">
        <f>IF(AND(B436="",C436=""),"",ROW()-1)</f>
        <v/>
      </c>
      <c r="B436" s="20" t="n"/>
      <c r="C436" s="21">
        <f>IF(B436="","",VLOOKUP(B436,Projects!$B:$C,2,FALSE()))</f>
        <v/>
      </c>
      <c r="D436" s="21" t="n"/>
      <c r="E436" s="20" t="n"/>
      <c r="F436" s="20" t="n"/>
      <c r="G436" s="20" t="n"/>
      <c r="H436" s="22" t="n"/>
      <c r="I436" s="22" t="n"/>
      <c r="J436" s="21" t="n"/>
      <c r="K436" s="20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20">
        <f>IF(AND(B437="",C437=""),"",ROW()-1)</f>
        <v/>
      </c>
      <c r="B437" s="20" t="n"/>
      <c r="C437" s="21">
        <f>IF(B437="","",VLOOKUP(B437,Projects!$B:$C,2,FALSE()))</f>
        <v/>
      </c>
      <c r="D437" s="21" t="n"/>
      <c r="E437" s="20" t="n"/>
      <c r="F437" s="20" t="n"/>
      <c r="G437" s="20" t="n"/>
      <c r="H437" s="22" t="n"/>
      <c r="I437" s="22" t="n"/>
      <c r="J437" s="21" t="n"/>
      <c r="K437" s="20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20">
        <f>IF(AND(B438="",C438=""),"",ROW()-1)</f>
        <v/>
      </c>
      <c r="B438" s="20" t="n"/>
      <c r="C438" s="21">
        <f>IF(B438="","",VLOOKUP(B438,Projects!$B:$C,2,FALSE()))</f>
        <v/>
      </c>
      <c r="D438" s="21" t="n"/>
      <c r="E438" s="20" t="n"/>
      <c r="F438" s="20" t="n"/>
      <c r="G438" s="20" t="n"/>
      <c r="H438" s="22" t="n"/>
      <c r="I438" s="22" t="n"/>
      <c r="J438" s="21" t="n"/>
      <c r="K438" s="20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20">
        <f>IF(AND(B439="",C439=""),"",ROW()-1)</f>
        <v/>
      </c>
      <c r="B439" s="20" t="n"/>
      <c r="C439" s="21">
        <f>IF(B439="","",VLOOKUP(B439,Projects!$B:$C,2,FALSE()))</f>
        <v/>
      </c>
      <c r="D439" s="21" t="n"/>
      <c r="E439" s="20" t="n"/>
      <c r="F439" s="20" t="n"/>
      <c r="G439" s="20" t="n"/>
      <c r="H439" s="22" t="n"/>
      <c r="I439" s="22" t="n"/>
      <c r="J439" s="21" t="n"/>
      <c r="K439" s="20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20">
        <f>IF(AND(B440="",C440=""),"",ROW()-1)</f>
        <v/>
      </c>
      <c r="B440" s="20" t="n"/>
      <c r="C440" s="21">
        <f>IF(B440="","",VLOOKUP(B440,Projects!$B:$C,2,FALSE()))</f>
        <v/>
      </c>
      <c r="D440" s="21" t="n"/>
      <c r="E440" s="20" t="n"/>
      <c r="F440" s="20" t="n"/>
      <c r="G440" s="20" t="n"/>
      <c r="H440" s="22" t="n"/>
      <c r="I440" s="22" t="n"/>
      <c r="J440" s="21" t="n"/>
      <c r="K440" s="20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20">
        <f>IF(AND(B441="",C441=""),"",ROW()-1)</f>
        <v/>
      </c>
      <c r="B441" s="20" t="n"/>
      <c r="C441" s="21">
        <f>IF(B441="","",VLOOKUP(B441,Projects!$B:$C,2,FALSE()))</f>
        <v/>
      </c>
      <c r="D441" s="21" t="n"/>
      <c r="E441" s="20" t="n"/>
      <c r="F441" s="20" t="n"/>
      <c r="G441" s="20" t="n"/>
      <c r="H441" s="22" t="n"/>
      <c r="I441" s="22" t="n"/>
      <c r="J441" s="21" t="n"/>
      <c r="K441" s="20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20">
        <f>IF(AND(B442="",C442=""),"",ROW()-1)</f>
        <v/>
      </c>
      <c r="B442" s="20" t="n"/>
      <c r="C442" s="21">
        <f>IF(B442="","",VLOOKUP(B442,Projects!$B:$C,2,FALSE()))</f>
        <v/>
      </c>
      <c r="D442" s="21" t="n"/>
      <c r="E442" s="20" t="n"/>
      <c r="F442" s="20" t="n"/>
      <c r="G442" s="20" t="n"/>
      <c r="H442" s="22" t="n"/>
      <c r="I442" s="22" t="n"/>
      <c r="J442" s="21" t="n"/>
      <c r="K442" s="20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20">
        <f>IF(AND(B443="",C443=""),"",ROW()-1)</f>
        <v/>
      </c>
      <c r="B443" s="20" t="n"/>
      <c r="C443" s="21">
        <f>IF(B443="","",VLOOKUP(B443,Projects!$B:$C,2,FALSE()))</f>
        <v/>
      </c>
      <c r="D443" s="21" t="n"/>
      <c r="E443" s="20" t="n"/>
      <c r="F443" s="20" t="n"/>
      <c r="G443" s="20" t="n"/>
      <c r="H443" s="22" t="n"/>
      <c r="I443" s="22" t="n"/>
      <c r="J443" s="21" t="n"/>
      <c r="K443" s="20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20">
        <f>IF(AND(B444="",C444=""),"",ROW()-1)</f>
        <v/>
      </c>
      <c r="B444" s="20" t="n"/>
      <c r="C444" s="21">
        <f>IF(B444="","",VLOOKUP(B444,Projects!$B:$C,2,FALSE()))</f>
        <v/>
      </c>
      <c r="D444" s="21" t="n"/>
      <c r="E444" s="20" t="n"/>
      <c r="F444" s="20" t="n"/>
      <c r="G444" s="20" t="n"/>
      <c r="H444" s="22" t="n"/>
      <c r="I444" s="22" t="n"/>
      <c r="J444" s="21" t="n"/>
      <c r="K444" s="20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20">
        <f>IF(AND(B445="",C445=""),"",ROW()-1)</f>
        <v/>
      </c>
      <c r="B445" s="20" t="n"/>
      <c r="C445" s="21">
        <f>IF(B445="","",VLOOKUP(B445,Projects!$B:$C,2,FALSE()))</f>
        <v/>
      </c>
      <c r="D445" s="21" t="n"/>
      <c r="E445" s="20" t="n"/>
      <c r="F445" s="20" t="n"/>
      <c r="G445" s="20" t="n"/>
      <c r="H445" s="22" t="n"/>
      <c r="I445" s="22" t="n"/>
      <c r="J445" s="21" t="n"/>
      <c r="K445" s="20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20">
        <f>IF(AND(B446="",C446=""),"",ROW()-1)</f>
        <v/>
      </c>
      <c r="B446" s="20" t="n"/>
      <c r="C446" s="21">
        <f>IF(B446="","",VLOOKUP(B446,Projects!$B:$C,2,FALSE()))</f>
        <v/>
      </c>
      <c r="D446" s="21" t="n"/>
      <c r="E446" s="20" t="n"/>
      <c r="F446" s="20" t="n"/>
      <c r="G446" s="20" t="n"/>
      <c r="H446" s="22" t="n"/>
      <c r="I446" s="22" t="n"/>
      <c r="J446" s="21" t="n"/>
      <c r="K446" s="20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20">
        <f>IF(AND(B447="",C447=""),"",ROW()-1)</f>
        <v/>
      </c>
      <c r="B447" s="20" t="n"/>
      <c r="C447" s="21">
        <f>IF(B447="","",VLOOKUP(B447,Projects!$B:$C,2,FALSE()))</f>
        <v/>
      </c>
      <c r="D447" s="21" t="n"/>
      <c r="E447" s="20" t="n"/>
      <c r="F447" s="20" t="n"/>
      <c r="G447" s="20" t="n"/>
      <c r="H447" s="22" t="n"/>
      <c r="I447" s="22" t="n"/>
      <c r="J447" s="21" t="n"/>
      <c r="K447" s="20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20">
        <f>IF(AND(B448="",C448=""),"",ROW()-1)</f>
        <v/>
      </c>
      <c r="B448" s="20" t="n"/>
      <c r="C448" s="21">
        <f>IF(B448="","",VLOOKUP(B448,Projects!$B:$C,2,FALSE()))</f>
        <v/>
      </c>
      <c r="D448" s="21" t="n"/>
      <c r="E448" s="20" t="n"/>
      <c r="F448" s="20" t="n"/>
      <c r="G448" s="20" t="n"/>
      <c r="H448" s="22" t="n"/>
      <c r="I448" s="22" t="n"/>
      <c r="J448" s="21" t="n"/>
      <c r="K448" s="20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20">
        <f>IF(AND(B449="",C449=""),"",ROW()-1)</f>
        <v/>
      </c>
      <c r="B449" s="20" t="n"/>
      <c r="C449" s="21">
        <f>IF(B449="","",VLOOKUP(B449,Projects!$B:$C,2,FALSE()))</f>
        <v/>
      </c>
      <c r="D449" s="21" t="n"/>
      <c r="E449" s="20" t="n"/>
      <c r="F449" s="20" t="n"/>
      <c r="G449" s="20" t="n"/>
      <c r="H449" s="22" t="n"/>
      <c r="I449" s="22" t="n"/>
      <c r="J449" s="21" t="n"/>
      <c r="K449" s="20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20">
        <f>IF(AND(B450="",C450=""),"",ROW()-1)</f>
        <v/>
      </c>
      <c r="B450" s="20" t="n"/>
      <c r="C450" s="21">
        <f>IF(B450="","",VLOOKUP(B450,Projects!$B:$C,2,FALSE()))</f>
        <v/>
      </c>
      <c r="D450" s="21" t="n"/>
      <c r="E450" s="20" t="n"/>
      <c r="F450" s="20" t="n"/>
      <c r="G450" s="20" t="n"/>
      <c r="H450" s="22" t="n"/>
      <c r="I450" s="22" t="n"/>
      <c r="J450" s="21" t="n"/>
      <c r="K450" s="20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20">
        <f>IF(AND(B451="",C451=""),"",ROW()-1)</f>
        <v/>
      </c>
      <c r="B451" s="20" t="n"/>
      <c r="C451" s="21">
        <f>IF(B451="","",VLOOKUP(B451,Projects!$B:$C,2,FALSE()))</f>
        <v/>
      </c>
      <c r="D451" s="21" t="n"/>
      <c r="E451" s="20" t="n"/>
      <c r="F451" s="20" t="n"/>
      <c r="G451" s="20" t="n"/>
      <c r="H451" s="22" t="n"/>
      <c r="I451" s="22" t="n"/>
      <c r="J451" s="21" t="n"/>
      <c r="K451" s="20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20">
        <f>IF(AND(B452="",C452=""),"",ROW()-1)</f>
        <v/>
      </c>
      <c r="B452" s="20" t="n"/>
      <c r="C452" s="21">
        <f>IF(B452="","",VLOOKUP(B452,Projects!$B:$C,2,FALSE()))</f>
        <v/>
      </c>
      <c r="D452" s="21" t="n"/>
      <c r="E452" s="20" t="n"/>
      <c r="F452" s="20" t="n"/>
      <c r="G452" s="20" t="n"/>
      <c r="H452" s="22" t="n"/>
      <c r="I452" s="22" t="n"/>
      <c r="J452" s="21" t="n"/>
      <c r="K452" s="20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20">
        <f>IF(AND(B453="",C453=""),"",ROW()-1)</f>
        <v/>
      </c>
      <c r="B453" s="20" t="n"/>
      <c r="C453" s="21">
        <f>IF(B453="","",VLOOKUP(B453,Projects!$B:$C,2,FALSE()))</f>
        <v/>
      </c>
      <c r="D453" s="21" t="n"/>
      <c r="E453" s="20" t="n"/>
      <c r="F453" s="20" t="n"/>
      <c r="G453" s="20" t="n"/>
      <c r="H453" s="22" t="n"/>
      <c r="I453" s="22" t="n"/>
      <c r="J453" s="21" t="n"/>
      <c r="K453" s="20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20">
        <f>IF(AND(B454="",C454=""),"",ROW()-1)</f>
        <v/>
      </c>
      <c r="B454" s="20" t="n"/>
      <c r="C454" s="21">
        <f>IF(B454="","",VLOOKUP(B454,Projects!$B:$C,2,FALSE()))</f>
        <v/>
      </c>
      <c r="D454" s="21" t="n"/>
      <c r="E454" s="20" t="n"/>
      <c r="F454" s="20" t="n"/>
      <c r="G454" s="20" t="n"/>
      <c r="H454" s="22" t="n"/>
      <c r="I454" s="22" t="n"/>
      <c r="J454" s="21" t="n"/>
      <c r="K454" s="20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20">
        <f>IF(AND(B455="",C455=""),"",ROW()-1)</f>
        <v/>
      </c>
      <c r="B455" s="20" t="n"/>
      <c r="C455" s="21">
        <f>IF(B455="","",VLOOKUP(B455,Projects!$B:$C,2,FALSE()))</f>
        <v/>
      </c>
      <c r="D455" s="21" t="n"/>
      <c r="E455" s="20" t="n"/>
      <c r="F455" s="20" t="n"/>
      <c r="G455" s="20" t="n"/>
      <c r="H455" s="22" t="n"/>
      <c r="I455" s="22" t="n"/>
      <c r="J455" s="21" t="n"/>
      <c r="K455" s="20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20">
        <f>IF(AND(B456="",C456=""),"",ROW()-1)</f>
        <v/>
      </c>
      <c r="B456" s="20" t="n"/>
      <c r="C456" s="21">
        <f>IF(B456="","",VLOOKUP(B456,Projects!$B:$C,2,FALSE()))</f>
        <v/>
      </c>
      <c r="D456" s="21" t="n"/>
      <c r="E456" s="20" t="n"/>
      <c r="F456" s="20" t="n"/>
      <c r="G456" s="20" t="n"/>
      <c r="H456" s="22" t="n"/>
      <c r="I456" s="22" t="n"/>
      <c r="J456" s="21" t="n"/>
      <c r="K456" s="20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20">
        <f>IF(AND(B457="",C457=""),"",ROW()-1)</f>
        <v/>
      </c>
      <c r="B457" s="20" t="n"/>
      <c r="C457" s="21">
        <f>IF(B457="","",VLOOKUP(B457,Projects!$B:$C,2,FALSE()))</f>
        <v/>
      </c>
      <c r="D457" s="21" t="n"/>
      <c r="E457" s="20" t="n"/>
      <c r="F457" s="20" t="n"/>
      <c r="G457" s="20" t="n"/>
      <c r="H457" s="22" t="n"/>
      <c r="I457" s="22" t="n"/>
      <c r="J457" s="21" t="n"/>
      <c r="K457" s="20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20">
        <f>IF(AND(B458="",C458=""),"",ROW()-1)</f>
        <v/>
      </c>
      <c r="B458" s="20" t="n"/>
      <c r="C458" s="21">
        <f>IF(B458="","",VLOOKUP(B458,Projects!$B:$C,2,FALSE()))</f>
        <v/>
      </c>
      <c r="D458" s="21" t="n"/>
      <c r="E458" s="20" t="n"/>
      <c r="F458" s="20" t="n"/>
      <c r="G458" s="20" t="n"/>
      <c r="H458" s="22" t="n"/>
      <c r="I458" s="22" t="n"/>
      <c r="J458" s="21" t="n"/>
      <c r="K458" s="20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20">
        <f>IF(AND(B459="",C459=""),"",ROW()-1)</f>
        <v/>
      </c>
      <c r="B459" s="20" t="n"/>
      <c r="C459" s="21">
        <f>IF(B459="","",VLOOKUP(B459,Projects!$B:$C,2,FALSE()))</f>
        <v/>
      </c>
      <c r="D459" s="21" t="n"/>
      <c r="E459" s="20" t="n"/>
      <c r="F459" s="20" t="n"/>
      <c r="G459" s="20" t="n"/>
      <c r="H459" s="22" t="n"/>
      <c r="I459" s="22" t="n"/>
      <c r="J459" s="21" t="n"/>
      <c r="K459" s="20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20">
        <f>IF(AND(B460="",C460=""),"",ROW()-1)</f>
        <v/>
      </c>
      <c r="B460" s="20" t="n"/>
      <c r="C460" s="21">
        <f>IF(B460="","",VLOOKUP(B460,Projects!$B:$C,2,FALSE()))</f>
        <v/>
      </c>
      <c r="D460" s="21" t="n"/>
      <c r="E460" s="20" t="n"/>
      <c r="F460" s="20" t="n"/>
      <c r="G460" s="20" t="n"/>
      <c r="H460" s="22" t="n"/>
      <c r="I460" s="22" t="n"/>
      <c r="J460" s="21" t="n"/>
      <c r="K460" s="20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20">
        <f>IF(AND(B461="",C461=""),"",ROW()-1)</f>
        <v/>
      </c>
      <c r="B461" s="20" t="n"/>
      <c r="C461" s="21">
        <f>IF(B461="","",VLOOKUP(B461,Projects!$B:$C,2,FALSE()))</f>
        <v/>
      </c>
      <c r="D461" s="21" t="n"/>
      <c r="E461" s="20" t="n"/>
      <c r="F461" s="20" t="n"/>
      <c r="G461" s="20" t="n"/>
      <c r="H461" s="22" t="n"/>
      <c r="I461" s="22" t="n"/>
      <c r="J461" s="21" t="n"/>
      <c r="K461" s="20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20">
        <f>IF(AND(B462="",C462=""),"",ROW()-1)</f>
        <v/>
      </c>
      <c r="B462" s="20" t="n"/>
      <c r="C462" s="21">
        <f>IF(B462="","",VLOOKUP(B462,Projects!$B:$C,2,FALSE()))</f>
        <v/>
      </c>
      <c r="D462" s="21" t="n"/>
      <c r="E462" s="20" t="n"/>
      <c r="F462" s="20" t="n"/>
      <c r="G462" s="20" t="n"/>
      <c r="H462" s="22" t="n"/>
      <c r="I462" s="22" t="n"/>
      <c r="J462" s="21" t="n"/>
      <c r="K462" s="20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20">
        <f>IF(AND(B463="",C463=""),"",ROW()-1)</f>
        <v/>
      </c>
      <c r="B463" s="20" t="n"/>
      <c r="C463" s="21">
        <f>IF(B463="","",VLOOKUP(B463,Projects!$B:$C,2,FALSE()))</f>
        <v/>
      </c>
      <c r="D463" s="21" t="n"/>
      <c r="E463" s="20" t="n"/>
      <c r="F463" s="20" t="n"/>
      <c r="G463" s="20" t="n"/>
      <c r="H463" s="22" t="n"/>
      <c r="I463" s="22" t="n"/>
      <c r="J463" s="21" t="n"/>
      <c r="K463" s="20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20">
        <f>IF(AND(B464="",C464=""),"",ROW()-1)</f>
        <v/>
      </c>
      <c r="B464" s="20" t="n"/>
      <c r="C464" s="21">
        <f>IF(B464="","",VLOOKUP(B464,Projects!$B:$C,2,FALSE()))</f>
        <v/>
      </c>
      <c r="D464" s="21" t="n"/>
      <c r="E464" s="20" t="n"/>
      <c r="F464" s="20" t="n"/>
      <c r="G464" s="20" t="n"/>
      <c r="H464" s="22" t="n"/>
      <c r="I464" s="22" t="n"/>
      <c r="J464" s="21" t="n"/>
      <c r="K464" s="20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20">
        <f>IF(AND(B465="",C465=""),"",ROW()-1)</f>
        <v/>
      </c>
      <c r="B465" s="20" t="n"/>
      <c r="C465" s="21">
        <f>IF(B465="","",VLOOKUP(B465,Projects!$B:$C,2,FALSE()))</f>
        <v/>
      </c>
      <c r="D465" s="21" t="n"/>
      <c r="E465" s="20" t="n"/>
      <c r="F465" s="20" t="n"/>
      <c r="G465" s="20" t="n"/>
      <c r="H465" s="22" t="n"/>
      <c r="I465" s="22" t="n"/>
      <c r="J465" s="21" t="n"/>
      <c r="K465" s="20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20">
        <f>IF(AND(B466="",C466=""),"",ROW()-1)</f>
        <v/>
      </c>
      <c r="B466" s="20" t="n"/>
      <c r="C466" s="21">
        <f>IF(B466="","",VLOOKUP(B466,Projects!$B:$C,2,FALSE()))</f>
        <v/>
      </c>
      <c r="D466" s="21" t="n"/>
      <c r="E466" s="20" t="n"/>
      <c r="F466" s="20" t="n"/>
      <c r="G466" s="20" t="n"/>
      <c r="H466" s="22" t="n"/>
      <c r="I466" s="22" t="n"/>
      <c r="J466" s="21" t="n"/>
      <c r="K466" s="20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20">
        <f>IF(AND(B467="",C467=""),"",ROW()-1)</f>
        <v/>
      </c>
      <c r="B467" s="20" t="n"/>
      <c r="C467" s="21">
        <f>IF(B467="","",VLOOKUP(B467,Projects!$B:$C,2,FALSE()))</f>
        <v/>
      </c>
      <c r="D467" s="21" t="n"/>
      <c r="E467" s="20" t="n"/>
      <c r="F467" s="20" t="n"/>
      <c r="G467" s="20" t="n"/>
      <c r="H467" s="22" t="n"/>
      <c r="I467" s="22" t="n"/>
      <c r="J467" s="21" t="n"/>
      <c r="K467" s="20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20">
        <f>IF(AND(B468="",C468=""),"",ROW()-1)</f>
        <v/>
      </c>
      <c r="B468" s="20" t="n"/>
      <c r="C468" s="21">
        <f>IF(B468="","",VLOOKUP(B468,Projects!$B:$C,2,FALSE()))</f>
        <v/>
      </c>
      <c r="D468" s="21" t="n"/>
      <c r="E468" s="20" t="n"/>
      <c r="F468" s="20" t="n"/>
      <c r="G468" s="20" t="n"/>
      <c r="H468" s="22" t="n"/>
      <c r="I468" s="22" t="n"/>
      <c r="J468" s="21" t="n"/>
      <c r="K468" s="20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20">
        <f>IF(AND(B469="",C469=""),"",ROW()-1)</f>
        <v/>
      </c>
      <c r="B469" s="20" t="n"/>
      <c r="C469" s="21">
        <f>IF(B469="","",VLOOKUP(B469,Projects!$B:$C,2,FALSE()))</f>
        <v/>
      </c>
      <c r="D469" s="21" t="n"/>
      <c r="E469" s="20" t="n"/>
      <c r="F469" s="20" t="n"/>
      <c r="G469" s="20" t="n"/>
      <c r="H469" s="22" t="n"/>
      <c r="I469" s="22" t="n"/>
      <c r="J469" s="21" t="n"/>
      <c r="K469" s="20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20">
        <f>IF(AND(B470="",C470=""),"",ROW()-1)</f>
        <v/>
      </c>
      <c r="B470" s="20" t="n"/>
      <c r="C470" s="21">
        <f>IF(B470="","",VLOOKUP(B470,Projects!$B:$C,2,FALSE()))</f>
        <v/>
      </c>
      <c r="D470" s="21" t="n"/>
      <c r="E470" s="20" t="n"/>
      <c r="F470" s="20" t="n"/>
      <c r="G470" s="20" t="n"/>
      <c r="H470" s="22" t="n"/>
      <c r="I470" s="22" t="n"/>
      <c r="J470" s="21" t="n"/>
      <c r="K470" s="20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20">
        <f>IF(AND(B471="",C471=""),"",ROW()-1)</f>
        <v/>
      </c>
      <c r="B471" s="20" t="n"/>
      <c r="C471" s="21">
        <f>IF(B471="","",VLOOKUP(B471,Projects!$B:$C,2,FALSE()))</f>
        <v/>
      </c>
      <c r="D471" s="21" t="n"/>
      <c r="E471" s="20" t="n"/>
      <c r="F471" s="20" t="n"/>
      <c r="G471" s="20" t="n"/>
      <c r="H471" s="22" t="n"/>
      <c r="I471" s="22" t="n"/>
      <c r="J471" s="21" t="n"/>
      <c r="K471" s="20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20">
        <f>IF(AND(B472="",C472=""),"",ROW()-1)</f>
        <v/>
      </c>
      <c r="B472" s="20" t="n"/>
      <c r="C472" s="21">
        <f>IF(B472="","",VLOOKUP(B472,Projects!$B:$C,2,FALSE()))</f>
        <v/>
      </c>
      <c r="D472" s="21" t="n"/>
      <c r="E472" s="20" t="n"/>
      <c r="F472" s="20" t="n"/>
      <c r="G472" s="20" t="n"/>
      <c r="H472" s="22" t="n"/>
      <c r="I472" s="22" t="n"/>
      <c r="J472" s="21" t="n"/>
      <c r="K472" s="20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20">
        <f>IF(AND(B473="",C473=""),"",ROW()-1)</f>
        <v/>
      </c>
      <c r="B473" s="20" t="n"/>
      <c r="C473" s="21">
        <f>IF(B473="","",VLOOKUP(B473,Projects!$B:$C,2,FALSE()))</f>
        <v/>
      </c>
      <c r="D473" s="21" t="n"/>
      <c r="E473" s="20" t="n"/>
      <c r="F473" s="20" t="n"/>
      <c r="G473" s="20" t="n"/>
      <c r="H473" s="22" t="n"/>
      <c r="I473" s="22" t="n"/>
      <c r="J473" s="21" t="n"/>
      <c r="K473" s="20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20">
        <f>IF(AND(B474="",C474=""),"",ROW()-1)</f>
        <v/>
      </c>
      <c r="B474" s="20" t="n"/>
      <c r="C474" s="21">
        <f>IF(B474="","",VLOOKUP(B474,Projects!$B:$C,2,FALSE()))</f>
        <v/>
      </c>
      <c r="D474" s="21" t="n"/>
      <c r="E474" s="20" t="n"/>
      <c r="F474" s="20" t="n"/>
      <c r="G474" s="20" t="n"/>
      <c r="H474" s="22" t="n"/>
      <c r="I474" s="22" t="n"/>
      <c r="J474" s="21" t="n"/>
      <c r="K474" s="20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20">
        <f>IF(AND(B475="",C475=""),"",ROW()-1)</f>
        <v/>
      </c>
      <c r="B475" s="20" t="n"/>
      <c r="C475" s="21">
        <f>IF(B475="","",VLOOKUP(B475,Projects!$B:$C,2,FALSE()))</f>
        <v/>
      </c>
      <c r="D475" s="21" t="n"/>
      <c r="E475" s="20" t="n"/>
      <c r="F475" s="20" t="n"/>
      <c r="G475" s="20" t="n"/>
      <c r="H475" s="22" t="n"/>
      <c r="I475" s="22" t="n"/>
      <c r="J475" s="21" t="n"/>
      <c r="K475" s="20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20">
        <f>IF(AND(B476="",C476=""),"",ROW()-1)</f>
        <v/>
      </c>
      <c r="B476" s="20" t="n"/>
      <c r="C476" s="21">
        <f>IF(B476="","",VLOOKUP(B476,Projects!$B:$C,2,FALSE()))</f>
        <v/>
      </c>
      <c r="D476" s="21" t="n"/>
      <c r="E476" s="20" t="n"/>
      <c r="F476" s="20" t="n"/>
      <c r="G476" s="20" t="n"/>
      <c r="H476" s="22" t="n"/>
      <c r="I476" s="22" t="n"/>
      <c r="J476" s="21" t="n"/>
      <c r="K476" s="20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20">
        <f>IF(AND(B477="",C477=""),"",ROW()-1)</f>
        <v/>
      </c>
      <c r="B477" s="20" t="n"/>
      <c r="C477" s="21">
        <f>IF(B477="","",VLOOKUP(B477,Projects!$B:$C,2,FALSE()))</f>
        <v/>
      </c>
      <c r="D477" s="21" t="n"/>
      <c r="E477" s="20" t="n"/>
      <c r="F477" s="20" t="n"/>
      <c r="G477" s="20" t="n"/>
      <c r="H477" s="22" t="n"/>
      <c r="I477" s="22" t="n"/>
      <c r="J477" s="21" t="n"/>
      <c r="K477" s="20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20">
        <f>IF(AND(B478="",C478=""),"",ROW()-1)</f>
        <v/>
      </c>
      <c r="B478" s="20" t="n"/>
      <c r="C478" s="21">
        <f>IF(B478="","",VLOOKUP(B478,Projects!$B:$C,2,FALSE()))</f>
        <v/>
      </c>
      <c r="D478" s="21" t="n"/>
      <c r="E478" s="20" t="n"/>
      <c r="F478" s="20" t="n"/>
      <c r="G478" s="20" t="n"/>
      <c r="H478" s="22" t="n"/>
      <c r="I478" s="22" t="n"/>
      <c r="J478" s="21" t="n"/>
      <c r="K478" s="20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20">
        <f>IF(AND(B479="",C479=""),"",ROW()-1)</f>
        <v/>
      </c>
      <c r="B479" s="20" t="n"/>
      <c r="C479" s="21">
        <f>IF(B479="","",VLOOKUP(B479,Projects!$B:$C,2,FALSE()))</f>
        <v/>
      </c>
      <c r="D479" s="21" t="n"/>
      <c r="E479" s="20" t="n"/>
      <c r="F479" s="20" t="n"/>
      <c r="G479" s="20" t="n"/>
      <c r="H479" s="22" t="n"/>
      <c r="I479" s="22" t="n"/>
      <c r="J479" s="21" t="n"/>
      <c r="K479" s="20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20">
        <f>IF(AND(B480="",C480=""),"",ROW()-1)</f>
        <v/>
      </c>
      <c r="B480" s="20" t="n"/>
      <c r="C480" s="21">
        <f>IF(B480="","",VLOOKUP(B480,Projects!$B:$C,2,FALSE()))</f>
        <v/>
      </c>
      <c r="D480" s="21" t="n"/>
      <c r="E480" s="20" t="n"/>
      <c r="F480" s="20" t="n"/>
      <c r="G480" s="20" t="n"/>
      <c r="H480" s="22" t="n"/>
      <c r="I480" s="22" t="n"/>
      <c r="J480" s="21" t="n"/>
      <c r="K480" s="20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20">
        <f>IF(AND(B481="",C481=""),"",ROW()-1)</f>
        <v/>
      </c>
      <c r="B481" s="20" t="n"/>
      <c r="C481" s="21">
        <f>IF(B481="","",VLOOKUP(B481,Projects!$B:$C,2,FALSE()))</f>
        <v/>
      </c>
      <c r="D481" s="21" t="n"/>
      <c r="E481" s="20" t="n"/>
      <c r="F481" s="20" t="n"/>
      <c r="G481" s="20" t="n"/>
      <c r="H481" s="22" t="n"/>
      <c r="I481" s="22" t="n"/>
      <c r="J481" s="21" t="n"/>
      <c r="K481" s="20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20">
        <f>IF(AND(B482="",C482=""),"",ROW()-1)</f>
        <v/>
      </c>
      <c r="B482" s="20" t="n"/>
      <c r="C482" s="21">
        <f>IF(B482="","",VLOOKUP(B482,Projects!$B:$C,2,FALSE()))</f>
        <v/>
      </c>
      <c r="D482" s="21" t="n"/>
      <c r="E482" s="20" t="n"/>
      <c r="F482" s="20" t="n"/>
      <c r="G482" s="20" t="n"/>
      <c r="H482" s="22" t="n"/>
      <c r="I482" s="22" t="n"/>
      <c r="J482" s="21" t="n"/>
      <c r="K482" s="20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20">
        <f>IF(AND(B483="",C483=""),"",ROW()-1)</f>
        <v/>
      </c>
      <c r="B483" s="20" t="n"/>
      <c r="C483" s="21">
        <f>IF(B483="","",VLOOKUP(B483,Projects!$B:$C,2,FALSE()))</f>
        <v/>
      </c>
      <c r="D483" s="21" t="n"/>
      <c r="E483" s="20" t="n"/>
      <c r="F483" s="20" t="n"/>
      <c r="G483" s="20" t="n"/>
      <c r="H483" s="22" t="n"/>
      <c r="I483" s="22" t="n"/>
      <c r="J483" s="21" t="n"/>
      <c r="K483" s="20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20">
        <f>IF(AND(B484="",C484=""),"",ROW()-1)</f>
        <v/>
      </c>
      <c r="B484" s="20" t="n"/>
      <c r="C484" s="21">
        <f>IF(B484="","",VLOOKUP(B484,Projects!$B:$C,2,FALSE()))</f>
        <v/>
      </c>
      <c r="D484" s="21" t="n"/>
      <c r="E484" s="20" t="n"/>
      <c r="F484" s="20" t="n"/>
      <c r="G484" s="20" t="n"/>
      <c r="H484" s="22" t="n"/>
      <c r="I484" s="22" t="n"/>
      <c r="J484" s="21" t="n"/>
      <c r="K484" s="20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20">
        <f>IF(AND(B485="",C485=""),"",ROW()-1)</f>
        <v/>
      </c>
      <c r="B485" s="20" t="n"/>
      <c r="C485" s="21">
        <f>IF(B485="","",VLOOKUP(B485,Projects!$B:$C,2,FALSE()))</f>
        <v/>
      </c>
      <c r="D485" s="21" t="n"/>
      <c r="E485" s="20" t="n"/>
      <c r="F485" s="20" t="n"/>
      <c r="G485" s="20" t="n"/>
      <c r="H485" s="22" t="n"/>
      <c r="I485" s="22" t="n"/>
      <c r="J485" s="21" t="n"/>
      <c r="K485" s="20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20">
        <f>IF(AND(B486="",C486=""),"",ROW()-1)</f>
        <v/>
      </c>
      <c r="B486" s="20" t="n"/>
      <c r="C486" s="21">
        <f>IF(B486="","",VLOOKUP(B486,Projects!$B:$C,2,FALSE()))</f>
        <v/>
      </c>
      <c r="D486" s="21" t="n"/>
      <c r="E486" s="20" t="n"/>
      <c r="F486" s="20" t="n"/>
      <c r="G486" s="20" t="n"/>
      <c r="H486" s="22" t="n"/>
      <c r="I486" s="22" t="n"/>
      <c r="J486" s="21" t="n"/>
      <c r="K486" s="20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20">
        <f>IF(AND(B487="",C487=""),"",ROW()-1)</f>
        <v/>
      </c>
      <c r="B487" s="20" t="n"/>
      <c r="C487" s="21">
        <f>IF(B487="","",VLOOKUP(B487,Projects!$B:$C,2,FALSE()))</f>
        <v/>
      </c>
      <c r="D487" s="21" t="n"/>
      <c r="E487" s="20" t="n"/>
      <c r="F487" s="20" t="n"/>
      <c r="G487" s="20" t="n"/>
      <c r="H487" s="22" t="n"/>
      <c r="I487" s="22" t="n"/>
      <c r="J487" s="21" t="n"/>
      <c r="K487" s="20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20">
        <f>IF(AND(B488="",C488=""),"",ROW()-1)</f>
        <v/>
      </c>
      <c r="B488" s="20" t="n"/>
      <c r="C488" s="21">
        <f>IF(B488="","",VLOOKUP(B488,Projects!$B:$C,2,FALSE()))</f>
        <v/>
      </c>
      <c r="D488" s="21" t="n"/>
      <c r="E488" s="20" t="n"/>
      <c r="F488" s="20" t="n"/>
      <c r="G488" s="20" t="n"/>
      <c r="H488" s="22" t="n"/>
      <c r="I488" s="22" t="n"/>
      <c r="J488" s="21" t="n"/>
      <c r="K488" s="20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20">
        <f>IF(AND(B489="",C489=""),"",ROW()-1)</f>
        <v/>
      </c>
      <c r="B489" s="20" t="n"/>
      <c r="C489" s="21">
        <f>IF(B489="","",VLOOKUP(B489,Projects!$B:$C,2,FALSE()))</f>
        <v/>
      </c>
      <c r="D489" s="21" t="n"/>
      <c r="E489" s="20" t="n"/>
      <c r="F489" s="20" t="n"/>
      <c r="G489" s="20" t="n"/>
      <c r="H489" s="22" t="n"/>
      <c r="I489" s="22" t="n"/>
      <c r="J489" s="21" t="n"/>
      <c r="K489" s="20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20">
        <f>IF(AND(B490="",C490=""),"",ROW()-1)</f>
        <v/>
      </c>
      <c r="B490" s="20" t="n"/>
      <c r="C490" s="21">
        <f>IF(B490="","",VLOOKUP(B490,Projects!$B:$C,2,FALSE()))</f>
        <v/>
      </c>
      <c r="D490" s="21" t="n"/>
      <c r="E490" s="20" t="n"/>
      <c r="F490" s="20" t="n"/>
      <c r="G490" s="20" t="n"/>
      <c r="H490" s="22" t="n"/>
      <c r="I490" s="22" t="n"/>
      <c r="J490" s="21" t="n"/>
      <c r="K490" s="20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20">
        <f>IF(AND(B491="",C491=""),"",ROW()-1)</f>
        <v/>
      </c>
      <c r="B491" s="20" t="n"/>
      <c r="C491" s="21">
        <f>IF(B491="","",VLOOKUP(B491,Projects!$B:$C,2,FALSE()))</f>
        <v/>
      </c>
      <c r="D491" s="21" t="n"/>
      <c r="E491" s="20" t="n"/>
      <c r="F491" s="20" t="n"/>
      <c r="G491" s="20" t="n"/>
      <c r="H491" s="22" t="n"/>
      <c r="I491" s="22" t="n"/>
      <c r="J491" s="21" t="n"/>
      <c r="K491" s="20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20">
        <f>IF(AND(B492="",C492=""),"",ROW()-1)</f>
        <v/>
      </c>
      <c r="B492" s="20" t="n"/>
      <c r="C492" s="21">
        <f>IF(B492="","",VLOOKUP(B492,Projects!$B:$C,2,FALSE()))</f>
        <v/>
      </c>
      <c r="D492" s="21" t="n"/>
      <c r="E492" s="20" t="n"/>
      <c r="F492" s="20" t="n"/>
      <c r="G492" s="20" t="n"/>
      <c r="H492" s="22" t="n"/>
      <c r="I492" s="22" t="n"/>
      <c r="J492" s="21" t="n"/>
      <c r="K492" s="20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20">
        <f>IF(AND(B493="",C493=""),"",ROW()-1)</f>
        <v/>
      </c>
      <c r="B493" s="20" t="n"/>
      <c r="C493" s="21">
        <f>IF(B493="","",VLOOKUP(B493,Projects!$B:$C,2,FALSE()))</f>
        <v/>
      </c>
      <c r="D493" s="21" t="n"/>
      <c r="E493" s="20" t="n"/>
      <c r="F493" s="20" t="n"/>
      <c r="G493" s="20" t="n"/>
      <c r="H493" s="22" t="n"/>
      <c r="I493" s="22" t="n"/>
      <c r="J493" s="21" t="n"/>
      <c r="K493" s="20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20">
        <f>IF(AND(B494="",C494=""),"",ROW()-1)</f>
        <v/>
      </c>
      <c r="B494" s="20" t="n"/>
      <c r="C494" s="21">
        <f>IF(B494="","",VLOOKUP(B494,Projects!$B:$C,2,FALSE()))</f>
        <v/>
      </c>
      <c r="D494" s="21" t="n"/>
      <c r="E494" s="20" t="n"/>
      <c r="F494" s="20" t="n"/>
      <c r="G494" s="20" t="n"/>
      <c r="H494" s="22" t="n"/>
      <c r="I494" s="22" t="n"/>
      <c r="J494" s="21" t="n"/>
      <c r="K494" s="20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20">
        <f>IF(AND(B495="",C495=""),"",ROW()-1)</f>
        <v/>
      </c>
      <c r="B495" s="20" t="n"/>
      <c r="C495" s="21">
        <f>IF(B495="","",VLOOKUP(B495,Projects!$B:$C,2,FALSE()))</f>
        <v/>
      </c>
      <c r="D495" s="21" t="n"/>
      <c r="E495" s="20" t="n"/>
      <c r="F495" s="20" t="n"/>
      <c r="G495" s="20" t="n"/>
      <c r="H495" s="22" t="n"/>
      <c r="I495" s="22" t="n"/>
      <c r="J495" s="21" t="n"/>
      <c r="K495" s="20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20">
        <f>IF(AND(B496="",C496=""),"",ROW()-1)</f>
        <v/>
      </c>
      <c r="B496" s="20" t="n"/>
      <c r="C496" s="21">
        <f>IF(B496="","",VLOOKUP(B496,Projects!$B:$C,2,FALSE()))</f>
        <v/>
      </c>
      <c r="D496" s="21" t="n"/>
      <c r="E496" s="20" t="n"/>
      <c r="F496" s="20" t="n"/>
      <c r="G496" s="20" t="n"/>
      <c r="H496" s="22" t="n"/>
      <c r="I496" s="22" t="n"/>
      <c r="J496" s="21" t="n"/>
      <c r="K496" s="20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20">
        <f>IF(AND(B497="",C497=""),"",ROW()-1)</f>
        <v/>
      </c>
      <c r="B497" s="20" t="n"/>
      <c r="C497" s="21">
        <f>IF(B497="","",VLOOKUP(B497,Projects!$B:$C,2,FALSE()))</f>
        <v/>
      </c>
      <c r="D497" s="21" t="n"/>
      <c r="E497" s="20" t="n"/>
      <c r="F497" s="20" t="n"/>
      <c r="G497" s="20" t="n"/>
      <c r="H497" s="22" t="n"/>
      <c r="I497" s="22" t="n"/>
      <c r="J497" s="21" t="n"/>
      <c r="K497" s="20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20">
        <f>IF(AND(B498="",C498=""),"",ROW()-1)</f>
        <v/>
      </c>
      <c r="B498" s="20" t="n"/>
      <c r="C498" s="21">
        <f>IF(B498="","",VLOOKUP(B498,Projects!$B:$C,2,FALSE()))</f>
        <v/>
      </c>
      <c r="D498" s="21" t="n"/>
      <c r="E498" s="20" t="n"/>
      <c r="F498" s="20" t="n"/>
      <c r="G498" s="20" t="n"/>
      <c r="H498" s="22" t="n"/>
      <c r="I498" s="22" t="n"/>
      <c r="J498" s="21" t="n"/>
      <c r="K498" s="20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20">
        <f>IF(AND(B499="",C499=""),"",ROW()-1)</f>
        <v/>
      </c>
      <c r="B499" s="20" t="n"/>
      <c r="C499" s="21">
        <f>IF(B499="","",VLOOKUP(B499,Projects!$B:$C,2,FALSE()))</f>
        <v/>
      </c>
      <c r="D499" s="21" t="n"/>
      <c r="E499" s="20" t="n"/>
      <c r="F499" s="20" t="n"/>
      <c r="G499" s="20" t="n"/>
      <c r="H499" s="22" t="n"/>
      <c r="I499" s="22" t="n"/>
      <c r="J499" s="21" t="n"/>
      <c r="K499" s="20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20">
        <f>IF(AND(B500="",C500=""),"",ROW()-1)</f>
        <v/>
      </c>
      <c r="B500" s="20" t="n"/>
      <c r="C500" s="21">
        <f>IF(B500="","",VLOOKUP(B500,Projects!$B:$C,2,FALSE()))</f>
        <v/>
      </c>
      <c r="D500" s="21" t="n"/>
      <c r="E500" s="20" t="n"/>
      <c r="F500" s="20" t="n"/>
      <c r="G500" s="20" t="n"/>
      <c r="H500" s="22" t="n"/>
      <c r="I500" s="22" t="n"/>
      <c r="J500" s="21" t="n"/>
      <c r="K500" s="20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>
        <f>IF(AND(B501="",C501=""),"",ROW()-1)</f>
        <v/>
      </c>
      <c r="B501" s="9" t="n"/>
      <c r="C501" s="9">
        <f>IF(B501="","",VLOOKUP(B501,Projects!$B:$C,2,FALSE()))</f>
        <v/>
      </c>
      <c r="D501" s="11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11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11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11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11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11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11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11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11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11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11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11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11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11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11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11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11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11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11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11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11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11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11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11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11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11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11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11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11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11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11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11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11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11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11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11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11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11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11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11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11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11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11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11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11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11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11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11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11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11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11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11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11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11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11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11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11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11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11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11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11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11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11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11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11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11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11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11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11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11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11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11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11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11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11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11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11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11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11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11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11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11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11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11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11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11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11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11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11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11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11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11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11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11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11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11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11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11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11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11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11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11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11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11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11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11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11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11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11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11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11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11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11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11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11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11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11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11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11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11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11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11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11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11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11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11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11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11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11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11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11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11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11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11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11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11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11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11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11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11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11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11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11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11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11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11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11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11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11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11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11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11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11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11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11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11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11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11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11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11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11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11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11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11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11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11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11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11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11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11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11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11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11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11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11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11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11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11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11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11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11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11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11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11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11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11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11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11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11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11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11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11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11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11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11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11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11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11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11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11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11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11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11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11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11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11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11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11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11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11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11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11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11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11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11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11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11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11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11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11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11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11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11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11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11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11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11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11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11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11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11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11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11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11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11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11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11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11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11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11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11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11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11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11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11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11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11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11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11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11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11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11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11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11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11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11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11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11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11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11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11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11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11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11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11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11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11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11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11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11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11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11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11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11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11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11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11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11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11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11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11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11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11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11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11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11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11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11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11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11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11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11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11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11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11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11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11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11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11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11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11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11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11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11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11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11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11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11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11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11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11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11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11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11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11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11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11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11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11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11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11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11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11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11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11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11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11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11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11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11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11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11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11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11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11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11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11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11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11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11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11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11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11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11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11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11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11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11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11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11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11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11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11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11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11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11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11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11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11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11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11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11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11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11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11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11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11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11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11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11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11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11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11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11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11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11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11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11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11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11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11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11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11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11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11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11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11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11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11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11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11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11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11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11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11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11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11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11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11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11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11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11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11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11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11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11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11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11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11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11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11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11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11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11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11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11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11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11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11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11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11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11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11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11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11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11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11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11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11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11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11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11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11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11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11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11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11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11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11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11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11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11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11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11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11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11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11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11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11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11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11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11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11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11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11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11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11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11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11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11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11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11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11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11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11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11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11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11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11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11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11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11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11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11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11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11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11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11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11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11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11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11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11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11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11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11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11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11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11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11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11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11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11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11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11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11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11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11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11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11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K501"/>
  <conditionalFormatting sqref="G2:G501">
    <cfRule type="cellIs" priority="1" operator="equal" dxfId="12">
      <formula>"Open"</formula>
    </cfRule>
    <cfRule type="cellIs" priority="2" operator="equal" dxfId="10">
      <formula>"Doing"</formula>
    </cfRule>
    <cfRule type="cellIs" priority="3" operator="equal" dxfId="13">
      <formula>"Pending"</formula>
    </cfRule>
    <cfRule type="cellIs" priority="4" operator="equal" dxfId="9">
      <formula>"Bug"</formula>
    </cfRule>
    <cfRule type="cellIs" priority="5" operator="equal" dxfId="11">
      <formula>"Done"</formula>
    </cfRule>
  </conditionalFormatting>
  <conditionalFormatting sqref="K2:K501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11">
      <formula>"Low"</formula>
    </cfRule>
  </conditionalFormatting>
  <dataValidations count="4">
    <dataValidation sqref="E2:E501" showDropDown="0" showInputMessage="0" showErrorMessage="0" allowBlank="1" type="list">
      <formula1>HR!$C$2:$C$100</formula1>
    </dataValidation>
    <dataValidation sqref="B2:B501" showDropDown="0" showInputMessage="0" showErrorMessage="0" allowBlank="1" type="list">
      <formula1>Projects!$B$2:$B$100</formula1>
    </dataValidation>
    <dataValidation sqref="G2:G501" showDropDown="0" showInputMessage="0" showErrorMessage="0" allowBlank="1" type="list">
      <formula1>"Open,Doing,Pending,Bug,Done"</formula1>
    </dataValidation>
    <dataValidation sqref="K2:K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BA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ColWidth="14.43" defaultRowHeight="15" customHeight="1"/>
  <cols>
    <col width="6" customWidth="1" style="18" min="1" max="1"/>
    <col width="12" customWidth="1" style="18" min="2" max="2"/>
    <col width="45" customWidth="1" style="18" min="3" max="3"/>
    <col width="20.86" customWidth="1" style="18" min="4" max="10"/>
    <col width="18" customWidth="1" style="18" min="11" max="53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>
        <f t="array" ref="D1">IF(INDEX(HR!$B$2:$B$100,COLUMN()-3)="","",INDEX(HR!$B$2:$B$100,COLUMN()-3))</f>
        <v/>
      </c>
      <c r="E1" s="19">
        <f t="array" ref="E1">IF(INDEX(HR!$B$2:$B$100,COLUMN()-3)="","",INDEX(HR!$B$2:$B$100,COLUMN()-3))</f>
        <v/>
      </c>
      <c r="F1" s="19">
        <f t="array" ref="F1">IF(INDEX(HR!$B$2:$B$100,COLUMN()-3)="","",INDEX(HR!$B$2:$B$100,COLUMN()-3))</f>
        <v/>
      </c>
      <c r="G1" s="19">
        <f t="array" ref="G1">IF(INDEX(HR!$B$2:$B$100,COLUMN()-3)="","",INDEX(HR!$B$2:$B$100,COLUMN()-3))</f>
        <v/>
      </c>
      <c r="H1" s="19">
        <f t="array" ref="H1">IF(INDEX(HR!$B$2:$B$100,COLUMN()-3)="","",INDEX(HR!$B$2:$B$100,COLUMN()-3))</f>
        <v/>
      </c>
      <c r="I1" s="19">
        <f t="array" ref="I1">IF(INDEX(HR!$B$2:$B$100,COLUMN()-3)="","",INDEX(HR!$B$2:$B$100,COLUMN()-3))</f>
        <v/>
      </c>
      <c r="J1" s="19">
        <f t="array" ref="J1">IF(INDEX(HR!$B$2:$B$100,COLUMN()-3)="","",INDEX(HR!$B$2:$B$100,COLUMN()-3))</f>
        <v/>
      </c>
      <c r="K1" s="19">
        <f t="array" ref="K1">IF(INDEX(HR!$B$2:$B$100,COLUMN()-3)="","",INDEX(HR!$B$2:$B$100,COLUMN()-3))</f>
        <v/>
      </c>
      <c r="L1" s="19">
        <f t="array" ref="L1">IF(INDEX(HR!$B$2:$B$100,COLUMN()-3)="","",INDEX(HR!$B$2:$B$100,COLUMN()-3))</f>
        <v/>
      </c>
      <c r="M1" s="19">
        <f t="array" ref="M1">IF(INDEX(HR!$B$2:$B$100,COLUMN()-3)="","",INDEX(HR!$B$2:$B$100,COLUMN()-3))</f>
        <v/>
      </c>
      <c r="N1" s="19">
        <f t="array" ref="N1">IF(INDEX(HR!$B$2:$B$100,COLUMN()-3)="","",INDEX(HR!$B$2:$B$100,COLUMN()-3))</f>
        <v/>
      </c>
      <c r="O1" s="19">
        <f t="array" ref="O1">IF(INDEX(HR!$B$2:$B$100,COLUMN()-3)="","",INDEX(HR!$B$2:$B$100,COLUMN()-3))</f>
        <v/>
      </c>
      <c r="P1" s="19">
        <f t="array" ref="P1">IF(INDEX(HR!$B$2:$B$100,COLUMN()-3)="","",INDEX(HR!$B$2:$B$100,COLUMN()-3))</f>
        <v/>
      </c>
      <c r="Q1" s="19">
        <f t="array" ref="Q1">IF(INDEX(HR!$B$2:$B$100,COLUMN()-3)="","",INDEX(HR!$B$2:$B$100,COLUMN()-3))</f>
        <v/>
      </c>
      <c r="R1" s="19">
        <f t="array" ref="R1">IF(INDEX(HR!$B$2:$B$100,COLUMN()-3)="","",INDEX(HR!$B$2:$B$100,COLUMN()-3))</f>
        <v/>
      </c>
      <c r="S1" s="19">
        <f t="array" ref="S1">IF(INDEX(HR!$B$2:$B$100,COLUMN()-3)="","",INDEX(HR!$B$2:$B$100,COLUMN()-3))</f>
        <v/>
      </c>
      <c r="T1" s="19">
        <f t="array" ref="T1">IF(INDEX(HR!$B$2:$B$100,COLUMN()-3)="","",INDEX(HR!$B$2:$B$100,COLUMN()-3))</f>
        <v/>
      </c>
      <c r="U1" s="19">
        <f t="array" ref="U1">IF(INDEX(HR!$B$2:$B$100,COLUMN()-3)="","",INDEX(HR!$B$2:$B$100,COLUMN()-3))</f>
        <v/>
      </c>
      <c r="V1" s="19">
        <f t="array" ref="V1">IF(INDEX(HR!$B$2:$B$100,COLUMN()-3)="","",INDEX(HR!$B$2:$B$100,COLUMN()-3))</f>
        <v/>
      </c>
      <c r="W1" s="19">
        <f t="array" ref="W1">IF(INDEX(HR!$B$2:$B$100,COLUMN()-3)="","",INDEX(HR!$B$2:$B$100,COLUMN()-3))</f>
        <v/>
      </c>
      <c r="X1" s="19">
        <f t="array" ref="X1">IF(INDEX(HR!$B$2:$B$100,COLUMN()-3)="","",INDEX(HR!$B$2:$B$100,COLUMN()-3))</f>
        <v/>
      </c>
      <c r="Y1" s="19">
        <f t="array" ref="Y1">IF(INDEX(HR!$B$2:$B$100,COLUMN()-3)="","",INDEX(HR!$B$2:$B$100,COLUMN()-3))</f>
        <v/>
      </c>
      <c r="Z1" s="19">
        <f t="array" ref="Z1">IF(INDEX(HR!$B$2:$B$100,COLUMN()-3)="","",INDEX(HR!$B$2:$B$100,COLUMN()-3))</f>
        <v/>
      </c>
      <c r="AA1" s="19">
        <f t="array" ref="AA1">IF(INDEX(HR!$B$2:$B$100,COLUMN()-3)="","",INDEX(HR!$B$2:$B$100,COLUMN()-3))</f>
        <v/>
      </c>
      <c r="AB1" s="19">
        <f t="array" ref="AB1">IF(INDEX(HR!$B$2:$B$100,COLUMN()-3)="","",INDEX(HR!$B$2:$B$100,COLUMN()-3))</f>
        <v/>
      </c>
      <c r="AC1" s="19">
        <f t="array" ref="AC1">IF(INDEX(HR!$B$2:$B$100,COLUMN()-3)="","",INDEX(HR!$B$2:$B$100,COLUMN()-3))</f>
        <v/>
      </c>
      <c r="AD1" s="19">
        <f t="array" ref="AD1">IF(INDEX(HR!$B$2:$B$100,COLUMN()-3)="","",INDEX(HR!$B$2:$B$100,COLUMN()-3))</f>
        <v/>
      </c>
      <c r="AE1" s="19">
        <f t="array" ref="AE1">IF(INDEX(HR!$B$2:$B$100,COLUMN()-3)="","",INDEX(HR!$B$2:$B$100,COLUMN()-3))</f>
        <v/>
      </c>
      <c r="AF1" s="19">
        <f t="array" ref="AF1">IF(INDEX(HR!$B$2:$B$100,COLUMN()-3)="","",INDEX(HR!$B$2:$B$100,COLUMN()-3))</f>
        <v/>
      </c>
      <c r="AG1" s="19">
        <f t="array" ref="AG1">IF(INDEX(HR!$B$2:$B$100,COLUMN()-3)="","",INDEX(HR!$B$2:$B$100,COLUMN()-3))</f>
        <v/>
      </c>
      <c r="AH1" s="19">
        <f t="array" ref="AH1">IF(INDEX(HR!$B$2:$B$100,COLUMN()-3)="","",INDEX(HR!$B$2:$B$100,COLUMN()-3))</f>
        <v/>
      </c>
      <c r="AI1" s="19">
        <f t="array" ref="AI1">IF(INDEX(HR!$B$2:$B$100,COLUMN()-3)="","",INDEX(HR!$B$2:$B$100,COLUMN()-3))</f>
        <v/>
      </c>
      <c r="AJ1" s="19">
        <f t="array" ref="AJ1">IF(INDEX(HR!$B$2:$B$100,COLUMN()-3)="","",INDEX(HR!$B$2:$B$100,COLUMN()-3))</f>
        <v/>
      </c>
      <c r="AK1" s="19">
        <f t="array" ref="AK1">IF(INDEX(HR!$B$2:$B$100,COLUMN()-3)="","",INDEX(HR!$B$2:$B$100,COLUMN()-3))</f>
        <v/>
      </c>
      <c r="AL1" s="19">
        <f t="array" ref="AL1">IF(INDEX(HR!$B$2:$B$100,COLUMN()-3)="","",INDEX(HR!$B$2:$B$100,COLUMN()-3))</f>
        <v/>
      </c>
      <c r="AM1" s="19">
        <f t="array" ref="AM1">IF(INDEX(HR!$B$2:$B$100,COLUMN()-3)="","",INDEX(HR!$B$2:$B$100,COLUMN()-3))</f>
        <v/>
      </c>
      <c r="AN1" s="19">
        <f t="array" ref="AN1">IF(INDEX(HR!$B$2:$B$100,COLUMN()-3)="","",INDEX(HR!$B$2:$B$100,COLUMN()-3))</f>
        <v/>
      </c>
      <c r="AO1" s="19">
        <f t="array" ref="AO1">IF(INDEX(HR!$B$2:$B$100,COLUMN()-3)="","",INDEX(HR!$B$2:$B$100,COLUMN()-3))</f>
        <v/>
      </c>
      <c r="AP1" s="19">
        <f t="array" ref="AP1">IF(INDEX(HR!$B$2:$B$100,COLUMN()-3)="","",INDEX(HR!$B$2:$B$100,COLUMN()-3))</f>
        <v/>
      </c>
      <c r="AQ1" s="19">
        <f t="array" ref="AQ1">IF(INDEX(HR!$B$2:$B$100,COLUMN()-3)="","",INDEX(HR!$B$2:$B$100,COLUMN()-3))</f>
        <v/>
      </c>
      <c r="AR1" s="19">
        <f t="array" ref="AR1">IF(INDEX(HR!$B$2:$B$100,COLUMN()-3)="","",INDEX(HR!$B$2:$B$100,COLUMN()-3))</f>
        <v/>
      </c>
      <c r="AS1" s="19">
        <f t="array" ref="AS1">IF(INDEX(HR!$B$2:$B$100,COLUMN()-3)="","",INDEX(HR!$B$2:$B$100,COLUMN()-3))</f>
        <v/>
      </c>
      <c r="AT1" s="19">
        <f t="array" ref="AT1">IF(INDEX(HR!$B$2:$B$100,COLUMN()-3)="","",INDEX(HR!$B$2:$B$100,COLUMN()-3))</f>
        <v/>
      </c>
      <c r="AU1" s="19">
        <f t="array" ref="AU1">IF(INDEX(HR!$B$2:$B$100,COLUMN()-3)="","",INDEX(HR!$B$2:$B$100,COLUMN()-3))</f>
        <v/>
      </c>
      <c r="AV1" s="19">
        <f t="array" ref="AV1">IF(INDEX(HR!$B$2:$B$100,COLUMN()-3)="","",INDEX(HR!$B$2:$B$100,COLUMN()-3))</f>
        <v/>
      </c>
      <c r="AW1" s="19">
        <f t="array" ref="AW1">IF(INDEX(HR!$B$2:$B$100,COLUMN()-3)="","",INDEX(HR!$B$2:$B$100,COLUMN()-3))</f>
        <v/>
      </c>
      <c r="AX1" s="19">
        <f t="array" ref="AX1">IF(INDEX(HR!$B$2:$B$100,COLUMN()-3)="","",INDEX(HR!$B$2:$B$100,COLUMN()-3))</f>
        <v/>
      </c>
      <c r="AY1" s="19">
        <f t="array" ref="AY1">IF(INDEX(HR!$B$2:$B$100,COLUMN()-3)="","",INDEX(HR!$B$2:$B$100,COLUMN()-3))</f>
        <v/>
      </c>
      <c r="AZ1" s="19">
        <f t="array" ref="AZ1">IF(INDEX(HR!$B$2:$B$100,COLUMN()-3)="","",INDEX(HR!$B$2:$B$100,COLUMN()-3))</f>
        <v/>
      </c>
      <c r="BA1" s="19">
        <f t="array" ref="BA1">IF(INDEX(HR!$B$2:$B$100,COLUMN()-3)="","",INDEX(HR!$B$2:$B$100,COLUMN()-3))</f>
        <v/>
      </c>
    </row>
    <row r="2" ht="15" customHeight="1" s="18">
      <c r="A2" s="20">
        <f>IF(Projects!A2="","",Projects!A2)</f>
        <v/>
      </c>
      <c r="B2" s="20">
        <f>IF(Projects!B2="","",Projects!B2)</f>
        <v/>
      </c>
      <c r="C2" s="21">
        <f>IF(Projects!C2="","",Projects!C2)</f>
        <v/>
      </c>
      <c r="D2" s="20" t="n"/>
      <c r="E2" s="20" t="inlineStr">
        <is>
          <t>R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  <c r="AA2" s="20" t="n"/>
      <c r="AB2" s="20" t="n"/>
      <c r="AC2" s="20" t="n"/>
      <c r="AD2" s="20" t="n"/>
      <c r="AE2" s="20" t="n"/>
      <c r="AF2" s="20" t="n"/>
      <c r="AG2" s="20" t="n"/>
      <c r="AH2" s="20" t="n"/>
      <c r="AI2" s="20" t="n"/>
      <c r="AJ2" s="20" t="n"/>
      <c r="AK2" s="20" t="n"/>
      <c r="AL2" s="20" t="n"/>
      <c r="AM2" s="20" t="n"/>
      <c r="AN2" s="20" t="n"/>
      <c r="AO2" s="20" t="n"/>
      <c r="AP2" s="20" t="n"/>
      <c r="AQ2" s="20" t="n"/>
      <c r="AR2" s="20" t="n"/>
      <c r="AS2" s="20" t="n"/>
      <c r="AT2" s="20" t="n"/>
      <c r="AU2" s="20" t="n"/>
      <c r="AV2" s="20" t="n"/>
      <c r="AW2" s="20" t="n"/>
      <c r="AX2" s="20" t="n"/>
      <c r="AY2" s="20" t="n"/>
      <c r="AZ2" s="20" t="n"/>
      <c r="BA2" s="20" t="n"/>
    </row>
    <row r="3" ht="15" customHeight="1" s="18">
      <c r="A3" s="20">
        <f>IF(Projects!A3="","",Projects!A3)</f>
        <v/>
      </c>
      <c r="B3" s="20">
        <f>IF(Projects!B3="","",Projects!B3)</f>
        <v/>
      </c>
      <c r="C3" s="21">
        <f>IF(Projects!C3="","",Projects!C3)</f>
        <v/>
      </c>
      <c r="D3" s="20" t="n"/>
      <c r="E3" s="20" t="inlineStr">
        <is>
          <t>R</t>
        </is>
      </c>
      <c r="F3" s="20" t="inlineStr">
        <is>
          <t>S</t>
        </is>
      </c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</row>
    <row r="4" ht="15" customHeight="1" s="18">
      <c r="A4" s="20">
        <f>IF(Projects!A4="","",Projects!A4)</f>
        <v/>
      </c>
      <c r="B4" s="20">
        <f>IF(Projects!B4="","",Projects!B4)</f>
        <v/>
      </c>
      <c r="C4" s="21">
        <f>IF(Projects!C4="","",Projects!C4)</f>
        <v/>
      </c>
      <c r="D4" s="20" t="inlineStr">
        <is>
          <t>R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</row>
    <row r="5" ht="15" customHeight="1" s="18">
      <c r="A5" s="20">
        <f>IF(Projects!A5="","",Projects!A5)</f>
        <v/>
      </c>
      <c r="B5" s="20">
        <f>IF(Projects!B5="","",Projects!B5)</f>
        <v/>
      </c>
      <c r="C5" s="21">
        <f>IF(Projects!C5="","",Projects!C5)</f>
        <v/>
      </c>
      <c r="D5" s="20" t="n"/>
      <c r="E5" s="20" t="inlineStr">
        <is>
          <t>R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  <c r="AX5" s="20" t="n"/>
      <c r="AY5" s="20" t="n"/>
      <c r="AZ5" s="20" t="n"/>
      <c r="BA5" s="20" t="n"/>
    </row>
    <row r="6" ht="15" customHeight="1" s="18">
      <c r="A6" s="20">
        <f>IF(Projects!A6="","",Projects!A6)</f>
        <v/>
      </c>
      <c r="B6" s="20">
        <f>IF(Projects!B6="","",Projects!B6)</f>
        <v/>
      </c>
      <c r="C6" s="21">
        <f>IF(Projects!C6="","",Projects!C6)</f>
        <v/>
      </c>
      <c r="D6" s="20" t="n"/>
      <c r="E6" s="20" t="inlineStr">
        <is>
          <t>R</t>
        </is>
      </c>
      <c r="F6" s="20" t="inlineStr">
        <is>
          <t>S</t>
        </is>
      </c>
      <c r="G6" s="20" t="n"/>
      <c r="H6" s="20" t="inlineStr">
        <is>
          <t>R</t>
        </is>
      </c>
      <c r="I6" s="20" t="inlineStr">
        <is>
          <t>S</t>
        </is>
      </c>
      <c r="J6" s="20" t="inlineStr">
        <is>
          <t>S</t>
        </is>
      </c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</row>
    <row r="7" ht="15" customHeight="1" s="18">
      <c r="A7" s="20">
        <f>IF(Projects!A7="","",Projects!A7)</f>
        <v/>
      </c>
      <c r="B7" s="20">
        <f>IF(Projects!B7="","",Projects!B7)</f>
        <v/>
      </c>
      <c r="C7" s="21">
        <f>IF(Projects!C7="","",Projects!C7)</f>
        <v/>
      </c>
      <c r="D7" s="20" t="inlineStr">
        <is>
          <t>R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  <c r="AX7" s="20" t="n"/>
      <c r="AY7" s="20" t="n"/>
      <c r="AZ7" s="20" t="n"/>
      <c r="BA7" s="20" t="n"/>
    </row>
    <row r="8" ht="15" customHeight="1" s="18">
      <c r="A8" s="20">
        <f>IF(Projects!A8="","",Projects!A8)</f>
        <v/>
      </c>
      <c r="B8" s="20">
        <f>IF(Projects!B8="","",Projects!B8)</f>
        <v/>
      </c>
      <c r="C8" s="21">
        <f>IF(Projects!C8="","",Projects!C8)</f>
        <v/>
      </c>
      <c r="D8" s="20" t="n"/>
      <c r="E8" s="20" t="inlineStr">
        <is>
          <t>R</t>
        </is>
      </c>
      <c r="F8" s="20" t="n"/>
      <c r="G8" s="20" t="n"/>
      <c r="H8" s="20" t="inlineStr">
        <is>
          <t>R</t>
        </is>
      </c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20" t="n"/>
      <c r="AZ8" s="20" t="n"/>
      <c r="BA8" s="20" t="n"/>
    </row>
    <row r="9" ht="15" customHeight="1" s="18">
      <c r="A9" s="20">
        <f>IF(Projects!A9="","",Projects!A9)</f>
        <v/>
      </c>
      <c r="B9" s="20">
        <f>IF(Projects!B9="","",Projects!B9)</f>
        <v/>
      </c>
      <c r="C9" s="21">
        <f>IF(Projects!C9="","",Projects!C9)</f>
        <v/>
      </c>
      <c r="D9" s="20" t="n"/>
      <c r="E9" s="20" t="inlineStr">
        <is>
          <t>R</t>
        </is>
      </c>
      <c r="F9" s="20" t="inlineStr">
        <is>
          <t>R</t>
        </is>
      </c>
      <c r="G9" s="20" t="n"/>
      <c r="H9" s="20" t="n"/>
      <c r="I9" s="20" t="inlineStr">
        <is>
          <t>S</t>
        </is>
      </c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</row>
    <row r="10" ht="15" customHeight="1" s="18">
      <c r="A10" s="20">
        <f>IF(Projects!A10="","",Projects!A10)</f>
        <v/>
      </c>
      <c r="B10" s="20">
        <f>IF(Projects!B10="","",Projects!B10)</f>
        <v/>
      </c>
      <c r="C10" s="21">
        <f>IF(Projects!C10="","",Projects!C10)</f>
        <v/>
      </c>
      <c r="D10" s="20" t="n"/>
      <c r="E10" s="20" t="n"/>
      <c r="F10" s="20" t="n"/>
      <c r="G10" s="20" t="inlineStr">
        <is>
          <t>R</t>
        </is>
      </c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 ht="15" customHeight="1" s="18">
      <c r="A11" s="20">
        <f>IF(Projects!A11="","",Projects!A11)</f>
        <v/>
      </c>
      <c r="B11" s="20">
        <f>IF(Projects!B11="","",Projects!B11)</f>
        <v/>
      </c>
      <c r="C11" s="21">
        <f>IF(Projects!C11="","",Projects!C11)</f>
        <v/>
      </c>
      <c r="D11" s="20" t="n"/>
      <c r="E11" s="20" t="inlineStr">
        <is>
          <t>R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</row>
    <row r="12" ht="15" customHeight="1" s="18">
      <c r="A12" s="20">
        <f>IF(Projects!A12="","",Projects!A12)</f>
        <v/>
      </c>
      <c r="B12" s="20">
        <f>IF(Projects!B12="","",Projects!B12)</f>
        <v/>
      </c>
      <c r="C12" s="21">
        <f>IF(Projects!C12="","",Projects!C12)</f>
        <v/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20" t="n"/>
      <c r="AZ12" s="20" t="n"/>
      <c r="BA12" s="20" t="n"/>
    </row>
    <row r="13" ht="15" customHeight="1" s="18">
      <c r="A13" s="20">
        <f>IF(Projects!A13="","",Projects!A13)</f>
        <v/>
      </c>
      <c r="B13" s="20">
        <f>IF(Projects!B13="","",Projects!B13)</f>
        <v/>
      </c>
      <c r="C13" s="21">
        <f>IF(Projects!C13="","",Projects!C13)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20" t="n"/>
      <c r="AZ13" s="20" t="n"/>
      <c r="BA13" s="20" t="n"/>
    </row>
    <row r="14" ht="15" customHeight="1" s="18">
      <c r="A14" s="20">
        <f>IF(Projects!A14="","",Projects!A14)</f>
        <v/>
      </c>
      <c r="B14" s="20">
        <f>IF(Projects!B14="","",Projects!B14)</f>
        <v/>
      </c>
      <c r="C14" s="21">
        <f>IF(Projects!C14="","",Projects!C14)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20" t="n"/>
      <c r="AZ14" s="20" t="n"/>
      <c r="BA14" s="20" t="n"/>
    </row>
    <row r="15" ht="15" customHeight="1" s="18">
      <c r="A15" s="20">
        <f>IF(Projects!A15="","",Projects!A15)</f>
        <v/>
      </c>
      <c r="B15" s="20">
        <f>IF(Projects!B15="","",Projects!B15)</f>
        <v/>
      </c>
      <c r="C15" s="21">
        <f>IF(Projects!C15="","",Projects!C15)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20" t="n"/>
      <c r="AZ15" s="20" t="n"/>
      <c r="BA15" s="20" t="n"/>
    </row>
    <row r="16" ht="15" customHeight="1" s="18">
      <c r="A16" s="20">
        <f>IF(Projects!A16="","",Projects!A16)</f>
        <v/>
      </c>
      <c r="B16" s="20">
        <f>IF(Projects!B16="","",Projects!B16)</f>
        <v/>
      </c>
      <c r="C16" s="21">
        <f>IF(Projects!C16="","",Projects!C16)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</row>
    <row r="17" ht="15" customHeight="1" s="18">
      <c r="A17" s="20">
        <f>IF(Projects!A17="","",Projects!A17)</f>
        <v/>
      </c>
      <c r="B17" s="20">
        <f>IF(Projects!B17="","",Projects!B17)</f>
        <v/>
      </c>
      <c r="C17" s="21">
        <f>IF(Projects!C17="","",Projects!C17)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</row>
    <row r="18" ht="15" customHeight="1" s="18">
      <c r="A18" s="20">
        <f>IF(Projects!A18="","",Projects!A18)</f>
        <v/>
      </c>
      <c r="B18" s="20">
        <f>IF(Projects!B18="","",Projects!B18)</f>
        <v/>
      </c>
      <c r="C18" s="21">
        <f>IF(Projects!C18="","",Projects!C18)</f>
        <v/>
      </c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</row>
    <row r="19" ht="15" customHeight="1" s="18">
      <c r="A19" s="20">
        <f>IF(Projects!A19="","",Projects!A19)</f>
        <v/>
      </c>
      <c r="B19" s="20">
        <f>IF(Projects!B19="","",Projects!B19)</f>
        <v/>
      </c>
      <c r="C19" s="21">
        <f>IF(Projects!C19="","",Projects!C19)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20" t="n"/>
      <c r="AZ19" s="20" t="n"/>
      <c r="BA19" s="20" t="n"/>
    </row>
    <row r="20" ht="15" customHeight="1" s="18">
      <c r="A20" s="20">
        <f>IF(Projects!A20="","",Projects!A20)</f>
        <v/>
      </c>
      <c r="B20" s="20">
        <f>IF(Projects!B20="","",Projects!B20)</f>
        <v/>
      </c>
      <c r="C20" s="21">
        <f>IF(Projects!C20="","",Projects!C20)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20" t="n"/>
      <c r="AZ20" s="20" t="n"/>
      <c r="BA20" s="20" t="n"/>
    </row>
    <row r="21" ht="15" customHeight="1" s="18">
      <c r="A21" s="20">
        <f>IF(Projects!A21="","",Projects!A21)</f>
        <v/>
      </c>
      <c r="B21" s="20">
        <f>IF(Projects!B21="","",Projects!B21)</f>
        <v/>
      </c>
      <c r="C21" s="21">
        <f>IF(Projects!C21="","",Projects!C21)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20" t="n"/>
      <c r="AZ21" s="20" t="n"/>
      <c r="BA21" s="20" t="n"/>
    </row>
    <row r="22" ht="15" customHeight="1" s="18">
      <c r="A22" s="20">
        <f>IF(Projects!A22="","",Projects!A22)</f>
        <v/>
      </c>
      <c r="B22" s="20">
        <f>IF(Projects!B22="","",Projects!B22)</f>
        <v/>
      </c>
      <c r="C22" s="21">
        <f>IF(Projects!C22="","",Projects!C22)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20" t="n"/>
      <c r="AZ22" s="20" t="n"/>
      <c r="BA22" s="20" t="n"/>
    </row>
    <row r="23" ht="15" customHeight="1" s="18">
      <c r="A23" s="20">
        <f>IF(Projects!A23="","",Projects!A23)</f>
        <v/>
      </c>
      <c r="B23" s="20">
        <f>IF(Projects!B23="","",Projects!B23)</f>
        <v/>
      </c>
      <c r="C23" s="21">
        <f>IF(Projects!C23="","",Projects!C23)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20" t="n"/>
      <c r="AZ23" s="20" t="n"/>
      <c r="BA23" s="20" t="n"/>
    </row>
    <row r="24" ht="15" customHeight="1" s="18">
      <c r="A24" s="20">
        <f>IF(Projects!A24="","",Projects!A24)</f>
        <v/>
      </c>
      <c r="B24" s="20">
        <f>IF(Projects!B24="","",Projects!B24)</f>
        <v/>
      </c>
      <c r="C24" s="21">
        <f>IF(Projects!C24="","",Projects!C24)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20" t="n"/>
      <c r="AZ24" s="20" t="n"/>
      <c r="BA24" s="20" t="n"/>
    </row>
    <row r="25" ht="15" customHeight="1" s="18">
      <c r="A25" s="20">
        <f>IF(Projects!A25="","",Projects!A25)</f>
        <v/>
      </c>
      <c r="B25" s="20">
        <f>IF(Projects!B25="","",Projects!B25)</f>
        <v/>
      </c>
      <c r="C25" s="21">
        <f>IF(Projects!C25="","",Projects!C25)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20" t="n"/>
      <c r="AZ25" s="20" t="n"/>
      <c r="BA25" s="20" t="n"/>
    </row>
    <row r="26" ht="15" customHeight="1" s="18">
      <c r="A26" s="20">
        <f>IF(Projects!A26="","",Projects!A26)</f>
        <v/>
      </c>
      <c r="B26" s="20">
        <f>IF(Projects!B26="","",Projects!B26)</f>
        <v/>
      </c>
      <c r="C26" s="21">
        <f>IF(Projects!C26="","",Projects!C26)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20" t="n"/>
      <c r="AZ26" s="20" t="n"/>
      <c r="BA26" s="20" t="n"/>
    </row>
    <row r="27" ht="15" customHeight="1" s="18">
      <c r="A27" s="20">
        <f>IF(Projects!A27="","",Projects!A27)</f>
        <v/>
      </c>
      <c r="B27" s="20">
        <f>IF(Projects!B27="","",Projects!B27)</f>
        <v/>
      </c>
      <c r="C27" s="21">
        <f>IF(Projects!C27="","",Projects!C27)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20" t="n"/>
      <c r="AZ27" s="20" t="n"/>
      <c r="BA27" s="20" t="n"/>
    </row>
    <row r="28" ht="15" customHeight="1" s="18">
      <c r="A28" s="20">
        <f>IF(Projects!A28="","",Projects!A28)</f>
        <v/>
      </c>
      <c r="B28" s="20">
        <f>IF(Projects!B28="","",Projects!B28)</f>
        <v/>
      </c>
      <c r="C28" s="21">
        <f>IF(Projects!C28="","",Projects!C28)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20" t="n"/>
      <c r="AZ28" s="20" t="n"/>
      <c r="BA28" s="20" t="n"/>
    </row>
    <row r="29" ht="15" customHeight="1" s="18">
      <c r="A29" s="20">
        <f>IF(Projects!A29="","",Projects!A29)</f>
        <v/>
      </c>
      <c r="B29" s="20">
        <f>IF(Projects!B29="","",Projects!B29)</f>
        <v/>
      </c>
      <c r="C29" s="21">
        <f>IF(Projects!C29="","",Projects!C29)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</row>
    <row r="30" ht="15" customHeight="1" s="18">
      <c r="A30" s="20">
        <f>IF(Projects!A30="","",Projects!A30)</f>
        <v/>
      </c>
      <c r="B30" s="20">
        <f>IF(Projects!B30="","",Projects!B30)</f>
        <v/>
      </c>
      <c r="C30" s="21">
        <f>IF(Projects!C30="","",Projects!C30)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20" t="n"/>
      <c r="AZ30" s="20" t="n"/>
      <c r="BA30" s="20" t="n"/>
    </row>
    <row r="31" ht="15" customHeight="1" s="18">
      <c r="A31" s="20">
        <f>IF(Projects!A31="","",Projects!A31)</f>
        <v/>
      </c>
      <c r="B31" s="20">
        <f>IF(Projects!B31="","",Projects!B31)</f>
        <v/>
      </c>
      <c r="C31" s="21">
        <f>IF(Projects!C31="","",Projects!C31)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</row>
    <row r="32" ht="15" customHeight="1" s="18">
      <c r="A32" s="20">
        <f>IF(Projects!A32="","",Projects!A32)</f>
        <v/>
      </c>
      <c r="B32" s="20">
        <f>IF(Projects!B32="","",Projects!B32)</f>
        <v/>
      </c>
      <c r="C32" s="21">
        <f>IF(Projects!C32="","",Projects!C32)</f>
        <v/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20" t="n"/>
      <c r="AZ32" s="20" t="n"/>
      <c r="BA32" s="20" t="n"/>
    </row>
    <row r="33" ht="15" customHeight="1" s="18">
      <c r="A33" s="20">
        <f>IF(Projects!A33="","",Projects!A33)</f>
        <v/>
      </c>
      <c r="B33" s="20">
        <f>IF(Projects!B33="","",Projects!B33)</f>
        <v/>
      </c>
      <c r="C33" s="21">
        <f>IF(Projects!C33="","",Projects!C33)</f>
        <v/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  <c r="AX33" s="20" t="n"/>
      <c r="AY33" s="20" t="n"/>
      <c r="AZ33" s="20" t="n"/>
      <c r="BA33" s="20" t="n"/>
    </row>
    <row r="34" ht="15" customHeight="1" s="18">
      <c r="A34" s="20">
        <f>IF(Projects!A34="","",Projects!A34)</f>
        <v/>
      </c>
      <c r="B34" s="20">
        <f>IF(Projects!B34="","",Projects!B34)</f>
        <v/>
      </c>
      <c r="C34" s="21">
        <f>IF(Projects!C34="","",Projects!C34)</f>
        <v/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  <c r="AO34" s="20" t="n"/>
      <c r="AP34" s="20" t="n"/>
      <c r="AQ34" s="20" t="n"/>
      <c r="AR34" s="20" t="n"/>
      <c r="AS34" s="20" t="n"/>
      <c r="AT34" s="20" t="n"/>
      <c r="AU34" s="20" t="n"/>
      <c r="AV34" s="20" t="n"/>
      <c r="AW34" s="20" t="n"/>
      <c r="AX34" s="20" t="n"/>
      <c r="AY34" s="20" t="n"/>
      <c r="AZ34" s="20" t="n"/>
      <c r="BA34" s="20" t="n"/>
    </row>
    <row r="35" ht="15" customHeight="1" s="18">
      <c r="A35" s="20">
        <f>IF(Projects!A35="","",Projects!A35)</f>
        <v/>
      </c>
      <c r="B35" s="20">
        <f>IF(Projects!B35="","",Projects!B35)</f>
        <v/>
      </c>
      <c r="C35" s="21">
        <f>IF(Projects!C35="","",Projects!C35)</f>
        <v/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</row>
    <row r="36" ht="15" customHeight="1" s="18">
      <c r="A36" s="20">
        <f>IF(Projects!A36="","",Projects!A36)</f>
        <v/>
      </c>
      <c r="B36" s="20">
        <f>IF(Projects!B36="","",Projects!B36)</f>
        <v/>
      </c>
      <c r="C36" s="21">
        <f>IF(Projects!C36="","",Projects!C36)</f>
        <v/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</row>
    <row r="37" ht="15" customHeight="1" s="18">
      <c r="A37" s="20">
        <f>IF(Projects!A37="","",Projects!A37)</f>
        <v/>
      </c>
      <c r="B37" s="20">
        <f>IF(Projects!B37="","",Projects!B37)</f>
        <v/>
      </c>
      <c r="C37" s="21">
        <f>IF(Projects!C37="","",Projects!C37)</f>
        <v/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  <c r="AX37" s="20" t="n"/>
      <c r="AY37" s="20" t="n"/>
      <c r="AZ37" s="20" t="n"/>
      <c r="BA37" s="20" t="n"/>
    </row>
    <row r="38" ht="15" customHeight="1" s="18">
      <c r="A38" s="20">
        <f>IF(Projects!A38="","",Projects!A38)</f>
        <v/>
      </c>
      <c r="B38" s="20">
        <f>IF(Projects!B38="","",Projects!B38)</f>
        <v/>
      </c>
      <c r="C38" s="21">
        <f>IF(Projects!C38="","",Projects!C38)</f>
        <v/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  <c r="AO38" s="20" t="n"/>
      <c r="AP38" s="20" t="n"/>
      <c r="AQ38" s="20" t="n"/>
      <c r="AR38" s="20" t="n"/>
      <c r="AS38" s="20" t="n"/>
      <c r="AT38" s="20" t="n"/>
      <c r="AU38" s="20" t="n"/>
      <c r="AV38" s="20" t="n"/>
      <c r="AW38" s="20" t="n"/>
      <c r="AX38" s="20" t="n"/>
      <c r="AY38" s="20" t="n"/>
      <c r="AZ38" s="20" t="n"/>
      <c r="BA38" s="20" t="n"/>
    </row>
    <row r="39" ht="15" customHeight="1" s="18">
      <c r="A39" s="20">
        <f>IF(Projects!A39="","",Projects!A39)</f>
        <v/>
      </c>
      <c r="B39" s="20">
        <f>IF(Projects!B39="","",Projects!B39)</f>
        <v/>
      </c>
      <c r="C39" s="21">
        <f>IF(Projects!C39="","",Projects!C39)</f>
        <v/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  <c r="AX39" s="20" t="n"/>
      <c r="AY39" s="20" t="n"/>
      <c r="AZ39" s="20" t="n"/>
      <c r="BA39" s="20" t="n"/>
    </row>
    <row r="40" ht="15" customHeight="1" s="18">
      <c r="A40" s="20">
        <f>IF(Projects!A40="","",Projects!A40)</f>
        <v/>
      </c>
      <c r="B40" s="20">
        <f>IF(Projects!B40="","",Projects!B40)</f>
        <v/>
      </c>
      <c r="C40" s="21">
        <f>IF(Projects!C40="","",Projects!C40)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  <c r="AQ40" s="20" t="n"/>
      <c r="AR40" s="20" t="n"/>
      <c r="AS40" s="20" t="n"/>
      <c r="AT40" s="20" t="n"/>
      <c r="AU40" s="20" t="n"/>
      <c r="AV40" s="20" t="n"/>
      <c r="AW40" s="20" t="n"/>
      <c r="AX40" s="20" t="n"/>
      <c r="AY40" s="20" t="n"/>
      <c r="AZ40" s="20" t="n"/>
      <c r="BA40" s="20" t="n"/>
    </row>
    <row r="41" ht="15" customHeight="1" s="18">
      <c r="A41" s="20">
        <f>IF(Projects!A41="","",Projects!A41)</f>
        <v/>
      </c>
      <c r="B41" s="20">
        <f>IF(Projects!B41="","",Projects!B41)</f>
        <v/>
      </c>
      <c r="C41" s="21">
        <f>IF(Projects!C41="","",Projects!C41)</f>
        <v/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</row>
    <row r="42" ht="15" customHeight="1" s="18">
      <c r="A42" s="20">
        <f>IF(Projects!A42="","",Projects!A42)</f>
        <v/>
      </c>
      <c r="B42" s="20">
        <f>IF(Projects!B42="","",Projects!B42)</f>
        <v/>
      </c>
      <c r="C42" s="21">
        <f>IF(Projects!C42="","",Projects!C42)</f>
        <v/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</row>
    <row r="43" ht="15" customHeight="1" s="18">
      <c r="A43" s="20">
        <f>IF(Projects!A43="","",Projects!A43)</f>
        <v/>
      </c>
      <c r="B43" s="20">
        <f>IF(Projects!B43="","",Projects!B43)</f>
        <v/>
      </c>
      <c r="C43" s="21">
        <f>IF(Projects!C43="","",Projects!C43)</f>
        <v/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  <c r="AX43" s="20" t="n"/>
      <c r="AY43" s="20" t="n"/>
      <c r="AZ43" s="20" t="n"/>
      <c r="BA43" s="20" t="n"/>
    </row>
    <row r="44" ht="15" customHeight="1" s="18">
      <c r="A44" s="20">
        <f>IF(Projects!A44="","",Projects!A44)</f>
        <v/>
      </c>
      <c r="B44" s="20">
        <f>IF(Projects!B44="","",Projects!B44)</f>
        <v/>
      </c>
      <c r="C44" s="21">
        <f>IF(Projects!C44="","",Projects!C44)</f>
        <v/>
      </c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  <c r="AO44" s="20" t="n"/>
      <c r="AP44" s="20" t="n"/>
      <c r="AQ44" s="20" t="n"/>
      <c r="AR44" s="20" t="n"/>
      <c r="AS44" s="20" t="n"/>
      <c r="AT44" s="20" t="n"/>
      <c r="AU44" s="20" t="n"/>
      <c r="AV44" s="20" t="n"/>
      <c r="AW44" s="20" t="n"/>
      <c r="AX44" s="20" t="n"/>
      <c r="AY44" s="20" t="n"/>
      <c r="AZ44" s="20" t="n"/>
      <c r="BA44" s="20" t="n"/>
    </row>
    <row r="45" ht="15" customHeight="1" s="18">
      <c r="A45" s="20">
        <f>IF(Projects!A45="","",Projects!A45)</f>
        <v/>
      </c>
      <c r="B45" s="20">
        <f>IF(Projects!B45="","",Projects!B45)</f>
        <v/>
      </c>
      <c r="C45" s="21">
        <f>IF(Projects!C45="","",Projects!C45)</f>
        <v/>
      </c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  <c r="AX45" s="20" t="n"/>
      <c r="AY45" s="20" t="n"/>
      <c r="AZ45" s="20" t="n"/>
      <c r="BA45" s="20" t="n"/>
    </row>
    <row r="46" ht="15" customHeight="1" s="18">
      <c r="A46" s="20">
        <f>IF(Projects!A46="","",Projects!A46)</f>
        <v/>
      </c>
      <c r="B46" s="20">
        <f>IF(Projects!B46="","",Projects!B46)</f>
        <v/>
      </c>
      <c r="C46" s="21">
        <f>IF(Projects!C46="","",Projects!C46)</f>
        <v/>
      </c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  <c r="AV46" s="20" t="n"/>
      <c r="AW46" s="20" t="n"/>
      <c r="AX46" s="20" t="n"/>
      <c r="AY46" s="20" t="n"/>
      <c r="AZ46" s="20" t="n"/>
      <c r="BA46" s="20" t="n"/>
    </row>
    <row r="47" ht="15" customHeight="1" s="18">
      <c r="A47" s="20">
        <f>IF(Projects!A47="","",Projects!A47)</f>
        <v/>
      </c>
      <c r="B47" s="20">
        <f>IF(Projects!B47="","",Projects!B47)</f>
        <v/>
      </c>
      <c r="C47" s="21">
        <f>IF(Projects!C47="","",Projects!C47)</f>
        <v/>
      </c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  <c r="AX47" s="20" t="n"/>
      <c r="AY47" s="20" t="n"/>
      <c r="AZ47" s="20" t="n"/>
      <c r="BA47" s="20" t="n"/>
    </row>
    <row r="48" ht="15" customHeight="1" s="18">
      <c r="A48" s="20">
        <f>IF(Projects!A48="","",Projects!A48)</f>
        <v/>
      </c>
      <c r="B48" s="20">
        <f>IF(Projects!B48="","",Projects!B48)</f>
        <v/>
      </c>
      <c r="C48" s="21">
        <f>IF(Projects!C48="","",Projects!C48)</f>
        <v/>
      </c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  <c r="AX48" s="20" t="n"/>
      <c r="AY48" s="20" t="n"/>
      <c r="AZ48" s="20" t="n"/>
      <c r="BA48" s="20" t="n"/>
    </row>
    <row r="49" ht="15" customHeight="1" s="18">
      <c r="A49" s="20">
        <f>IF(Projects!A49="","",Projects!A49)</f>
        <v/>
      </c>
      <c r="B49" s="20">
        <f>IF(Projects!B49="","",Projects!B49)</f>
        <v/>
      </c>
      <c r="C49" s="21">
        <f>IF(Projects!C49="","",Projects!C49)</f>
        <v/>
      </c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  <c r="AX49" s="20" t="n"/>
      <c r="AY49" s="20" t="n"/>
      <c r="AZ49" s="20" t="n"/>
      <c r="BA49" s="20" t="n"/>
    </row>
    <row r="50" ht="15" customHeight="1" s="18">
      <c r="A50" s="20">
        <f>IF(Projects!A50="","",Projects!A50)</f>
        <v/>
      </c>
      <c r="B50" s="20">
        <f>IF(Projects!B50="","",Projects!B50)</f>
        <v/>
      </c>
      <c r="C50" s="21">
        <f>IF(Projects!C50="","",Projects!C50)</f>
        <v/>
      </c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  <c r="AX50" s="20" t="n"/>
      <c r="AY50" s="20" t="n"/>
      <c r="AZ50" s="20" t="n"/>
      <c r="BA50" s="20" t="n"/>
    </row>
    <row r="51" ht="15" customHeight="1" s="18">
      <c r="A51" s="20">
        <f>IF(Projects!A51="","",Projects!A51)</f>
        <v/>
      </c>
      <c r="B51" s="20">
        <f>IF(Projects!B51="","",Projects!B51)</f>
        <v/>
      </c>
      <c r="C51" s="21">
        <f>IF(Projects!C51="","",Projects!C51)</f>
        <v/>
      </c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  <c r="AX51" s="20" t="n"/>
      <c r="AY51" s="20" t="n"/>
      <c r="AZ51" s="20" t="n"/>
      <c r="BA51" s="20" t="n"/>
    </row>
    <row r="52" ht="15" customHeight="1" s="18">
      <c r="A52" s="20">
        <f>IF(Projects!A52="","",Projects!A52)</f>
        <v/>
      </c>
      <c r="B52" s="20">
        <f>IF(Projects!B52="","",Projects!B52)</f>
        <v/>
      </c>
      <c r="C52" s="21">
        <f>IF(Projects!C52="","",Projects!C52)</f>
        <v/>
      </c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  <c r="AX52" s="20" t="n"/>
      <c r="AY52" s="20" t="n"/>
      <c r="AZ52" s="20" t="n"/>
      <c r="BA52" s="20" t="n"/>
    </row>
    <row r="53" ht="15" customHeight="1" s="18">
      <c r="A53" s="20">
        <f>IF(Projects!A53="","",Projects!A53)</f>
        <v/>
      </c>
      <c r="B53" s="20">
        <f>IF(Projects!B53="","",Projects!B53)</f>
        <v/>
      </c>
      <c r="C53" s="21">
        <f>IF(Projects!C53="","",Projects!C53)</f>
        <v/>
      </c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</row>
    <row r="54" ht="15" customHeight="1" s="18">
      <c r="A54" s="20">
        <f>IF(Projects!A54="","",Projects!A54)</f>
        <v/>
      </c>
      <c r="B54" s="20">
        <f>IF(Projects!B54="","",Projects!B54)</f>
        <v/>
      </c>
      <c r="C54" s="21">
        <f>IF(Projects!C54="","",Projects!C54)</f>
        <v/>
      </c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  <c r="AX54" s="20" t="n"/>
      <c r="AY54" s="20" t="n"/>
      <c r="AZ54" s="20" t="n"/>
      <c r="BA54" s="20" t="n"/>
    </row>
    <row r="55" ht="15" customHeight="1" s="18">
      <c r="A55" s="20">
        <f>IF(Projects!A55="","",Projects!A55)</f>
        <v/>
      </c>
      <c r="B55" s="20">
        <f>IF(Projects!B55="","",Projects!B55)</f>
        <v/>
      </c>
      <c r="C55" s="21">
        <f>IF(Projects!C55="","",Projects!C55)</f>
        <v/>
      </c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  <c r="AX55" s="20" t="n"/>
      <c r="AY55" s="20" t="n"/>
      <c r="AZ55" s="20" t="n"/>
      <c r="BA55" s="20" t="n"/>
    </row>
    <row r="56" ht="15" customHeight="1" s="18">
      <c r="A56" s="20">
        <f>IF(Projects!A56="","",Projects!A56)</f>
        <v/>
      </c>
      <c r="B56" s="20">
        <f>IF(Projects!B56="","",Projects!B56)</f>
        <v/>
      </c>
      <c r="C56" s="21">
        <f>IF(Projects!C56="","",Projects!C56)</f>
        <v/>
      </c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  <c r="AX56" s="20" t="n"/>
      <c r="AY56" s="20" t="n"/>
      <c r="AZ56" s="20" t="n"/>
      <c r="BA56" s="20" t="n"/>
    </row>
    <row r="57" ht="15" customHeight="1" s="18">
      <c r="A57" s="20">
        <f>IF(Projects!A57="","",Projects!A57)</f>
        <v/>
      </c>
      <c r="B57" s="20">
        <f>IF(Projects!B57="","",Projects!B57)</f>
        <v/>
      </c>
      <c r="C57" s="21">
        <f>IF(Projects!C57="","",Projects!C57)</f>
        <v/>
      </c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</row>
    <row r="58" ht="15" customHeight="1" s="18">
      <c r="A58" s="20">
        <f>IF(Projects!A58="","",Projects!A58)</f>
        <v/>
      </c>
      <c r="B58" s="20">
        <f>IF(Projects!B58="","",Projects!B58)</f>
        <v/>
      </c>
      <c r="C58" s="21">
        <f>IF(Projects!C58="","",Projects!C58)</f>
        <v/>
      </c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Q58" s="20" t="n"/>
      <c r="AR58" s="20" t="n"/>
      <c r="AS58" s="20" t="n"/>
      <c r="AT58" s="20" t="n"/>
      <c r="AU58" s="20" t="n"/>
      <c r="AV58" s="20" t="n"/>
      <c r="AW58" s="20" t="n"/>
      <c r="AX58" s="20" t="n"/>
      <c r="AY58" s="20" t="n"/>
      <c r="AZ58" s="20" t="n"/>
      <c r="BA58" s="20" t="n"/>
    </row>
    <row r="59" ht="15" customHeight="1" s="18">
      <c r="A59" s="20">
        <f>IF(Projects!A59="","",Projects!A59)</f>
        <v/>
      </c>
      <c r="B59" s="20">
        <f>IF(Projects!B59="","",Projects!B59)</f>
        <v/>
      </c>
      <c r="C59" s="21">
        <f>IF(Projects!C59="","",Projects!C59)</f>
        <v/>
      </c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</row>
    <row r="60" ht="15" customHeight="1" s="18">
      <c r="A60" s="20">
        <f>IF(Projects!A60="","",Projects!A60)</f>
        <v/>
      </c>
      <c r="B60" s="20">
        <f>IF(Projects!B60="","",Projects!B60)</f>
        <v/>
      </c>
      <c r="C60" s="21">
        <f>IF(Projects!C60="","",Projects!C60)</f>
        <v/>
      </c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</row>
    <row r="61" ht="15" customHeight="1" s="18">
      <c r="A61" s="20">
        <f>IF(Projects!A61="","",Projects!A61)</f>
        <v/>
      </c>
      <c r="B61" s="20">
        <f>IF(Projects!B61="","",Projects!B61)</f>
        <v/>
      </c>
      <c r="C61" s="21">
        <f>IF(Projects!C61="","",Projects!C61)</f>
        <v/>
      </c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</row>
    <row r="62" ht="15" customHeight="1" s="18">
      <c r="A62" s="20">
        <f>IF(Projects!A62="","",Projects!A62)</f>
        <v/>
      </c>
      <c r="B62" s="20">
        <f>IF(Projects!B62="","",Projects!B62)</f>
        <v/>
      </c>
      <c r="C62" s="21">
        <f>IF(Projects!C62="","",Projects!C62)</f>
        <v/>
      </c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</row>
    <row r="63" ht="15" customHeight="1" s="18">
      <c r="A63" s="20">
        <f>IF(Projects!A63="","",Projects!A63)</f>
        <v/>
      </c>
      <c r="B63" s="20">
        <f>IF(Projects!B63="","",Projects!B63)</f>
        <v/>
      </c>
      <c r="C63" s="21">
        <f>IF(Projects!C63="","",Projects!C63)</f>
        <v/>
      </c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  <c r="AX63" s="20" t="n"/>
      <c r="AY63" s="20" t="n"/>
      <c r="AZ63" s="20" t="n"/>
      <c r="BA63" s="20" t="n"/>
    </row>
    <row r="64" ht="15" customHeight="1" s="18">
      <c r="A64" s="20">
        <f>IF(Projects!A64="","",Projects!A64)</f>
        <v/>
      </c>
      <c r="B64" s="20">
        <f>IF(Projects!B64="","",Projects!B64)</f>
        <v/>
      </c>
      <c r="C64" s="21">
        <f>IF(Projects!C64="","",Projects!C64)</f>
        <v/>
      </c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0" t="n"/>
      <c r="AM64" s="20" t="n"/>
      <c r="AN64" s="20" t="n"/>
      <c r="AO64" s="20" t="n"/>
      <c r="AP64" s="20" t="n"/>
      <c r="AQ64" s="20" t="n"/>
      <c r="AR64" s="20" t="n"/>
      <c r="AS64" s="20" t="n"/>
      <c r="AT64" s="20" t="n"/>
      <c r="AU64" s="20" t="n"/>
      <c r="AV64" s="20" t="n"/>
      <c r="AW64" s="20" t="n"/>
      <c r="AX64" s="20" t="n"/>
      <c r="AY64" s="20" t="n"/>
      <c r="AZ64" s="20" t="n"/>
      <c r="BA64" s="20" t="n"/>
    </row>
    <row r="65" ht="15" customHeight="1" s="18">
      <c r="A65" s="20">
        <f>IF(Projects!A65="","",Projects!A65)</f>
        <v/>
      </c>
      <c r="B65" s="20">
        <f>IF(Projects!B65="","",Projects!B65)</f>
        <v/>
      </c>
      <c r="C65" s="21">
        <f>IF(Projects!C65="","",Projects!C65)</f>
        <v/>
      </c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  <c r="AX65" s="20" t="n"/>
      <c r="AY65" s="20" t="n"/>
      <c r="AZ65" s="20" t="n"/>
      <c r="BA65" s="20" t="n"/>
    </row>
    <row r="66" ht="15" customHeight="1" s="18">
      <c r="A66" s="20">
        <f>IF(Projects!A66="","",Projects!A66)</f>
        <v/>
      </c>
      <c r="B66" s="20">
        <f>IF(Projects!B66="","",Projects!B66)</f>
        <v/>
      </c>
      <c r="C66" s="21">
        <f>IF(Projects!C66="","",Projects!C66)</f>
        <v/>
      </c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</row>
    <row r="67" ht="15" customHeight="1" s="18">
      <c r="A67" s="20">
        <f>IF(Projects!A67="","",Projects!A67)</f>
        <v/>
      </c>
      <c r="B67" s="20">
        <f>IF(Projects!B67="","",Projects!B67)</f>
        <v/>
      </c>
      <c r="C67" s="21">
        <f>IF(Projects!C67="","",Projects!C67)</f>
        <v/>
      </c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</row>
    <row r="68" ht="15" customHeight="1" s="18">
      <c r="A68" s="20">
        <f>IF(Projects!A68="","",Projects!A68)</f>
        <v/>
      </c>
      <c r="B68" s="20">
        <f>IF(Projects!B68="","",Projects!B68)</f>
        <v/>
      </c>
      <c r="C68" s="21">
        <f>IF(Projects!C68="","",Projects!C68)</f>
        <v/>
      </c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</row>
    <row r="69" ht="15" customHeight="1" s="18">
      <c r="A69" s="20">
        <f>IF(Projects!A69="","",Projects!A69)</f>
        <v/>
      </c>
      <c r="B69" s="20">
        <f>IF(Projects!B69="","",Projects!B69)</f>
        <v/>
      </c>
      <c r="C69" s="21">
        <f>IF(Projects!C69="","",Projects!C69)</f>
        <v/>
      </c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5" customHeight="1" s="18">
      <c r="A70" s="20">
        <f>IF(Projects!A70="","",Projects!A70)</f>
        <v/>
      </c>
      <c r="B70" s="20">
        <f>IF(Projects!B70="","",Projects!B70)</f>
        <v/>
      </c>
      <c r="C70" s="21">
        <f>IF(Projects!C70="","",Projects!C70)</f>
        <v/>
      </c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</row>
    <row r="71" ht="15" customHeight="1" s="18">
      <c r="A71" s="20">
        <f>IF(Projects!A71="","",Projects!A71)</f>
        <v/>
      </c>
      <c r="B71" s="20">
        <f>IF(Projects!B71="","",Projects!B71)</f>
        <v/>
      </c>
      <c r="C71" s="21">
        <f>IF(Projects!C71="","",Projects!C71)</f>
        <v/>
      </c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</row>
    <row r="72" ht="15" customHeight="1" s="18">
      <c r="A72" s="20">
        <f>IF(Projects!A72="","",Projects!A72)</f>
        <v/>
      </c>
      <c r="B72" s="20">
        <f>IF(Projects!B72="","",Projects!B72)</f>
        <v/>
      </c>
      <c r="C72" s="21">
        <f>IF(Projects!C72="","",Projects!C72)</f>
        <v/>
      </c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</row>
    <row r="73" ht="15" customHeight="1" s="18">
      <c r="A73" s="20">
        <f>IF(Projects!A73="","",Projects!A73)</f>
        <v/>
      </c>
      <c r="B73" s="20">
        <f>IF(Projects!B73="","",Projects!B73)</f>
        <v/>
      </c>
      <c r="C73" s="21">
        <f>IF(Projects!C73="","",Projects!C73)</f>
        <v/>
      </c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</row>
    <row r="74" ht="15" customHeight="1" s="18">
      <c r="A74" s="20">
        <f>IF(Projects!A74="","",Projects!A74)</f>
        <v/>
      </c>
      <c r="B74" s="20">
        <f>IF(Projects!B74="","",Projects!B74)</f>
        <v/>
      </c>
      <c r="C74" s="21">
        <f>IF(Projects!C74="","",Projects!C74)</f>
        <v/>
      </c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</row>
    <row r="75" ht="15" customHeight="1" s="18">
      <c r="A75" s="20">
        <f>IF(Projects!A75="","",Projects!A75)</f>
        <v/>
      </c>
      <c r="B75" s="20">
        <f>IF(Projects!B75="","",Projects!B75)</f>
        <v/>
      </c>
      <c r="C75" s="21">
        <f>IF(Projects!C75="","",Projects!C75)</f>
        <v/>
      </c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</row>
    <row r="76" ht="15" customHeight="1" s="18">
      <c r="A76" s="20">
        <f>IF(Projects!A76="","",Projects!A76)</f>
        <v/>
      </c>
      <c r="B76" s="20">
        <f>IF(Projects!B76="","",Projects!B76)</f>
        <v/>
      </c>
      <c r="C76" s="21">
        <f>IF(Projects!C76="","",Projects!C76)</f>
        <v/>
      </c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</row>
    <row r="77" ht="15" customHeight="1" s="18">
      <c r="A77" s="20">
        <f>IF(Projects!A77="","",Projects!A77)</f>
        <v/>
      </c>
      <c r="B77" s="20">
        <f>IF(Projects!B77="","",Projects!B77)</f>
        <v/>
      </c>
      <c r="C77" s="21">
        <f>IF(Projects!C77="","",Projects!C77)</f>
        <v/>
      </c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</row>
    <row r="78" ht="15" customHeight="1" s="18">
      <c r="A78" s="20">
        <f>IF(Projects!A78="","",Projects!A78)</f>
        <v/>
      </c>
      <c r="B78" s="20">
        <f>IF(Projects!B78="","",Projects!B78)</f>
        <v/>
      </c>
      <c r="C78" s="21">
        <f>IF(Projects!C78="","",Projects!C78)</f>
        <v/>
      </c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</row>
    <row r="79" ht="15" customHeight="1" s="18">
      <c r="A79" s="20">
        <f>IF(Projects!A79="","",Projects!A79)</f>
        <v/>
      </c>
      <c r="B79" s="20">
        <f>IF(Projects!B79="","",Projects!B79)</f>
        <v/>
      </c>
      <c r="C79" s="21">
        <f>IF(Projects!C79="","",Projects!C79)</f>
        <v/>
      </c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</row>
    <row r="80" ht="15" customHeight="1" s="18">
      <c r="A80" s="20">
        <f>IF(Projects!A80="","",Projects!A80)</f>
        <v/>
      </c>
      <c r="B80" s="20">
        <f>IF(Projects!B80="","",Projects!B80)</f>
        <v/>
      </c>
      <c r="C80" s="21">
        <f>IF(Projects!C80="","",Projects!C80)</f>
        <v/>
      </c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</row>
    <row r="81" ht="15" customHeight="1" s="18">
      <c r="A81" s="20">
        <f>IF(Projects!A81="","",Projects!A81)</f>
        <v/>
      </c>
      <c r="B81" s="20">
        <f>IF(Projects!B81="","",Projects!B81)</f>
        <v/>
      </c>
      <c r="C81" s="21">
        <f>IF(Projects!C81="","",Projects!C81)</f>
        <v/>
      </c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</row>
    <row r="82" ht="15" customHeight="1" s="18">
      <c r="A82" s="20">
        <f>IF(Projects!A82="","",Projects!A82)</f>
        <v/>
      </c>
      <c r="B82" s="20">
        <f>IF(Projects!B82="","",Projects!B82)</f>
        <v/>
      </c>
      <c r="C82" s="21">
        <f>IF(Projects!C82="","",Projects!C82)</f>
        <v/>
      </c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</row>
    <row r="83" ht="15" customHeight="1" s="18">
      <c r="A83" s="20">
        <f>IF(Projects!A83="","",Projects!A83)</f>
        <v/>
      </c>
      <c r="B83" s="20">
        <f>IF(Projects!B83="","",Projects!B83)</f>
        <v/>
      </c>
      <c r="C83" s="21">
        <f>IF(Projects!C83="","",Projects!C83)</f>
        <v/>
      </c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</row>
    <row r="84" ht="15" customHeight="1" s="18">
      <c r="A84" s="20">
        <f>IF(Projects!A84="","",Projects!A84)</f>
        <v/>
      </c>
      <c r="B84" s="20">
        <f>IF(Projects!B84="","",Projects!B84)</f>
        <v/>
      </c>
      <c r="C84" s="21">
        <f>IF(Projects!C84="","",Projects!C84)</f>
        <v/>
      </c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</row>
    <row r="85" ht="15" customHeight="1" s="18">
      <c r="A85" s="20">
        <f>IF(Projects!A85="","",Projects!A85)</f>
        <v/>
      </c>
      <c r="B85" s="20">
        <f>IF(Projects!B85="","",Projects!B85)</f>
        <v/>
      </c>
      <c r="C85" s="21">
        <f>IF(Projects!C85="","",Projects!C85)</f>
        <v/>
      </c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</row>
    <row r="86" ht="15" customHeight="1" s="18">
      <c r="A86" s="20">
        <f>IF(Projects!A86="","",Projects!A86)</f>
        <v/>
      </c>
      <c r="B86" s="20">
        <f>IF(Projects!B86="","",Projects!B86)</f>
        <v/>
      </c>
      <c r="C86" s="21">
        <f>IF(Projects!C86="","",Projects!C86)</f>
        <v/>
      </c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</row>
    <row r="87" ht="15" customHeight="1" s="18">
      <c r="A87" s="20">
        <f>IF(Projects!A87="","",Projects!A87)</f>
        <v/>
      </c>
      <c r="B87" s="20">
        <f>IF(Projects!B87="","",Projects!B87)</f>
        <v/>
      </c>
      <c r="C87" s="21">
        <f>IF(Projects!C87="","",Projects!C87)</f>
        <v/>
      </c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</row>
    <row r="88" ht="15" customHeight="1" s="18">
      <c r="A88" s="20">
        <f>IF(Projects!A88="","",Projects!A88)</f>
        <v/>
      </c>
      <c r="B88" s="20">
        <f>IF(Projects!B88="","",Projects!B88)</f>
        <v/>
      </c>
      <c r="C88" s="21">
        <f>IF(Projects!C88="","",Projects!C88)</f>
        <v/>
      </c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</row>
    <row r="89" ht="15" customHeight="1" s="18">
      <c r="A89" s="20">
        <f>IF(Projects!A89="","",Projects!A89)</f>
        <v/>
      </c>
      <c r="B89" s="20">
        <f>IF(Projects!B89="","",Projects!B89)</f>
        <v/>
      </c>
      <c r="C89" s="21">
        <f>IF(Projects!C89="","",Projects!C89)</f>
        <v/>
      </c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</row>
    <row r="90" ht="15" customHeight="1" s="18">
      <c r="A90" s="20">
        <f>IF(Projects!A90="","",Projects!A90)</f>
        <v/>
      </c>
      <c r="B90" s="20">
        <f>IF(Projects!B90="","",Projects!B90)</f>
        <v/>
      </c>
      <c r="C90" s="21">
        <f>IF(Projects!C90="","",Projects!C90)</f>
        <v/>
      </c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</row>
    <row r="91" ht="15" customHeight="1" s="18">
      <c r="A91" s="20">
        <f>IF(Projects!A91="","",Projects!A91)</f>
        <v/>
      </c>
      <c r="B91" s="20">
        <f>IF(Projects!B91="","",Projects!B91)</f>
        <v/>
      </c>
      <c r="C91" s="21">
        <f>IF(Projects!C91="","",Projects!C91)</f>
        <v/>
      </c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  <c r="AI91" s="20" t="n"/>
      <c r="AJ91" s="20" t="n"/>
      <c r="AK91" s="20" t="n"/>
      <c r="AL91" s="20" t="n"/>
      <c r="AM91" s="20" t="n"/>
      <c r="AN91" s="20" t="n"/>
      <c r="AO91" s="20" t="n"/>
      <c r="AP91" s="20" t="n"/>
      <c r="AQ91" s="20" t="n"/>
      <c r="AR91" s="20" t="n"/>
      <c r="AS91" s="20" t="n"/>
      <c r="AT91" s="20" t="n"/>
      <c r="AU91" s="20" t="n"/>
      <c r="AV91" s="20" t="n"/>
      <c r="AW91" s="20" t="n"/>
      <c r="AX91" s="20" t="n"/>
      <c r="AY91" s="20" t="n"/>
      <c r="AZ91" s="20" t="n"/>
      <c r="BA91" s="20" t="n"/>
    </row>
    <row r="92" ht="15" customHeight="1" s="18">
      <c r="A92" s="20">
        <f>IF(Projects!A92="","",Projects!A92)</f>
        <v/>
      </c>
      <c r="B92" s="20">
        <f>IF(Projects!B92="","",Projects!B92)</f>
        <v/>
      </c>
      <c r="C92" s="21">
        <f>IF(Projects!C92="","",Projects!C92)</f>
        <v/>
      </c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  <c r="AI92" s="20" t="n"/>
      <c r="AJ92" s="20" t="n"/>
      <c r="AK92" s="20" t="n"/>
      <c r="AL92" s="20" t="n"/>
      <c r="AM92" s="20" t="n"/>
      <c r="AN92" s="20" t="n"/>
      <c r="AO92" s="20" t="n"/>
      <c r="AP92" s="20" t="n"/>
      <c r="AQ92" s="20" t="n"/>
      <c r="AR92" s="20" t="n"/>
      <c r="AS92" s="20" t="n"/>
      <c r="AT92" s="20" t="n"/>
      <c r="AU92" s="20" t="n"/>
      <c r="AV92" s="20" t="n"/>
      <c r="AW92" s="20" t="n"/>
      <c r="AX92" s="20" t="n"/>
      <c r="AY92" s="20" t="n"/>
      <c r="AZ92" s="20" t="n"/>
      <c r="BA92" s="20" t="n"/>
    </row>
    <row r="93" ht="15" customHeight="1" s="18">
      <c r="A93" s="20">
        <f>IF(Projects!A93="","",Projects!A93)</f>
        <v/>
      </c>
      <c r="B93" s="20">
        <f>IF(Projects!B93="","",Projects!B93)</f>
        <v/>
      </c>
      <c r="C93" s="21">
        <f>IF(Projects!C93="","",Projects!C93)</f>
        <v/>
      </c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  <c r="AI93" s="20" t="n"/>
      <c r="AJ93" s="20" t="n"/>
      <c r="AK93" s="20" t="n"/>
      <c r="AL93" s="20" t="n"/>
      <c r="AM93" s="20" t="n"/>
      <c r="AN93" s="20" t="n"/>
      <c r="AO93" s="20" t="n"/>
      <c r="AP93" s="20" t="n"/>
      <c r="AQ93" s="20" t="n"/>
      <c r="AR93" s="20" t="n"/>
      <c r="AS93" s="20" t="n"/>
      <c r="AT93" s="20" t="n"/>
      <c r="AU93" s="20" t="n"/>
      <c r="AV93" s="20" t="n"/>
      <c r="AW93" s="20" t="n"/>
      <c r="AX93" s="20" t="n"/>
      <c r="AY93" s="20" t="n"/>
      <c r="AZ93" s="20" t="n"/>
      <c r="BA93" s="20" t="n"/>
    </row>
    <row r="94" ht="15" customHeight="1" s="18">
      <c r="A94" s="20">
        <f>IF(Projects!A94="","",Projects!A94)</f>
        <v/>
      </c>
      <c r="B94" s="20">
        <f>IF(Projects!B94="","",Projects!B94)</f>
        <v/>
      </c>
      <c r="C94" s="21">
        <f>IF(Projects!C94="","",Projects!C94)</f>
        <v/>
      </c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  <c r="AI94" s="20" t="n"/>
      <c r="AJ94" s="20" t="n"/>
      <c r="AK94" s="20" t="n"/>
      <c r="AL94" s="20" t="n"/>
      <c r="AM94" s="20" t="n"/>
      <c r="AN94" s="20" t="n"/>
      <c r="AO94" s="20" t="n"/>
      <c r="AP94" s="20" t="n"/>
      <c r="AQ94" s="20" t="n"/>
      <c r="AR94" s="20" t="n"/>
      <c r="AS94" s="20" t="n"/>
      <c r="AT94" s="20" t="n"/>
      <c r="AU94" s="20" t="n"/>
      <c r="AV94" s="20" t="n"/>
      <c r="AW94" s="20" t="n"/>
      <c r="AX94" s="20" t="n"/>
      <c r="AY94" s="20" t="n"/>
      <c r="AZ94" s="20" t="n"/>
      <c r="BA94" s="20" t="n"/>
    </row>
    <row r="95" ht="15" customHeight="1" s="18">
      <c r="A95" s="20">
        <f>IF(Projects!A95="","",Projects!A95)</f>
        <v/>
      </c>
      <c r="B95" s="20">
        <f>IF(Projects!B95="","",Projects!B95)</f>
        <v/>
      </c>
      <c r="C95" s="21">
        <f>IF(Projects!C95="","",Projects!C95)</f>
        <v/>
      </c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  <c r="AI95" s="20" t="n"/>
      <c r="AJ95" s="20" t="n"/>
      <c r="AK95" s="20" t="n"/>
      <c r="AL95" s="20" t="n"/>
      <c r="AM95" s="20" t="n"/>
      <c r="AN95" s="20" t="n"/>
      <c r="AO95" s="20" t="n"/>
      <c r="AP95" s="20" t="n"/>
      <c r="AQ95" s="20" t="n"/>
      <c r="AR95" s="20" t="n"/>
      <c r="AS95" s="20" t="n"/>
      <c r="AT95" s="20" t="n"/>
      <c r="AU95" s="20" t="n"/>
      <c r="AV95" s="20" t="n"/>
      <c r="AW95" s="20" t="n"/>
      <c r="AX95" s="20" t="n"/>
      <c r="AY95" s="20" t="n"/>
      <c r="AZ95" s="20" t="n"/>
      <c r="BA95" s="20" t="n"/>
    </row>
    <row r="96" ht="15" customHeight="1" s="18">
      <c r="A96" s="20">
        <f>IF(Projects!A96="","",Projects!A96)</f>
        <v/>
      </c>
      <c r="B96" s="20">
        <f>IF(Projects!B96="","",Projects!B96)</f>
        <v/>
      </c>
      <c r="C96" s="21">
        <f>IF(Projects!C96="","",Projects!C96)</f>
        <v/>
      </c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  <c r="AI96" s="20" t="n"/>
      <c r="AJ96" s="20" t="n"/>
      <c r="AK96" s="20" t="n"/>
      <c r="AL96" s="20" t="n"/>
      <c r="AM96" s="20" t="n"/>
      <c r="AN96" s="20" t="n"/>
      <c r="AO96" s="20" t="n"/>
      <c r="AP96" s="20" t="n"/>
      <c r="AQ96" s="20" t="n"/>
      <c r="AR96" s="20" t="n"/>
      <c r="AS96" s="20" t="n"/>
      <c r="AT96" s="20" t="n"/>
      <c r="AU96" s="20" t="n"/>
      <c r="AV96" s="20" t="n"/>
      <c r="AW96" s="20" t="n"/>
      <c r="AX96" s="20" t="n"/>
      <c r="AY96" s="20" t="n"/>
      <c r="AZ96" s="20" t="n"/>
      <c r="BA96" s="20" t="n"/>
    </row>
    <row r="97" ht="15" customHeight="1" s="18">
      <c r="A97" s="20">
        <f>IF(Projects!A97="","",Projects!A97)</f>
        <v/>
      </c>
      <c r="B97" s="20">
        <f>IF(Projects!B97="","",Projects!B97)</f>
        <v/>
      </c>
      <c r="C97" s="21">
        <f>IF(Projects!C97="","",Projects!C97)</f>
        <v/>
      </c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  <c r="AI97" s="20" t="n"/>
      <c r="AJ97" s="20" t="n"/>
      <c r="AK97" s="20" t="n"/>
      <c r="AL97" s="20" t="n"/>
      <c r="AM97" s="20" t="n"/>
      <c r="AN97" s="20" t="n"/>
      <c r="AO97" s="20" t="n"/>
      <c r="AP97" s="20" t="n"/>
      <c r="AQ97" s="20" t="n"/>
      <c r="AR97" s="20" t="n"/>
      <c r="AS97" s="20" t="n"/>
      <c r="AT97" s="20" t="n"/>
      <c r="AU97" s="20" t="n"/>
      <c r="AV97" s="20" t="n"/>
      <c r="AW97" s="20" t="n"/>
      <c r="AX97" s="20" t="n"/>
      <c r="AY97" s="20" t="n"/>
      <c r="AZ97" s="20" t="n"/>
      <c r="BA97" s="20" t="n"/>
    </row>
    <row r="98" ht="15" customHeight="1" s="18">
      <c r="A98" s="20">
        <f>IF(Projects!A98="","",Projects!A98)</f>
        <v/>
      </c>
      <c r="B98" s="20">
        <f>IF(Projects!B98="","",Projects!B98)</f>
        <v/>
      </c>
      <c r="C98" s="21">
        <f>IF(Projects!C98="","",Projects!C98)</f>
        <v/>
      </c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  <c r="AI98" s="20" t="n"/>
      <c r="AJ98" s="20" t="n"/>
      <c r="AK98" s="20" t="n"/>
      <c r="AL98" s="20" t="n"/>
      <c r="AM98" s="20" t="n"/>
      <c r="AN98" s="20" t="n"/>
      <c r="AO98" s="20" t="n"/>
      <c r="AP98" s="20" t="n"/>
      <c r="AQ98" s="20" t="n"/>
      <c r="AR98" s="20" t="n"/>
      <c r="AS98" s="20" t="n"/>
      <c r="AT98" s="20" t="n"/>
      <c r="AU98" s="20" t="n"/>
      <c r="AV98" s="20" t="n"/>
      <c r="AW98" s="20" t="n"/>
      <c r="AX98" s="20" t="n"/>
      <c r="AY98" s="20" t="n"/>
      <c r="AZ98" s="20" t="n"/>
      <c r="BA98" s="20" t="n"/>
    </row>
    <row r="99" ht="15" customHeight="1" s="18">
      <c r="A99" s="20">
        <f>IF(Projects!A99="","",Projects!A99)</f>
        <v/>
      </c>
      <c r="B99" s="20">
        <f>IF(Projects!B99="","",Projects!B99)</f>
        <v/>
      </c>
      <c r="C99" s="21">
        <f>IF(Projects!C99="","",Projects!C99)</f>
        <v/>
      </c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  <c r="AI99" s="20" t="n"/>
      <c r="AJ99" s="20" t="n"/>
      <c r="AK99" s="20" t="n"/>
      <c r="AL99" s="20" t="n"/>
      <c r="AM99" s="20" t="n"/>
      <c r="AN99" s="20" t="n"/>
      <c r="AO99" s="20" t="n"/>
      <c r="AP99" s="20" t="n"/>
      <c r="AQ99" s="20" t="n"/>
      <c r="AR99" s="20" t="n"/>
      <c r="AS99" s="20" t="n"/>
      <c r="AT99" s="20" t="n"/>
      <c r="AU99" s="20" t="n"/>
      <c r="AV99" s="20" t="n"/>
      <c r="AW99" s="20" t="n"/>
      <c r="AX99" s="20" t="n"/>
      <c r="AY99" s="20" t="n"/>
      <c r="AZ99" s="20" t="n"/>
      <c r="BA99" s="20" t="n"/>
    </row>
    <row r="100" ht="15" customHeight="1" s="18">
      <c r="A100" s="20">
        <f>IF(Projects!A100="","",Projects!A100)</f>
        <v/>
      </c>
      <c r="B100" s="20">
        <f>IF(Projects!B100="","",Projects!B100)</f>
        <v/>
      </c>
      <c r="C100" s="21">
        <f>IF(Projects!C100="","",Projects!C100)</f>
        <v/>
      </c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  <c r="AI100" s="20" t="n"/>
      <c r="AJ100" s="20" t="n"/>
      <c r="AK100" s="20" t="n"/>
      <c r="AL100" s="20" t="n"/>
      <c r="AM100" s="20" t="n"/>
      <c r="AN100" s="20" t="n"/>
      <c r="AO100" s="20" t="n"/>
      <c r="AP100" s="20" t="n"/>
      <c r="AQ100" s="20" t="n"/>
      <c r="AR100" s="20" t="n"/>
      <c r="AS100" s="20" t="n"/>
      <c r="AT100" s="20" t="n"/>
      <c r="AU100" s="20" t="n"/>
      <c r="AV100" s="20" t="n"/>
      <c r="AW100" s="20" t="n"/>
      <c r="AX100" s="20" t="n"/>
      <c r="AY100" s="20" t="n"/>
      <c r="AZ100" s="20" t="n"/>
      <c r="BA100" s="20" t="n"/>
    </row>
    <row r="101" ht="15" customHeight="1" s="18">
      <c r="A101" s="3">
        <f>IF(Projects!A101="","",Projects!A101)</f>
        <v/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</row>
    <row r="102" ht="15" customHeight="1" s="18">
      <c r="A102" s="3">
        <f>IF(Projects!A102="","",Projects!A102)</f>
        <v/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</row>
    <row r="103" ht="15" customHeight="1" s="18">
      <c r="A103" s="3">
        <f>IF(Projects!A103="","",Projects!A103)</f>
        <v/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</row>
    <row r="104" ht="15" customHeight="1" s="18">
      <c r="A104" s="3">
        <f>IF(Projects!A104="","",Projects!A104)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</row>
    <row r="105" ht="15" customHeight="1" s="18">
      <c r="A105" s="3">
        <f>IF(Projects!A105="","",Projects!A105)</f>
        <v/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</row>
    <row r="106" ht="15" customHeight="1" s="18">
      <c r="A106" s="3">
        <f>IF(Projects!A106="","",Projects!A106)</f>
        <v/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</row>
    <row r="107" ht="15" customHeight="1" s="18">
      <c r="A107" s="3">
        <f>IF(Projects!A107="","",Projects!A107)</f>
        <v/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</row>
    <row r="108" ht="15.75" customHeight="1" s="18">
      <c r="A108" s="3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</row>
    <row r="109" ht="15.75" customHeight="1" s="18">
      <c r="A109" s="3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</row>
    <row r="110" ht="15.75" customHeight="1" s="18">
      <c r="A110" s="3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</row>
    <row r="111" ht="15.75" customHeight="1" s="18">
      <c r="A111" s="3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</row>
    <row r="112" ht="15.75" customHeight="1" s="18">
      <c r="A112" s="3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</row>
    <row r="113" ht="15.75" customHeight="1" s="18">
      <c r="A113" s="3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</row>
    <row r="114" ht="15.75" customHeight="1" s="18">
      <c r="A114" s="3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9" t="n"/>
      <c r="AN114" s="9" t="n"/>
      <c r="AO114" s="9" t="n"/>
      <c r="AP114" s="9" t="n"/>
      <c r="AQ114" s="9" t="n"/>
      <c r="AR114" s="9" t="n"/>
      <c r="AS114" s="9" t="n"/>
      <c r="AT114" s="9" t="n"/>
      <c r="AU114" s="9" t="n"/>
      <c r="AV114" s="9" t="n"/>
      <c r="AW114" s="9" t="n"/>
      <c r="AX114" s="9" t="n"/>
      <c r="AY114" s="9" t="n"/>
      <c r="AZ114" s="9" t="n"/>
      <c r="BA114" s="9" t="n"/>
    </row>
    <row r="115" ht="15.75" customHeight="1" s="18">
      <c r="A115" s="3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</row>
    <row r="116" ht="15.75" customHeight="1" s="18">
      <c r="A116" s="3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</row>
    <row r="117" ht="15.75" customHeight="1" s="18">
      <c r="A117" s="3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</row>
    <row r="118" ht="15.75" customHeight="1" s="18">
      <c r="A118" s="3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</row>
    <row r="119" ht="15.75" customHeight="1" s="18">
      <c r="A119" s="3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</row>
    <row r="120" ht="15.75" customHeight="1" s="18">
      <c r="A120" s="3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</row>
    <row r="121" ht="15.75" customHeight="1" s="18">
      <c r="A121" s="3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</row>
    <row r="122" ht="15.75" customHeight="1" s="18">
      <c r="A122" s="3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</row>
    <row r="123" ht="15.75" customHeight="1" s="18">
      <c r="A123" s="3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</row>
    <row r="124" ht="15.75" customHeight="1" s="18">
      <c r="A124" s="3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</row>
    <row r="125" ht="15.75" customHeight="1" s="18">
      <c r="A125" s="3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</row>
    <row r="126" ht="15.75" customHeight="1" s="18">
      <c r="A126" s="3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</row>
    <row r="127" ht="15.75" customHeight="1" s="18">
      <c r="A127" s="3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</row>
    <row r="128" ht="15.75" customHeight="1" s="18">
      <c r="A128" s="3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</row>
    <row r="129" ht="15.75" customHeight="1" s="18">
      <c r="A129" s="3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</row>
    <row r="130" ht="15.75" customHeight="1" s="18">
      <c r="A130" s="3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</row>
    <row r="131" ht="15.75" customHeight="1" s="18">
      <c r="A131" s="3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</row>
    <row r="132" ht="15.75" customHeight="1" s="18">
      <c r="A132" s="3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</row>
    <row r="133" ht="15.75" customHeight="1" s="18">
      <c r="A133" s="3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</row>
    <row r="134" ht="15.75" customHeight="1" s="18">
      <c r="A134" s="3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</row>
    <row r="135" ht="15.75" customHeight="1" s="18">
      <c r="A135" s="3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</row>
    <row r="136" ht="15.75" customHeight="1" s="18">
      <c r="A136" s="3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</row>
    <row r="137" ht="15.75" customHeight="1" s="18">
      <c r="A137" s="3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</row>
    <row r="138" ht="15.75" customHeight="1" s="18">
      <c r="A138" s="3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</row>
    <row r="139" ht="15.75" customHeight="1" s="18">
      <c r="A139" s="3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</row>
    <row r="140" ht="15.75" customHeight="1" s="18">
      <c r="A140" s="3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</row>
    <row r="141" ht="15.75" customHeight="1" s="18">
      <c r="A141" s="3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</row>
    <row r="142" ht="15.75" customHeight="1" s="18">
      <c r="A142" s="3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</row>
    <row r="143" ht="15.75" customHeight="1" s="18">
      <c r="A143" s="3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</row>
    <row r="144" ht="15.75" customHeight="1" s="18">
      <c r="A144" s="3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</row>
    <row r="145" ht="15.75" customHeight="1" s="18">
      <c r="A145" s="3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</row>
    <row r="146" ht="15.75" customHeight="1" s="18">
      <c r="A146" s="3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</row>
    <row r="147" ht="15.75" customHeight="1" s="18">
      <c r="A147" s="3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</row>
    <row r="148" ht="15.75" customHeight="1" s="18">
      <c r="A148" s="3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</row>
    <row r="149" ht="15.75" customHeight="1" s="18">
      <c r="A149" s="3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</row>
    <row r="150" ht="15.75" customHeight="1" s="18">
      <c r="A150" s="3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</row>
    <row r="151" ht="15.75" customHeight="1" s="18">
      <c r="A151" s="3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</row>
    <row r="152" ht="15.75" customHeight="1" s="18">
      <c r="A152" s="3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</row>
    <row r="153" ht="15.75" customHeight="1" s="18">
      <c r="A153" s="3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</row>
    <row r="154" ht="15.75" customHeight="1" s="18">
      <c r="A154" s="3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</row>
    <row r="155" ht="15.75" customHeight="1" s="18">
      <c r="A155" s="3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</row>
    <row r="156" ht="15.75" customHeight="1" s="18">
      <c r="A156" s="3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</row>
    <row r="157" ht="15.75" customHeight="1" s="18">
      <c r="A157" s="3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</row>
    <row r="158" ht="15.75" customHeight="1" s="18">
      <c r="A158" s="3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</row>
    <row r="159" ht="15.75" customHeight="1" s="18">
      <c r="A159" s="3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</row>
    <row r="160" ht="15.75" customHeight="1" s="18">
      <c r="A160" s="3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</row>
    <row r="161" ht="15.75" customHeight="1" s="18">
      <c r="A161" s="3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</row>
    <row r="162" ht="15.75" customHeight="1" s="18">
      <c r="A162" s="3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</row>
    <row r="163" ht="15.75" customHeight="1" s="18">
      <c r="A163" s="3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</row>
    <row r="164" ht="15.75" customHeight="1" s="18">
      <c r="A164" s="3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</row>
    <row r="165" ht="15.75" customHeight="1" s="18">
      <c r="A165" s="3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</row>
    <row r="166" ht="15.75" customHeight="1" s="18">
      <c r="A166" s="3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</row>
    <row r="167" ht="15.75" customHeight="1" s="18">
      <c r="A167" s="3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</row>
    <row r="168" ht="15.75" customHeight="1" s="18">
      <c r="A168" s="3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</row>
    <row r="169" ht="15.75" customHeight="1" s="18">
      <c r="A169" s="3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</row>
    <row r="170" ht="15.75" customHeight="1" s="18">
      <c r="A170" s="3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</row>
    <row r="171" ht="15.75" customHeight="1" s="18">
      <c r="A171" s="3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</row>
    <row r="172" ht="15.75" customHeight="1" s="18">
      <c r="A172" s="3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</row>
    <row r="173" ht="15.75" customHeight="1" s="18">
      <c r="A173" s="3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</row>
    <row r="174" ht="15.75" customHeight="1" s="18">
      <c r="A174" s="3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</row>
    <row r="175" ht="15.75" customHeight="1" s="18">
      <c r="A175" s="3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</row>
    <row r="176" ht="15.75" customHeight="1" s="18">
      <c r="A176" s="3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</row>
    <row r="177" ht="15.75" customHeight="1" s="18">
      <c r="A177" s="3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</row>
    <row r="178" ht="15.75" customHeight="1" s="18">
      <c r="A178" s="3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</row>
    <row r="179" ht="15.75" customHeight="1" s="18">
      <c r="A179" s="3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</row>
    <row r="180" ht="15.75" customHeight="1" s="18">
      <c r="A180" s="3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</row>
    <row r="181" ht="15.75" customHeight="1" s="18">
      <c r="A181" s="3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</row>
    <row r="182" ht="15.75" customHeight="1" s="18">
      <c r="A182" s="3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</row>
    <row r="183" ht="15.75" customHeight="1" s="18">
      <c r="A183" s="3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</row>
    <row r="184" ht="15.75" customHeight="1" s="18">
      <c r="A184" s="3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</row>
    <row r="185" ht="15.75" customHeight="1" s="18">
      <c r="A185" s="3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</row>
    <row r="186" ht="15.75" customHeight="1" s="18">
      <c r="A186" s="3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</row>
    <row r="187" ht="15.75" customHeight="1" s="18">
      <c r="A187" s="3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</row>
    <row r="188" ht="15.75" customHeight="1" s="18">
      <c r="A188" s="3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</row>
    <row r="189" ht="15.75" customHeight="1" s="18">
      <c r="A189" s="3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</row>
    <row r="190" ht="15.75" customHeight="1" s="18">
      <c r="A190" s="3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</row>
    <row r="191" ht="15.75" customHeight="1" s="18">
      <c r="A191" s="3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</row>
    <row r="192" ht="15.75" customHeight="1" s="18">
      <c r="A192" s="3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</row>
    <row r="193" ht="15.75" customHeight="1" s="18">
      <c r="A193" s="3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</row>
    <row r="194" ht="15.75" customHeight="1" s="18">
      <c r="A194" s="3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</row>
    <row r="195" ht="15.75" customHeight="1" s="18">
      <c r="A195" s="3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</row>
    <row r="196" ht="15.75" customHeight="1" s="18">
      <c r="A196" s="3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</row>
    <row r="197" ht="15.75" customHeight="1" s="18">
      <c r="A197" s="3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</row>
    <row r="198" ht="15.75" customHeight="1" s="18">
      <c r="A198" s="3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</row>
    <row r="199" ht="15.75" customHeight="1" s="18">
      <c r="A199" s="3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</row>
    <row r="200" ht="15.75" customHeight="1" s="18">
      <c r="A200" s="3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</row>
    <row r="201" ht="15.75" customHeight="1" s="18">
      <c r="A201" s="3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</row>
    <row r="202" ht="15.75" customHeight="1" s="18">
      <c r="A202" s="3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</row>
    <row r="203" ht="15.75" customHeight="1" s="18">
      <c r="A203" s="3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</row>
    <row r="204" ht="15.75" customHeight="1" s="18">
      <c r="A204" s="3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</row>
    <row r="205" ht="15.75" customHeight="1" s="18">
      <c r="A205" s="3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</row>
    <row r="206" ht="15.75" customHeight="1" s="18">
      <c r="A206" s="3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</row>
    <row r="207" ht="15.75" customHeight="1" s="18">
      <c r="A207" s="3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</row>
    <row r="208" ht="15.75" customHeight="1" s="18">
      <c r="A208" s="3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</row>
    <row r="209" ht="15.75" customHeight="1" s="18">
      <c r="A209" s="3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</row>
    <row r="210" ht="15.75" customHeight="1" s="18">
      <c r="A210" s="3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</row>
    <row r="211" ht="15.75" customHeight="1" s="18">
      <c r="A211" s="3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</row>
    <row r="212" ht="15.75" customHeight="1" s="18">
      <c r="A212" s="3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</row>
    <row r="213" ht="15.75" customHeight="1" s="18">
      <c r="A213" s="3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</row>
    <row r="214" ht="15.75" customHeight="1" s="18">
      <c r="A214" s="3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</row>
    <row r="215" ht="15.75" customHeight="1" s="18">
      <c r="A215" s="3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</row>
    <row r="216" ht="15.75" customHeight="1" s="18">
      <c r="A216" s="3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</row>
    <row r="217" ht="15.75" customHeight="1" s="18">
      <c r="A217" s="3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</row>
    <row r="218" ht="15.75" customHeight="1" s="18">
      <c r="A218" s="3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</row>
    <row r="219" ht="15.75" customHeight="1" s="18">
      <c r="A219" s="3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</row>
    <row r="220" ht="15.75" customHeight="1" s="18">
      <c r="A220" s="3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</row>
    <row r="221" ht="15.75" customHeight="1" s="18">
      <c r="A221" s="3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</row>
    <row r="222" ht="15.75" customHeight="1" s="18">
      <c r="A222" s="3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</row>
    <row r="223" ht="15.75" customHeight="1" s="18">
      <c r="A223" s="3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</row>
    <row r="224" ht="15.75" customHeight="1" s="18">
      <c r="A224" s="3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</row>
    <row r="225" ht="15.75" customHeight="1" s="18">
      <c r="A225" s="3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</row>
    <row r="226" ht="15.75" customHeight="1" s="18">
      <c r="A226" s="3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</row>
    <row r="227" ht="15.75" customHeight="1" s="18">
      <c r="A227" s="3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</row>
    <row r="228" ht="15.75" customHeight="1" s="18">
      <c r="A228" s="3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</row>
    <row r="229" ht="15.75" customHeight="1" s="18">
      <c r="A229" s="3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</row>
    <row r="230" ht="15.75" customHeight="1" s="18">
      <c r="A230" s="3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</row>
    <row r="231" ht="15.75" customHeight="1" s="18">
      <c r="A231" s="3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</row>
    <row r="232" ht="15.75" customHeight="1" s="18">
      <c r="A232" s="3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</row>
    <row r="233" ht="15.75" customHeight="1" s="18">
      <c r="A233" s="3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</row>
    <row r="234" ht="15.75" customHeight="1" s="18">
      <c r="A234" s="3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</row>
    <row r="235" ht="15.75" customHeight="1" s="18">
      <c r="A235" s="3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</row>
    <row r="236" ht="15.75" customHeight="1" s="18">
      <c r="A236" s="3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</row>
    <row r="237" ht="15.75" customHeight="1" s="18">
      <c r="A237" s="3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</row>
    <row r="238" ht="15.75" customHeight="1" s="18">
      <c r="A238" s="3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</row>
    <row r="239" ht="15.75" customHeight="1" s="18">
      <c r="A239" s="3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</row>
    <row r="240" ht="15.75" customHeight="1" s="18">
      <c r="A240" s="3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</row>
    <row r="241" ht="15.75" customHeight="1" s="18">
      <c r="A241" s="3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</row>
    <row r="242" ht="15.75" customHeight="1" s="18">
      <c r="A242" s="3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</row>
    <row r="243" ht="15.75" customHeight="1" s="18">
      <c r="A243" s="3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</row>
    <row r="244" ht="15.75" customHeight="1" s="18">
      <c r="A244" s="3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</row>
    <row r="245" ht="15.75" customHeight="1" s="18">
      <c r="A245" s="3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</row>
    <row r="246" ht="15.75" customHeight="1" s="18">
      <c r="A246" s="3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</row>
    <row r="247" ht="15.75" customHeight="1" s="18">
      <c r="A247" s="3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</row>
    <row r="248" ht="15.75" customHeight="1" s="18">
      <c r="A248" s="3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</row>
    <row r="249" ht="15.75" customHeight="1" s="18">
      <c r="A249" s="3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</row>
    <row r="250" ht="15.75" customHeight="1" s="18">
      <c r="A250" s="3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</row>
    <row r="251" ht="15.75" customHeight="1" s="18">
      <c r="A251" s="3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</row>
    <row r="252" ht="15.75" customHeight="1" s="18">
      <c r="A252" s="3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</row>
    <row r="253" ht="15.75" customHeight="1" s="18">
      <c r="A253" s="3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</row>
    <row r="254" ht="15.75" customHeight="1" s="18">
      <c r="A254" s="3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</row>
    <row r="255" ht="15.75" customHeight="1" s="18">
      <c r="A255" s="3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</row>
    <row r="256" ht="15.75" customHeight="1" s="18">
      <c r="A256" s="3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</row>
    <row r="257" ht="15.75" customHeight="1" s="18">
      <c r="A257" s="3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</row>
    <row r="258" ht="15.75" customHeight="1" s="18">
      <c r="A258" s="3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</row>
    <row r="259" ht="15.75" customHeight="1" s="18">
      <c r="A259" s="3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</row>
    <row r="260" ht="15.75" customHeight="1" s="18">
      <c r="A260" s="3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</row>
    <row r="261" ht="15.75" customHeight="1" s="18">
      <c r="A261" s="3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</row>
    <row r="262" ht="15.75" customHeight="1" s="18">
      <c r="A262" s="3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</row>
    <row r="263" ht="15.75" customHeight="1" s="18">
      <c r="A263" s="3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</row>
    <row r="264" ht="15.75" customHeight="1" s="18">
      <c r="A264" s="3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</row>
    <row r="265" ht="15.75" customHeight="1" s="18">
      <c r="A265" s="3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</row>
    <row r="266" ht="15.75" customHeight="1" s="18">
      <c r="A266" s="3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</row>
    <row r="267" ht="15.75" customHeight="1" s="18">
      <c r="A267" s="3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</row>
    <row r="268" ht="15.75" customHeight="1" s="18">
      <c r="A268" s="3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</row>
    <row r="269" ht="15.75" customHeight="1" s="18">
      <c r="A269" s="3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</row>
    <row r="270" ht="15.75" customHeight="1" s="18">
      <c r="A270" s="3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</row>
    <row r="271" ht="15.75" customHeight="1" s="18">
      <c r="A271" s="3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</row>
    <row r="272" ht="15.75" customHeight="1" s="18">
      <c r="A272" s="3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</row>
    <row r="273" ht="15.75" customHeight="1" s="18">
      <c r="A273" s="3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</row>
    <row r="274" ht="15.75" customHeight="1" s="18">
      <c r="A274" s="3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</row>
    <row r="275" ht="15.75" customHeight="1" s="18">
      <c r="A275" s="3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</row>
    <row r="276" ht="15.75" customHeight="1" s="18">
      <c r="A276" s="3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</row>
    <row r="277" ht="15.75" customHeight="1" s="18">
      <c r="A277" s="3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</row>
    <row r="278" ht="15.75" customHeight="1" s="18">
      <c r="A278" s="3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</row>
    <row r="279" ht="15.75" customHeight="1" s="18">
      <c r="A279" s="3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</row>
    <row r="280" ht="15.75" customHeight="1" s="18">
      <c r="A280" s="3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</row>
    <row r="281" ht="15.75" customHeight="1" s="18">
      <c r="A281" s="3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</row>
    <row r="282" ht="15.75" customHeight="1" s="18">
      <c r="A282" s="3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</row>
    <row r="283" ht="15.75" customHeight="1" s="18">
      <c r="A283" s="3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</row>
    <row r="284" ht="15.75" customHeight="1" s="18">
      <c r="A284" s="3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</row>
    <row r="285" ht="15.75" customHeight="1" s="18">
      <c r="A285" s="3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</row>
    <row r="286" ht="15.75" customHeight="1" s="18">
      <c r="A286" s="3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</row>
    <row r="287" ht="15.75" customHeight="1" s="18">
      <c r="A287" s="3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</row>
    <row r="288" ht="15.75" customHeight="1" s="18">
      <c r="A288" s="3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</row>
    <row r="289" ht="15.75" customHeight="1" s="18">
      <c r="A289" s="3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</row>
    <row r="290" ht="15.75" customHeight="1" s="18">
      <c r="A290" s="3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</row>
    <row r="291" ht="15.75" customHeight="1" s="18">
      <c r="A291" s="3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</row>
    <row r="292" ht="15.75" customHeight="1" s="18">
      <c r="A292" s="3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</row>
    <row r="293" ht="15.75" customHeight="1" s="18">
      <c r="A293" s="3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</row>
    <row r="294" ht="15.75" customHeight="1" s="18">
      <c r="A294" s="3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</row>
    <row r="295" ht="15.75" customHeight="1" s="18">
      <c r="A295" s="3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</row>
    <row r="296" ht="15.75" customHeight="1" s="18">
      <c r="A296" s="3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</row>
    <row r="297" ht="15.75" customHeight="1" s="18">
      <c r="A297" s="3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</row>
    <row r="298" ht="15.75" customHeight="1" s="18">
      <c r="A298" s="3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</row>
    <row r="299" ht="15.75" customHeight="1" s="18">
      <c r="A299" s="3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</row>
    <row r="300" ht="15.75" customHeight="1" s="18">
      <c r="A300" s="3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</row>
    <row r="301" ht="15.75" customHeight="1" s="18">
      <c r="A301" s="3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</row>
    <row r="302" ht="15.75" customHeight="1" s="18">
      <c r="A302" s="3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</row>
    <row r="303" ht="15.75" customHeight="1" s="18">
      <c r="A303" s="3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</row>
    <row r="304" ht="15.75" customHeight="1" s="18">
      <c r="A304" s="3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</row>
    <row r="305" ht="15.75" customHeight="1" s="18">
      <c r="A305" s="3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</row>
    <row r="306" ht="15.75" customHeight="1" s="18">
      <c r="A306" s="3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</row>
    <row r="307" ht="15.75" customHeight="1" s="18">
      <c r="A307" s="3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</row>
  </sheetData>
  <conditionalFormatting sqref="D2:BA100">
    <cfRule type="expression" priority="1" dxfId="0">
      <formula>D2="R"</formula>
    </cfRule>
    <cfRule type="expression" priority="2" dxfId="1">
      <formula>D2="A"</formula>
    </cfRule>
    <cfRule type="expression" priority="3" dxfId="2">
      <formula>D2="S"</formula>
    </cfRule>
    <cfRule type="expression" priority="4" dxfId="3">
      <formula>D2="C"</formula>
    </cfRule>
    <cfRule type="expression" priority="5" dxfId="4">
      <formula>D2="I"</formula>
    </cfRule>
  </conditionalFormatting>
  <dataValidations count="1">
    <dataValidation sqref="D2:BA100" showDropDown="0" showInputMessage="0" showErrorMessage="0" allowBlank="1" type="list">
      <formula1>"R,A,S,C,I"</formula1>
    </dataValidation>
  </dataValidation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18" min="1" max="1"/>
    <col width="25" customWidth="1" style="18" min="2" max="2"/>
    <col width="12" customWidth="1" style="18" min="3" max="3"/>
    <col width="18" customWidth="1" style="18" min="4" max="4"/>
    <col width="25" customWidth="1" style="18" min="5" max="5"/>
    <col width="18" customWidth="1" style="18" min="6" max="6"/>
    <col width="14" customWidth="1" style="18" min="7" max="7"/>
    <col width="14" customWidth="1" style="18" min="8" max="8"/>
    <col width="25.57" customWidth="1" style="18" min="9" max="9"/>
    <col width="9.140000000000001" customWidth="1" style="18" min="10" max="26"/>
  </cols>
  <sheetData>
    <row r="1" ht="15" customHeight="1" s="18">
      <c r="A1" s="19" t="inlineStr">
        <is>
          <t>No</t>
        </is>
      </c>
      <c r="B1" s="19" t="inlineStr">
        <is>
          <t>Name</t>
        </is>
      </c>
      <c r="C1" s="19" t="inlineStr">
        <is>
          <t>Code</t>
        </is>
      </c>
      <c r="D1" s="19" t="inlineStr">
        <is>
          <t>Position</t>
        </is>
      </c>
      <c r="E1" s="19" t="inlineStr">
        <is>
          <t>Skills</t>
        </is>
      </c>
      <c r="F1" s="19" t="inlineStr">
        <is>
          <t>Current Projects</t>
        </is>
      </c>
      <c r="G1" s="19" t="inlineStr">
        <is>
          <t>Active Tasks</t>
        </is>
      </c>
      <c r="H1" s="19" t="inlineStr">
        <is>
          <t>Active Issues</t>
        </is>
      </c>
      <c r="I1" s="14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</row>
    <row r="2" ht="15" customHeight="1" s="18">
      <c r="A2" s="20" t="n">
        <v>1</v>
      </c>
      <c r="B2" s="21" t="inlineStr">
        <is>
          <t>Đinh Hoàng Phú</t>
        </is>
      </c>
      <c r="C2" s="20" t="inlineStr">
        <is>
          <t>phudh2</t>
        </is>
      </c>
      <c r="D2" s="21" t="n"/>
      <c r="E2" s="21" t="n"/>
      <c r="F2" s="20">
        <f>IF($C$2="","",SUMPRODUCT((Tasks!$E$2:$E$501=$C$2)*(Tasks!$G$2:$G$501&lt;&gt;"Done")*1/COUNTIF(Tasks!$B$2:$B$501&amp;Tasks!$E$2:$E$501,Tasks!$B$2:$B$501&amp;Tasks!$E$2:$E$501)))</f>
        <v/>
      </c>
      <c r="G2" s="20">
        <f>IF($C$2="","",COUNTIFS(Tasks!$E:$E,$C$2,Tasks!$G:$G,"&lt;&gt;Done",Tasks!$D:$D,"&lt;&gt;"))</f>
        <v/>
      </c>
      <c r="H2" s="20">
        <f>IF($C$2="","",COUNTIFS(Tasks!$E:$E,$C$2,Tasks!$G:$G,"Bug"))</f>
        <v/>
      </c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 ht="15" customHeight="1" s="18">
      <c r="A3" s="20" t="n">
        <v>2</v>
      </c>
      <c r="B3" s="21" t="inlineStr">
        <is>
          <t>Lê Trí Kiên</t>
        </is>
      </c>
      <c r="C3" s="20" t="inlineStr">
        <is>
          <t>kienlt44</t>
        </is>
      </c>
      <c r="D3" s="21" t="n"/>
      <c r="E3" s="21" t="n"/>
      <c r="F3" s="20">
        <f>IF($C$3="","",SUMPRODUCT((Tasks!$E$2:$E$501=$C$3)*(Tasks!$G$2:$G$501&lt;&gt;"Done")*1/COUNTIF(Tasks!$B$2:$B$501&amp;Tasks!$E$2:$E$501,Tasks!$B$2:$B$501&amp;Tasks!$E$2:$E$501)))</f>
        <v/>
      </c>
      <c r="G3" s="20">
        <f>IF($C$3="","",COUNTIFS(Tasks!$E:$E,$C$3,Tasks!$G:$G,"&lt;&gt;Done",Tasks!$D:$D,"&lt;&gt;"))</f>
        <v/>
      </c>
      <c r="H3" s="20">
        <f>IF($C$3="","",COUNTIFS(Tasks!$E:$E,$C$3,Tasks!$G:$G,"Bug"))</f>
        <v/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</row>
    <row r="4" ht="15" customHeight="1" s="18">
      <c r="A4" s="20" t="n">
        <v>3</v>
      </c>
      <c r="B4" s="21" t="inlineStr">
        <is>
          <t>Phạm Nam Hiền</t>
        </is>
      </c>
      <c r="C4" s="20" t="inlineStr">
        <is>
          <t>hienpn2</t>
        </is>
      </c>
      <c r="D4" s="21" t="n"/>
      <c r="E4" s="21" t="n"/>
      <c r="F4" s="20">
        <f>IF($C$4="","",SUMPRODUCT((Tasks!$E$2:$E$501=$C$4)*(Tasks!$G$2:$G$501&lt;&gt;"Done")*1/COUNTIF(Tasks!$B$2:$B$501&amp;Tasks!$E$2:$E$501,Tasks!$B$2:$B$501&amp;Tasks!$E$2:$E$501)))</f>
        <v/>
      </c>
      <c r="G4" s="20">
        <f>IF($C$4="","",COUNTIFS(Tasks!$E:$E,$C$4,Tasks!$G:$G,"&lt;&gt;Done",Tasks!$D:$D,"&lt;&gt;"))</f>
        <v/>
      </c>
      <c r="H4" s="20">
        <f>IF($C$4="","",COUNTIFS(Tasks!$E:$E,$C$4,Tasks!$G:$G,"Bug"))</f>
        <v/>
      </c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</row>
    <row r="5" ht="15" customHeight="1" s="18">
      <c r="A5" s="20" t="n">
        <v>4</v>
      </c>
      <c r="B5" s="21" t="inlineStr">
        <is>
          <t>Vũ Đăng Khoa</t>
        </is>
      </c>
      <c r="C5" s="20" t="inlineStr">
        <is>
          <t>khoavd11</t>
        </is>
      </c>
      <c r="D5" s="21" t="n"/>
      <c r="E5" s="21" t="n"/>
      <c r="F5" s="20">
        <f>IF($C$5="","",SUMPRODUCT((Tasks!$E$2:$E$501=$C$5)*(Tasks!$G$2:$G$501&lt;&gt;"Done")*1/COUNTIF(Tasks!$B$2:$B$501&amp;Tasks!$E$2:$E$501,Tasks!$B$2:$B$501&amp;Tasks!$E$2:$E$501)))</f>
        <v/>
      </c>
      <c r="G5" s="20">
        <f>IF($C$5="","",COUNTIFS(Tasks!$E:$E,$C$5,Tasks!$G:$G,"&lt;&gt;Done",Tasks!$D:$D,"&lt;&gt;"))</f>
        <v/>
      </c>
      <c r="H5" s="20">
        <f>IF($C$5="","",COUNTIFS(Tasks!$E:$E,$C$5,Tasks!$G:$G,"Bug"))</f>
        <v/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</row>
    <row r="6" ht="15" customHeight="1" s="18">
      <c r="A6" s="20" t="n">
        <v>5</v>
      </c>
      <c r="B6" s="21" t="inlineStr">
        <is>
          <t>Lê Tiến Anh</t>
        </is>
      </c>
      <c r="C6" s="20" t="inlineStr">
        <is>
          <t>anhlt25</t>
        </is>
      </c>
      <c r="D6" s="21" t="n"/>
      <c r="E6" s="21" t="n"/>
      <c r="F6" s="20">
        <f>IF($C$6="","",SUMPRODUCT((Tasks!$E$2:$E$501=$C$6)*(Tasks!$G$2:$G$501&lt;&gt;"Done")*1/COUNTIF(Tasks!$B$2:$B$501&amp;Tasks!$E$2:$E$501,Tasks!$B$2:$B$501&amp;Tasks!$E$2:$E$501)))</f>
        <v/>
      </c>
      <c r="G6" s="20">
        <f>IF($C$6="","",COUNTIFS(Tasks!$E:$E,$C$6,Tasks!$G:$G,"&lt;&gt;Done",Tasks!$D:$D,"&lt;&gt;"))</f>
        <v/>
      </c>
      <c r="H6" s="20">
        <f>IF($C$6="","",COUNTIFS(Tasks!$E:$E,$C$6,Tasks!$G:$G,"Bug"))</f>
        <v/>
      </c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 ht="15" customHeight="1" s="18">
      <c r="A7" s="20" t="n">
        <v>6</v>
      </c>
      <c r="B7" s="21" t="inlineStr">
        <is>
          <t>Lê Dương Khánh Huy</t>
        </is>
      </c>
      <c r="C7" s="20" t="inlineStr">
        <is>
          <t>huyldk</t>
        </is>
      </c>
      <c r="D7" s="21" t="n"/>
      <c r="E7" s="21" t="n"/>
      <c r="F7" s="20">
        <f>IF($C$7="","",SUMPRODUCT((Tasks!$E$2:$E$501=$C$7)*(Tasks!$G$2:$G$501&lt;&gt;"Done")*1/COUNTIF(Tasks!$B$2:$B$501&amp;Tasks!$E$2:$E$501,Tasks!$B$2:$B$501&amp;Tasks!$E$2:$E$501)))</f>
        <v/>
      </c>
      <c r="G7" s="20">
        <f>IF($C$7="","",COUNTIFS(Tasks!$E:$E,$C$7,Tasks!$G:$G,"&lt;&gt;Done",Tasks!$D:$D,"&lt;&gt;"))</f>
        <v/>
      </c>
      <c r="H7" s="20">
        <f>IF($C$7="","",COUNTIFS(Tasks!$E:$E,$C$7,Tasks!$G:$G,"Bug"))</f>
        <v/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</row>
    <row r="8" ht="15" customHeight="1" s="18">
      <c r="A8" s="20" t="n">
        <v>7</v>
      </c>
      <c r="B8" s="21" t="inlineStr">
        <is>
          <t>Tôn Thất Phúc Khánh</t>
        </is>
      </c>
      <c r="C8" s="20" t="inlineStr">
        <is>
          <t>khanhttp</t>
        </is>
      </c>
      <c r="D8" s="21" t="n"/>
      <c r="E8" s="21" t="n"/>
      <c r="F8" s="20">
        <f>IF($C$8="","",SUMPRODUCT((Tasks!$E$2:$E$501=$C$8)*(Tasks!$G$2:$G$501&lt;&gt;"Done")*1/COUNTIF(Tasks!$B$2:$B$501&amp;Tasks!$E$2:$E$501,Tasks!$B$2:$B$501&amp;Tasks!$E$2:$E$501)))</f>
        <v/>
      </c>
      <c r="G8" s="20">
        <f>IF($C$8="","",COUNTIFS(Tasks!$E:$E,$C$8,Tasks!$G:$G,"&lt;&gt;Done",Tasks!$D:$D,"&lt;&gt;"))</f>
        <v/>
      </c>
      <c r="H8" s="20">
        <f>IF($C$8="","",COUNTIFS(Tasks!$E:$E,$C$8,Tasks!$G:$G,"Bug"))</f>
        <v/>
      </c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</row>
    <row r="9" ht="15" customHeight="1" s="18">
      <c r="A9" s="20" t="n"/>
      <c r="B9" s="21" t="n"/>
      <c r="C9" s="20" t="n"/>
      <c r="D9" s="21" t="n"/>
      <c r="E9" s="21" t="n"/>
      <c r="F9" s="20">
        <f>IF($C$9="","",SUMPRODUCT((Tasks!$E$2:$E$501=$C$9)*(Tasks!$G$2:$G$501&lt;&gt;"Done")*1/COUNTIF(Tasks!$B$2:$B$501&amp;Tasks!$E$2:$E$501,Tasks!$B$2:$B$501&amp;Tasks!$E$2:$E$501)))</f>
        <v/>
      </c>
      <c r="G9" s="20">
        <f>IF($C$9="","",COUNTIFS(Tasks!$E:$E,$C$9,Tasks!$G:$G,"&lt;&gt;Done",Tasks!$D:$D,"&lt;&gt;"))</f>
        <v/>
      </c>
      <c r="H9" s="20">
        <f>IF($C$9="","",COUNTIFS(Tasks!$E:$E,$C$9,Tasks!$G:$G,"Bug"))</f>
        <v/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</row>
    <row r="10" ht="15" customHeight="1" s="18">
      <c r="A10" s="20" t="n"/>
      <c r="B10" s="21" t="n"/>
      <c r="C10" s="20" t="n"/>
      <c r="D10" s="21" t="n"/>
      <c r="E10" s="21" t="n"/>
      <c r="F10" s="20">
        <f>IF($C$10="","",SUMPRODUCT((Tasks!$E$2:$E$501=$C$10)*(Tasks!$G$2:$G$501&lt;&gt;"Done")*1/COUNTIF(Tasks!$B$2:$B$501&amp;Tasks!$E$2:$E$501,Tasks!$B$2:$B$501&amp;Tasks!$E$2:$E$501)))</f>
        <v/>
      </c>
      <c r="G10" s="20">
        <f>IF($C$10="","",COUNTIFS(Tasks!$E:$E,$C$10,Tasks!$G:$G,"&lt;&gt;Done",Tasks!$D:$D,"&lt;&gt;"))</f>
        <v/>
      </c>
      <c r="H10" s="20">
        <f>IF($C$10="","",COUNTIFS(Tasks!$E:$E,$C$10,Tasks!$G:$G,"Bug"))</f>
        <v/>
      </c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</row>
    <row r="11" ht="15" customHeight="1" s="18">
      <c r="A11" s="20" t="n"/>
      <c r="B11" s="21" t="n"/>
      <c r="C11" s="20" t="n"/>
      <c r="D11" s="21" t="n"/>
      <c r="E11" s="21" t="n"/>
      <c r="F11" s="20">
        <f>IF($C$11="","",SUMPRODUCT((Tasks!$E$2:$E$501=$C$11)*(Tasks!$G$2:$G$501&lt;&gt;"Done")*1/COUNTIF(Tasks!$B$2:$B$501&amp;Tasks!$E$2:$E$501,Tasks!$B$2:$B$501&amp;Tasks!$E$2:$E$501)))</f>
        <v/>
      </c>
      <c r="G11" s="20">
        <f>IF($C$11="","",COUNTIFS(Tasks!$E:$E,$C$11,Tasks!$G:$G,"&lt;&gt;Done",Tasks!$D:$D,"&lt;&gt;"))</f>
        <v/>
      </c>
      <c r="H11" s="20">
        <f>IF($C$11="","",COUNTIFS(Tasks!$E:$E,$C$11,Tasks!$G:$G,"Bug"))</f>
        <v/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</row>
    <row r="12" ht="15" customHeight="1" s="18">
      <c r="A12" s="20" t="n"/>
      <c r="B12" s="21" t="n"/>
      <c r="C12" s="20" t="n"/>
      <c r="D12" s="21" t="n"/>
      <c r="E12" s="21" t="n"/>
      <c r="F12" s="20">
        <f>IF($C$12="","",SUMPRODUCT((Tasks!$E$2:$E$501=$C$12)*(Tasks!$G$2:$G$501&lt;&gt;"Done")*1/COUNTIF(Tasks!$B$2:$B$501&amp;Tasks!$E$2:$E$501,Tasks!$B$2:$B$501&amp;Tasks!$E$2:$E$501)))</f>
        <v/>
      </c>
      <c r="G12" s="20">
        <f>IF($C$12="","",COUNTIFS(Tasks!$E:$E,$C$12,Tasks!$G:$G,"&lt;&gt;Done",Tasks!$D:$D,"&lt;&gt;"))</f>
        <v/>
      </c>
      <c r="H12" s="20">
        <f>IF($C$12="","",COUNTIFS(Tasks!$E:$E,$C$12,Tasks!$G:$G,"Bug"))</f>
        <v/>
      </c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</row>
    <row r="13" ht="15" customHeight="1" s="18">
      <c r="A13" s="20" t="n"/>
      <c r="B13" s="21" t="n"/>
      <c r="C13" s="20" t="n"/>
      <c r="D13" s="21" t="n"/>
      <c r="E13" s="21" t="n"/>
      <c r="F13" s="20">
        <f>IF($C$13="","",SUMPRODUCT((Tasks!$E$2:$E$501=$C$13)*(Tasks!$G$2:$G$501&lt;&gt;"Done")*1/COUNTIF(Tasks!$B$2:$B$501&amp;Tasks!$E$2:$E$501,Tasks!$B$2:$B$501&amp;Tasks!$E$2:$E$501)))</f>
        <v/>
      </c>
      <c r="G13" s="20">
        <f>IF($C$13="","",COUNTIFS(Tasks!$E:$E,$C$13,Tasks!$G:$G,"&lt;&gt;Done",Tasks!$D:$D,"&lt;&gt;"))</f>
        <v/>
      </c>
      <c r="H13" s="20">
        <f>IF($C$13="","",COUNTIFS(Tasks!$E:$E,$C$13,Tasks!$G:$G,"Bug"))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</row>
    <row r="14" ht="15" customHeight="1" s="18">
      <c r="A14" s="20" t="n"/>
      <c r="B14" s="21" t="n"/>
      <c r="C14" s="20" t="n"/>
      <c r="D14" s="21" t="n"/>
      <c r="E14" s="21" t="n"/>
      <c r="F14" s="20">
        <f>IF($C$14="","",SUMPRODUCT((Tasks!$E$2:$E$501=$C$14)*(Tasks!$G$2:$G$501&lt;&gt;"Done")*1/COUNTIF(Tasks!$B$2:$B$501&amp;Tasks!$E$2:$E$501,Tasks!$B$2:$B$501&amp;Tasks!$E$2:$E$501)))</f>
        <v/>
      </c>
      <c r="G14" s="20">
        <f>IF($C$14="","",COUNTIFS(Tasks!$E:$E,$C$14,Tasks!$G:$G,"&lt;&gt;Done",Tasks!$D:$D,"&lt;&gt;"))</f>
        <v/>
      </c>
      <c r="H14" s="20">
        <f>IF($C$14="","",COUNTIFS(Tasks!$E:$E,$C$14,Tasks!$G:$G,"Bug"))</f>
        <v/>
      </c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</row>
    <row r="15" ht="15" customHeight="1" s="18">
      <c r="A15" s="20" t="n"/>
      <c r="B15" s="21" t="n"/>
      <c r="C15" s="20" t="n"/>
      <c r="D15" s="21" t="n"/>
      <c r="E15" s="21" t="n"/>
      <c r="F15" s="20">
        <f>IF($C$15="","",SUMPRODUCT((Tasks!$E$2:$E$501=$C$15)*(Tasks!$G$2:$G$501&lt;&gt;"Done")*1/COUNTIF(Tasks!$B$2:$B$501&amp;Tasks!$E$2:$E$501,Tasks!$B$2:$B$501&amp;Tasks!$E$2:$E$501)))</f>
        <v/>
      </c>
      <c r="G15" s="20">
        <f>IF($C$15="","",COUNTIFS(Tasks!$E:$E,$C$15,Tasks!$G:$G,"&lt;&gt;Done",Tasks!$D:$D,"&lt;&gt;"))</f>
        <v/>
      </c>
      <c r="H15" s="20">
        <f>IF($C$15="","",COUNTIFS(Tasks!$E:$E,$C$15,Tasks!$G:$G,"Bug"))</f>
        <v/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</row>
    <row r="16" ht="15" customHeight="1" s="18">
      <c r="A16" s="20" t="n"/>
      <c r="B16" s="21" t="n"/>
      <c r="C16" s="20" t="n"/>
      <c r="D16" s="21" t="n"/>
      <c r="E16" s="21" t="n"/>
      <c r="F16" s="20">
        <f>IF($C$16="","",SUMPRODUCT((Tasks!$E$2:$E$501=$C$16)*(Tasks!$G$2:$G$501&lt;&gt;"Done")*1/COUNTIF(Tasks!$B$2:$B$501&amp;Tasks!$E$2:$E$501,Tasks!$B$2:$B$501&amp;Tasks!$E$2:$E$501)))</f>
        <v/>
      </c>
      <c r="G16" s="20">
        <f>IF($C$16="","",COUNTIFS(Tasks!$E:$E,$C$16,Tasks!$G:$G,"&lt;&gt;Done",Tasks!$D:$D,"&lt;&gt;"))</f>
        <v/>
      </c>
      <c r="H16" s="20">
        <f>IF($C$16="","",COUNTIFS(Tasks!$E:$E,$C$16,Tasks!$G:$G,"Bug"))</f>
        <v/>
      </c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</row>
    <row r="17" ht="15" customHeight="1" s="18">
      <c r="A17" s="20" t="n"/>
      <c r="B17" s="21" t="n"/>
      <c r="C17" s="20" t="n"/>
      <c r="D17" s="21" t="n"/>
      <c r="E17" s="21" t="n"/>
      <c r="F17" s="20">
        <f>IF($C$17="","",SUMPRODUCT((Tasks!$E$2:$E$501=$C$17)*(Tasks!$G$2:$G$501&lt;&gt;"Done")*1/COUNTIF(Tasks!$B$2:$B$501&amp;Tasks!$E$2:$E$501,Tasks!$B$2:$B$501&amp;Tasks!$E$2:$E$501)))</f>
        <v/>
      </c>
      <c r="G17" s="20">
        <f>IF($C$17="","",COUNTIFS(Tasks!$E:$E,$C$17,Tasks!$G:$G,"&lt;&gt;Done",Tasks!$D:$D,"&lt;&gt;"))</f>
        <v/>
      </c>
      <c r="H17" s="20">
        <f>IF($C$17="","",COUNTIFS(Tasks!$E:$E,$C$17,Tasks!$G:$G,"Bug"))</f>
        <v/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</row>
    <row r="18" ht="15" customHeight="1" s="18">
      <c r="A18" s="20" t="n"/>
      <c r="B18" s="21" t="n"/>
      <c r="C18" s="20" t="n"/>
      <c r="D18" s="21" t="n"/>
      <c r="E18" s="21" t="n"/>
      <c r="F18" s="20">
        <f>IF($C$18="","",SUMPRODUCT((Tasks!$E$2:$E$501=$C$18)*(Tasks!$G$2:$G$501&lt;&gt;"Done")*1/COUNTIF(Tasks!$B$2:$B$501&amp;Tasks!$E$2:$E$501,Tasks!$B$2:$B$501&amp;Tasks!$E$2:$E$501)))</f>
        <v/>
      </c>
      <c r="G18" s="20">
        <f>IF($C$18="","",COUNTIFS(Tasks!$E:$E,$C$18,Tasks!$G:$G,"&lt;&gt;Done",Tasks!$D:$D,"&lt;&gt;"))</f>
        <v/>
      </c>
      <c r="H18" s="20">
        <f>IF($C$18="","",COUNTIFS(Tasks!$E:$E,$C$18,Tasks!$G:$G,"Bug"))</f>
        <v/>
      </c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</row>
    <row r="19" ht="15" customHeight="1" s="18">
      <c r="A19" s="20" t="n"/>
      <c r="B19" s="21" t="n"/>
      <c r="C19" s="20" t="n"/>
      <c r="D19" s="21" t="n"/>
      <c r="E19" s="21" t="n"/>
      <c r="F19" s="20">
        <f>IF($C$19="","",SUMPRODUCT((Tasks!$E$2:$E$501=$C$19)*(Tasks!$G$2:$G$501&lt;&gt;"Done")*1/COUNTIF(Tasks!$B$2:$B$501&amp;Tasks!$E$2:$E$501,Tasks!$B$2:$B$501&amp;Tasks!$E$2:$E$501)))</f>
        <v/>
      </c>
      <c r="G19" s="20">
        <f>IF($C$19="","",COUNTIFS(Tasks!$E:$E,$C$19,Tasks!$G:$G,"&lt;&gt;Done",Tasks!$D:$D,"&lt;&gt;"))</f>
        <v/>
      </c>
      <c r="H19" s="20">
        <f>IF($C$19="","",COUNTIFS(Tasks!$E:$E,$C$19,Tasks!$G:$G,"Bug"))</f>
        <v/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</row>
    <row r="20" ht="15" customHeight="1" s="18">
      <c r="A20" s="20" t="n"/>
      <c r="B20" s="21" t="n"/>
      <c r="C20" s="20" t="n"/>
      <c r="D20" s="21" t="n"/>
      <c r="E20" s="21" t="n"/>
      <c r="F20" s="20">
        <f>IF($C$20="","",SUMPRODUCT((Tasks!$E$2:$E$501=$C$20)*(Tasks!$G$2:$G$501&lt;&gt;"Done")*1/COUNTIF(Tasks!$B$2:$B$501&amp;Tasks!$E$2:$E$501,Tasks!$B$2:$B$501&amp;Tasks!$E$2:$E$501)))</f>
        <v/>
      </c>
      <c r="G20" s="20">
        <f>IF($C$20="","",COUNTIFS(Tasks!$E:$E,$C$20,Tasks!$G:$G,"&lt;&gt;Done",Tasks!$D:$D,"&lt;&gt;"))</f>
        <v/>
      </c>
      <c r="H20" s="20">
        <f>IF($C$20="","",COUNTIFS(Tasks!$E:$E,$C$20,Tasks!$G:$G,"Bug"))</f>
        <v/>
      </c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</row>
    <row r="21" ht="15.75" customHeight="1" s="18">
      <c r="A21" s="20" t="n"/>
      <c r="B21" s="21" t="n"/>
      <c r="C21" s="20" t="n"/>
      <c r="D21" s="21" t="n"/>
      <c r="E21" s="21" t="n"/>
      <c r="F21" s="20">
        <f>IF($C$21="","",SUMPRODUCT((Tasks!$E$2:$E$501=$C$21)*(Tasks!$G$2:$G$501&lt;&gt;"Done")*1/COUNTIF(Tasks!$B$2:$B$501&amp;Tasks!$E$2:$E$501,Tasks!$B$2:$B$501&amp;Tasks!$E$2:$E$501)))</f>
        <v/>
      </c>
      <c r="G21" s="20">
        <f>IF($C$21="","",COUNTIFS(Tasks!$E:$E,$C$21,Tasks!$G:$G,"&lt;&gt;Done",Tasks!$D:$D,"&lt;&gt;"))</f>
        <v/>
      </c>
      <c r="H21" s="20">
        <f>IF($C$21="","",COUNTIFS(Tasks!$E:$E,$C$21,Tasks!$G:$G,"Bug"))</f>
        <v/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</row>
    <row r="22" ht="15.75" customHeight="1" s="18">
      <c r="A22" s="20" t="n"/>
      <c r="B22" s="21" t="n"/>
      <c r="C22" s="20" t="n"/>
      <c r="D22" s="21" t="n"/>
      <c r="E22" s="21" t="n"/>
      <c r="F22" s="20">
        <f>IF($C$22="","",SUMPRODUCT((Tasks!$E$2:$E$501=$C$22)*(Tasks!$G$2:$G$501&lt;&gt;"Done")*1/COUNTIF(Tasks!$B$2:$B$501&amp;Tasks!$E$2:$E$501,Tasks!$B$2:$B$501&amp;Tasks!$E$2:$E$501)))</f>
        <v/>
      </c>
      <c r="G22" s="20">
        <f>IF($C$22="","",COUNTIFS(Tasks!$E:$E,$C$22,Tasks!$G:$G,"&lt;&gt;Done",Tasks!$D:$D,"&lt;&gt;"))</f>
        <v/>
      </c>
      <c r="H22" s="20">
        <f>IF($C$22="","",COUNTIFS(Tasks!$E:$E,$C$22,Tasks!$G:$G,"Bug"))</f>
        <v/>
      </c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18">
      <c r="A23" s="20" t="n"/>
      <c r="B23" s="21" t="n"/>
      <c r="C23" s="20" t="n"/>
      <c r="D23" s="21" t="n"/>
      <c r="E23" s="21" t="n"/>
      <c r="F23" s="20">
        <f>IF($C$23="","",SUMPRODUCT((Tasks!$E$2:$E$501=$C$23)*(Tasks!$G$2:$G$501&lt;&gt;"Done")*1/COUNTIF(Tasks!$B$2:$B$501&amp;Tasks!$E$2:$E$501,Tasks!$B$2:$B$501&amp;Tasks!$E$2:$E$501)))</f>
        <v/>
      </c>
      <c r="G23" s="20">
        <f>IF($C$23="","",COUNTIFS(Tasks!$E:$E,$C$23,Tasks!$G:$G,"&lt;&gt;Done",Tasks!$D:$D,"&lt;&gt;"))</f>
        <v/>
      </c>
      <c r="H23" s="20">
        <f>IF($C$23="","",COUNTIFS(Tasks!$E:$E,$C$23,Tasks!$G:$G,"Bug"))</f>
        <v/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</row>
    <row r="24" ht="15.75" customHeight="1" s="18">
      <c r="A24" s="20" t="n"/>
      <c r="B24" s="21" t="n"/>
      <c r="C24" s="20" t="n"/>
      <c r="D24" s="21" t="n"/>
      <c r="E24" s="21" t="n"/>
      <c r="F24" s="20">
        <f>IF($C$24="","",SUMPRODUCT((Tasks!$E$2:$E$501=$C$24)*(Tasks!$G$2:$G$501&lt;&gt;"Done")*1/COUNTIF(Tasks!$B$2:$B$501&amp;Tasks!$E$2:$E$501,Tasks!$B$2:$B$501&amp;Tasks!$E$2:$E$501)))</f>
        <v/>
      </c>
      <c r="G24" s="20">
        <f>IF($C$24="","",COUNTIFS(Tasks!$E:$E,$C$24,Tasks!$G:$G,"&lt;&gt;Done",Tasks!$D:$D,"&lt;&gt;"))</f>
        <v/>
      </c>
      <c r="H24" s="20">
        <f>IF($C$24="","",COUNTIFS(Tasks!$E:$E,$C$24,Tasks!$G:$G,"Bug"))</f>
        <v/>
      </c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</row>
    <row r="25" ht="15.75" customHeight="1" s="18">
      <c r="A25" s="20" t="n"/>
      <c r="B25" s="21" t="n"/>
      <c r="C25" s="20" t="n"/>
      <c r="D25" s="21" t="n"/>
      <c r="E25" s="21" t="n"/>
      <c r="F25" s="20">
        <f>IF($C$25="","",SUMPRODUCT((Tasks!$E$2:$E$501=$C$25)*(Tasks!$G$2:$G$501&lt;&gt;"Done")*1/COUNTIF(Tasks!$B$2:$B$501&amp;Tasks!$E$2:$E$501,Tasks!$B$2:$B$501&amp;Tasks!$E$2:$E$501)))</f>
        <v/>
      </c>
      <c r="G25" s="20">
        <f>IF($C$25="","",COUNTIFS(Tasks!$E:$E,$C$25,Tasks!$G:$G,"&lt;&gt;Done",Tasks!$D:$D,"&lt;&gt;"))</f>
        <v/>
      </c>
      <c r="H25" s="20">
        <f>IF($C$25="","",COUNTIFS(Tasks!$E:$E,$C$25,Tasks!$G:$G,"Bug"))</f>
        <v/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</row>
    <row r="26" ht="15.75" customHeight="1" s="18">
      <c r="A26" s="20" t="n"/>
      <c r="B26" s="21" t="n"/>
      <c r="C26" s="20" t="n"/>
      <c r="D26" s="21" t="n"/>
      <c r="E26" s="21" t="n"/>
      <c r="F26" s="20">
        <f>IF($C$26="","",SUMPRODUCT((Tasks!$E$2:$E$501=$C$26)*(Tasks!$G$2:$G$501&lt;&gt;"Done")*1/COUNTIF(Tasks!$B$2:$B$501&amp;Tasks!$E$2:$E$501,Tasks!$B$2:$B$501&amp;Tasks!$E$2:$E$501)))</f>
        <v/>
      </c>
      <c r="G26" s="20">
        <f>IF($C$26="","",COUNTIFS(Tasks!$E:$E,$C$26,Tasks!$G:$G,"&lt;&gt;Done",Tasks!$D:$D,"&lt;&gt;"))</f>
        <v/>
      </c>
      <c r="H26" s="20">
        <f>IF($C$26="","",COUNTIFS(Tasks!$E:$E,$C$26,Tasks!$G:$G,"Bug"))</f>
        <v/>
      </c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18">
      <c r="A27" s="20" t="n"/>
      <c r="B27" s="21" t="n"/>
      <c r="C27" s="20" t="n"/>
      <c r="D27" s="21" t="n"/>
      <c r="E27" s="21" t="n"/>
      <c r="F27" s="20">
        <f>IF($C$27="","",SUMPRODUCT((Tasks!$E$2:$E$501=$C$27)*(Tasks!$G$2:$G$501&lt;&gt;"Done")*1/COUNTIF(Tasks!$B$2:$B$501&amp;Tasks!$E$2:$E$501,Tasks!$B$2:$B$501&amp;Tasks!$E$2:$E$501)))</f>
        <v/>
      </c>
      <c r="G27" s="20">
        <f>IF($C$27="","",COUNTIFS(Tasks!$E:$E,$C$27,Tasks!$G:$G,"&lt;&gt;Done",Tasks!$D:$D,"&lt;&gt;"))</f>
        <v/>
      </c>
      <c r="H27" s="20">
        <f>IF($C$27="","",COUNTIFS(Tasks!$E:$E,$C$27,Tasks!$G:$G,"Bug"))</f>
        <v/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</row>
    <row r="28" ht="15.75" customHeight="1" s="18">
      <c r="A28" s="20" t="n"/>
      <c r="B28" s="21" t="n"/>
      <c r="C28" s="20" t="n"/>
      <c r="D28" s="21" t="n"/>
      <c r="E28" s="21" t="n"/>
      <c r="F28" s="20">
        <f>IF($C$28="","",SUMPRODUCT((Tasks!$E$2:$E$501=$C$28)*(Tasks!$G$2:$G$501&lt;&gt;"Done")*1/COUNTIF(Tasks!$B$2:$B$501&amp;Tasks!$E$2:$E$501,Tasks!$B$2:$B$501&amp;Tasks!$E$2:$E$501)))</f>
        <v/>
      </c>
      <c r="G28" s="20">
        <f>IF($C$28="","",COUNTIFS(Tasks!$E:$E,$C$28,Tasks!$G:$G,"&lt;&gt;Done",Tasks!$D:$D,"&lt;&gt;"))</f>
        <v/>
      </c>
      <c r="H28" s="20">
        <f>IF($C$28="","",COUNTIFS(Tasks!$E:$E,$C$28,Tasks!$G:$G,"Bug"))</f>
        <v/>
      </c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</row>
    <row r="29" ht="15.75" customHeight="1" s="18">
      <c r="A29" s="20" t="n"/>
      <c r="B29" s="21" t="n"/>
      <c r="C29" s="20" t="n"/>
      <c r="D29" s="21" t="n"/>
      <c r="E29" s="21" t="n"/>
      <c r="F29" s="20">
        <f>IF($C$29="","",SUMPRODUCT((Tasks!$E$2:$E$501=$C$29)*(Tasks!$G$2:$G$501&lt;&gt;"Done")*1/COUNTIF(Tasks!$B$2:$B$501&amp;Tasks!$E$2:$E$501,Tasks!$B$2:$B$501&amp;Tasks!$E$2:$E$501)))</f>
        <v/>
      </c>
      <c r="G29" s="20">
        <f>IF($C$29="","",COUNTIFS(Tasks!$E:$E,$C$29,Tasks!$G:$G,"&lt;&gt;Done",Tasks!$D:$D,"&lt;&gt;"))</f>
        <v/>
      </c>
      <c r="H29" s="20">
        <f>IF($C$29="","",COUNTIFS(Tasks!$E:$E,$C$29,Tasks!$G:$G,"Bug"))</f>
        <v/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18">
      <c r="A30" s="20" t="n"/>
      <c r="B30" s="21" t="n"/>
      <c r="C30" s="20" t="n"/>
      <c r="D30" s="21" t="n"/>
      <c r="E30" s="21" t="n"/>
      <c r="F30" s="20">
        <f>IF($C$30="","",SUMPRODUCT((Tasks!$E$2:$E$501=$C$30)*(Tasks!$G$2:$G$501&lt;&gt;"Done")*1/COUNTIF(Tasks!$B$2:$B$501&amp;Tasks!$E$2:$E$501,Tasks!$B$2:$B$501&amp;Tasks!$E$2:$E$501)))</f>
        <v/>
      </c>
      <c r="G30" s="20">
        <f>IF($C$30="","",COUNTIFS(Tasks!$E:$E,$C$30,Tasks!$G:$G,"&lt;&gt;Done",Tasks!$D:$D,"&lt;&gt;"))</f>
        <v/>
      </c>
      <c r="H30" s="20">
        <f>IF($C$30="","",COUNTIFS(Tasks!$E:$E,$C$30,Tasks!$G:$G,"Bug"))</f>
        <v/>
      </c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</row>
    <row r="31" ht="15.75" customHeight="1" s="18">
      <c r="A31" s="20" t="n"/>
      <c r="B31" s="21" t="n"/>
      <c r="C31" s="20" t="n"/>
      <c r="D31" s="21" t="n"/>
      <c r="E31" s="21" t="n"/>
      <c r="F31" s="20">
        <f>IF($C$31="","",SUMPRODUCT((Tasks!$E$2:$E$501=$C$31)*(Tasks!$G$2:$G$501&lt;&gt;"Done")*1/COUNTIF(Tasks!$B$2:$B$501&amp;Tasks!$E$2:$E$501,Tasks!$B$2:$B$501&amp;Tasks!$E$2:$E$501)))</f>
        <v/>
      </c>
      <c r="G31" s="20">
        <f>IF($C$31="","",COUNTIFS(Tasks!$E:$E,$C$31,Tasks!$G:$G,"&lt;&gt;Done",Tasks!$D:$D,"&lt;&gt;"))</f>
        <v/>
      </c>
      <c r="H31" s="20">
        <f>IF($C$31="","",COUNTIFS(Tasks!$E:$E,$C$31,Tasks!$G:$G,"Bug"))</f>
        <v/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</row>
    <row r="32" ht="15.75" customHeight="1" s="18">
      <c r="A32" s="20" t="n"/>
      <c r="B32" s="21" t="n"/>
      <c r="C32" s="20" t="n"/>
      <c r="D32" s="21" t="n"/>
      <c r="E32" s="21" t="n"/>
      <c r="F32" s="20">
        <f>IF($C$32="","",SUMPRODUCT((Tasks!$E$2:$E$501=$C$32)*(Tasks!$G$2:$G$501&lt;&gt;"Done")*1/COUNTIF(Tasks!$B$2:$B$501&amp;Tasks!$E$2:$E$501,Tasks!$B$2:$B$501&amp;Tasks!$E$2:$E$501)))</f>
        <v/>
      </c>
      <c r="G32" s="20">
        <f>IF($C$32="","",COUNTIFS(Tasks!$E:$E,$C$32,Tasks!$G:$G,"&lt;&gt;Done",Tasks!$D:$D,"&lt;&gt;"))</f>
        <v/>
      </c>
      <c r="H32" s="20">
        <f>IF($C$32="","",COUNTIFS(Tasks!$E:$E,$C$32,Tasks!$G:$G,"Bug"))</f>
        <v/>
      </c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</row>
    <row r="33" ht="15.75" customHeight="1" s="18">
      <c r="A33" s="20" t="n"/>
      <c r="B33" s="21" t="n"/>
      <c r="C33" s="20" t="n"/>
      <c r="D33" s="21" t="n"/>
      <c r="E33" s="21" t="n"/>
      <c r="F33" s="20">
        <f>IF($C$33="","",SUMPRODUCT((Tasks!$E$2:$E$501=$C$33)*(Tasks!$G$2:$G$501&lt;&gt;"Done")*1/COUNTIF(Tasks!$B$2:$B$501&amp;Tasks!$E$2:$E$501,Tasks!$B$2:$B$501&amp;Tasks!$E$2:$E$501)))</f>
        <v/>
      </c>
      <c r="G33" s="20">
        <f>IF($C$33="","",COUNTIFS(Tasks!$E:$E,$C$33,Tasks!$G:$G,"&lt;&gt;Done",Tasks!$D:$D,"&lt;&gt;"))</f>
        <v/>
      </c>
      <c r="H33" s="20">
        <f>IF($C$33="","",COUNTIFS(Tasks!$E:$E,$C$33,Tasks!$G:$G,"Bug"))</f>
        <v/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</row>
    <row r="34" ht="15.75" customHeight="1" s="18">
      <c r="A34" s="20" t="n"/>
      <c r="B34" s="21" t="n"/>
      <c r="C34" s="20" t="n"/>
      <c r="D34" s="21" t="n"/>
      <c r="E34" s="21" t="n"/>
      <c r="F34" s="20">
        <f>IF($C$34="","",SUMPRODUCT((Tasks!$E$2:$E$501=$C$34)*(Tasks!$G$2:$G$501&lt;&gt;"Done")*1/COUNTIF(Tasks!$B$2:$B$501&amp;Tasks!$E$2:$E$501,Tasks!$B$2:$B$501&amp;Tasks!$E$2:$E$501)))</f>
        <v/>
      </c>
      <c r="G34" s="20">
        <f>IF($C$34="","",COUNTIFS(Tasks!$E:$E,$C$34,Tasks!$G:$G,"&lt;&gt;Done",Tasks!$D:$D,"&lt;&gt;"))</f>
        <v/>
      </c>
      <c r="H34" s="20">
        <f>IF($C$34="","",COUNTIFS(Tasks!$E:$E,$C$34,Tasks!$G:$G,"Bug"))</f>
        <v/>
      </c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</row>
    <row r="35" ht="15.75" customHeight="1" s="18">
      <c r="A35" s="20" t="n"/>
      <c r="B35" s="21" t="n"/>
      <c r="C35" s="20" t="n"/>
      <c r="D35" s="21" t="n"/>
      <c r="E35" s="21" t="n"/>
      <c r="F35" s="20">
        <f>IF($C$35="","",SUMPRODUCT((Tasks!$E$2:$E$501=$C$35)*(Tasks!$G$2:$G$501&lt;&gt;"Done")*1/COUNTIF(Tasks!$B$2:$B$501&amp;Tasks!$E$2:$E$501,Tasks!$B$2:$B$501&amp;Tasks!$E$2:$E$501)))</f>
        <v/>
      </c>
      <c r="G35" s="20">
        <f>IF($C$35="","",COUNTIFS(Tasks!$E:$E,$C$35,Tasks!$G:$G,"&lt;&gt;Done",Tasks!$D:$D,"&lt;&gt;"))</f>
        <v/>
      </c>
      <c r="H35" s="20">
        <f>IF($C$35="","",COUNTIFS(Tasks!$E:$E,$C$35,Tasks!$G:$G,"Bug"))</f>
        <v/>
      </c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18">
      <c r="A36" s="20" t="n"/>
      <c r="B36" s="21" t="n"/>
      <c r="C36" s="20" t="n"/>
      <c r="D36" s="21" t="n"/>
      <c r="E36" s="21" t="n"/>
      <c r="F36" s="20">
        <f>IF($C$36="","",SUMPRODUCT((Tasks!$E$2:$E$501=$C$36)*(Tasks!$G$2:$G$501&lt;&gt;"Done")*1/COUNTIF(Tasks!$B$2:$B$501&amp;Tasks!$E$2:$E$501,Tasks!$B$2:$B$501&amp;Tasks!$E$2:$E$501)))</f>
        <v/>
      </c>
      <c r="G36" s="20">
        <f>IF($C$36="","",COUNTIFS(Tasks!$E:$E,$C$36,Tasks!$G:$G,"&lt;&gt;Done",Tasks!$D:$D,"&lt;&gt;"))</f>
        <v/>
      </c>
      <c r="H36" s="20">
        <f>IF($C$36="","",COUNTIFS(Tasks!$E:$E,$C$36,Tasks!$G:$G,"Bug"))</f>
        <v/>
      </c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</row>
    <row r="37" ht="15.75" customHeight="1" s="18">
      <c r="A37" s="20" t="n"/>
      <c r="B37" s="21" t="n"/>
      <c r="C37" s="20" t="n"/>
      <c r="D37" s="21" t="n"/>
      <c r="E37" s="21" t="n"/>
      <c r="F37" s="20">
        <f>IF($C$37="","",SUMPRODUCT((Tasks!$E$2:$E$501=$C$37)*(Tasks!$G$2:$G$501&lt;&gt;"Done")*1/COUNTIF(Tasks!$B$2:$B$501&amp;Tasks!$E$2:$E$501,Tasks!$B$2:$B$501&amp;Tasks!$E$2:$E$501)))</f>
        <v/>
      </c>
      <c r="G37" s="20">
        <f>IF($C$37="","",COUNTIFS(Tasks!$E:$E,$C$37,Tasks!$G:$G,"&lt;&gt;Done",Tasks!$D:$D,"&lt;&gt;"))</f>
        <v/>
      </c>
      <c r="H37" s="20">
        <f>IF($C$37="","",COUNTIFS(Tasks!$E:$E,$C$37,Tasks!$G:$G,"Bug"))</f>
        <v/>
      </c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</row>
    <row r="38" ht="15.75" customHeight="1" s="18">
      <c r="A38" s="20" t="n"/>
      <c r="B38" s="21" t="n"/>
      <c r="C38" s="20" t="n"/>
      <c r="D38" s="21" t="n"/>
      <c r="E38" s="21" t="n"/>
      <c r="F38" s="20">
        <f>IF($C$38="","",SUMPRODUCT((Tasks!$E$2:$E$501=$C$38)*(Tasks!$G$2:$G$501&lt;&gt;"Done")*1/COUNTIF(Tasks!$B$2:$B$501&amp;Tasks!$E$2:$E$501,Tasks!$B$2:$B$501&amp;Tasks!$E$2:$E$501)))</f>
        <v/>
      </c>
      <c r="G38" s="20">
        <f>IF($C$38="","",COUNTIFS(Tasks!$E:$E,$C$38,Tasks!$G:$G,"&lt;&gt;Done",Tasks!$D:$D,"&lt;&gt;"))</f>
        <v/>
      </c>
      <c r="H38" s="20">
        <f>IF($C$38="","",COUNTIFS(Tasks!$E:$E,$C$38,Tasks!$G:$G,"Bug"))</f>
        <v/>
      </c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</row>
    <row r="39" ht="15.75" customHeight="1" s="18">
      <c r="A39" s="20" t="n"/>
      <c r="B39" s="21" t="n"/>
      <c r="C39" s="20" t="n"/>
      <c r="D39" s="21" t="n"/>
      <c r="E39" s="21" t="n"/>
      <c r="F39" s="20">
        <f>IF($C$39="","",SUMPRODUCT((Tasks!$E$2:$E$501=$C$39)*(Tasks!$G$2:$G$501&lt;&gt;"Done")*1/COUNTIF(Tasks!$B$2:$B$501&amp;Tasks!$E$2:$E$501,Tasks!$B$2:$B$501&amp;Tasks!$E$2:$E$501)))</f>
        <v/>
      </c>
      <c r="G39" s="20">
        <f>IF($C$39="","",COUNTIFS(Tasks!$E:$E,$C$39,Tasks!$G:$G,"&lt;&gt;Done",Tasks!$D:$D,"&lt;&gt;"))</f>
        <v/>
      </c>
      <c r="H39" s="20">
        <f>IF($C$39="","",COUNTIFS(Tasks!$E:$E,$C$39,Tasks!$G:$G,"Bug"))</f>
        <v/>
      </c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</row>
    <row r="40" ht="15.75" customHeight="1" s="18">
      <c r="A40" s="20" t="n"/>
      <c r="B40" s="21" t="n"/>
      <c r="C40" s="20" t="n"/>
      <c r="D40" s="21" t="n"/>
      <c r="E40" s="21" t="n"/>
      <c r="F40" s="20">
        <f>IF($C$40="","",SUMPRODUCT((Tasks!$E$2:$E$501=$C$40)*(Tasks!$G$2:$G$501&lt;&gt;"Done")*1/COUNTIF(Tasks!$B$2:$B$501&amp;Tasks!$E$2:$E$501,Tasks!$B$2:$B$501&amp;Tasks!$E$2:$E$501)))</f>
        <v/>
      </c>
      <c r="G40" s="20">
        <f>IF($C$40="","",COUNTIFS(Tasks!$E:$E,$C$40,Tasks!$G:$G,"&lt;&gt;Done",Tasks!$D:$D,"&lt;&gt;"))</f>
        <v/>
      </c>
      <c r="H40" s="20">
        <f>IF($C$40="","",COUNTIFS(Tasks!$E:$E,$C$40,Tasks!$G:$G,"Bug"))</f>
        <v/>
      </c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</row>
    <row r="41" ht="15.75" customHeight="1" s="18">
      <c r="A41" s="20" t="n"/>
      <c r="B41" s="21" t="n"/>
      <c r="C41" s="20" t="n"/>
      <c r="D41" s="21" t="n"/>
      <c r="E41" s="21" t="n"/>
      <c r="F41" s="20">
        <f>IF($C$41="","",SUMPRODUCT((Tasks!$E$2:$E$501=$C$41)*(Tasks!$G$2:$G$501&lt;&gt;"Done")*1/COUNTIF(Tasks!$B$2:$B$501&amp;Tasks!$E$2:$E$501,Tasks!$B$2:$B$501&amp;Tasks!$E$2:$E$501)))</f>
        <v/>
      </c>
      <c r="G41" s="20">
        <f>IF($C$41="","",COUNTIFS(Tasks!$E:$E,$C$41,Tasks!$G:$G,"&lt;&gt;Done",Tasks!$D:$D,"&lt;&gt;"))</f>
        <v/>
      </c>
      <c r="H41" s="20">
        <f>IF($C$41="","",COUNTIFS(Tasks!$E:$E,$C$41,Tasks!$G:$G,"Bug"))</f>
        <v/>
      </c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18">
      <c r="A42" s="20" t="n"/>
      <c r="B42" s="21" t="n"/>
      <c r="C42" s="20" t="n"/>
      <c r="D42" s="21" t="n"/>
      <c r="E42" s="21" t="n"/>
      <c r="F42" s="20">
        <f>IF($C$42="","",SUMPRODUCT((Tasks!$E$2:$E$501=$C$42)*(Tasks!$G$2:$G$501&lt;&gt;"Done")*1/COUNTIF(Tasks!$B$2:$B$501&amp;Tasks!$E$2:$E$501,Tasks!$B$2:$B$501&amp;Tasks!$E$2:$E$501)))</f>
        <v/>
      </c>
      <c r="G42" s="20">
        <f>IF($C$42="","",COUNTIFS(Tasks!$E:$E,$C$42,Tasks!$G:$G,"&lt;&gt;Done",Tasks!$D:$D,"&lt;&gt;"))</f>
        <v/>
      </c>
      <c r="H42" s="20">
        <f>IF($C$42="","",COUNTIFS(Tasks!$E:$E,$C$42,Tasks!$G:$G,"Bug"))</f>
        <v/>
      </c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</row>
    <row r="43" ht="15.75" customHeight="1" s="18">
      <c r="A43" s="20" t="n"/>
      <c r="B43" s="21" t="n"/>
      <c r="C43" s="20" t="n"/>
      <c r="D43" s="21" t="n"/>
      <c r="E43" s="21" t="n"/>
      <c r="F43" s="20">
        <f>IF($C$43="","",SUMPRODUCT((Tasks!$E$2:$E$501=$C$43)*(Tasks!$G$2:$G$501&lt;&gt;"Done")*1/COUNTIF(Tasks!$B$2:$B$501&amp;Tasks!$E$2:$E$501,Tasks!$B$2:$B$501&amp;Tasks!$E$2:$E$501)))</f>
        <v/>
      </c>
      <c r="G43" s="20">
        <f>IF($C$43="","",COUNTIFS(Tasks!$E:$E,$C$43,Tasks!$G:$G,"&lt;&gt;Done",Tasks!$D:$D,"&lt;&gt;"))</f>
        <v/>
      </c>
      <c r="H43" s="20">
        <f>IF($C$43="","",COUNTIFS(Tasks!$E:$E,$C$43,Tasks!$G:$G,"Bug"))</f>
        <v/>
      </c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</row>
    <row r="44" ht="15.75" customHeight="1" s="18">
      <c r="A44" s="20" t="n"/>
      <c r="B44" s="21" t="n"/>
      <c r="C44" s="20" t="n"/>
      <c r="D44" s="21" t="n"/>
      <c r="E44" s="21" t="n"/>
      <c r="F44" s="20">
        <f>IF($C$44="","",SUMPRODUCT((Tasks!$E$2:$E$501=$C$44)*(Tasks!$G$2:$G$501&lt;&gt;"Done")*1/COUNTIF(Tasks!$B$2:$B$501&amp;Tasks!$E$2:$E$501,Tasks!$B$2:$B$501&amp;Tasks!$E$2:$E$501)))</f>
        <v/>
      </c>
      <c r="G44" s="20">
        <f>IF($C$44="","",COUNTIFS(Tasks!$E:$E,$C$44,Tasks!$G:$G,"&lt;&gt;Done",Tasks!$D:$D,"&lt;&gt;"))</f>
        <v/>
      </c>
      <c r="H44" s="20">
        <f>IF($C$44="","",COUNTIFS(Tasks!$E:$E,$C$44,Tasks!$G:$G,"Bug"))</f>
        <v/>
      </c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</row>
    <row r="45" ht="15.75" customHeight="1" s="18">
      <c r="A45" s="20" t="n"/>
      <c r="B45" s="21" t="n"/>
      <c r="C45" s="20" t="n"/>
      <c r="D45" s="21" t="n"/>
      <c r="E45" s="21" t="n"/>
      <c r="F45" s="20">
        <f>IF($C$45="","",SUMPRODUCT((Tasks!$E$2:$E$501=$C$45)*(Tasks!$G$2:$G$501&lt;&gt;"Done")*1/COUNTIF(Tasks!$B$2:$B$501&amp;Tasks!$E$2:$E$501,Tasks!$B$2:$B$501&amp;Tasks!$E$2:$E$501)))</f>
        <v/>
      </c>
      <c r="G45" s="20">
        <f>IF($C$45="","",COUNTIFS(Tasks!$E:$E,$C$45,Tasks!$G:$G,"&lt;&gt;Done",Tasks!$D:$D,"&lt;&gt;"))</f>
        <v/>
      </c>
      <c r="H45" s="20">
        <f>IF($C$45="","",COUNTIFS(Tasks!$E:$E,$C$45,Tasks!$G:$G,"Bug"))</f>
        <v/>
      </c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</row>
    <row r="46" ht="15.75" customHeight="1" s="18">
      <c r="A46" s="20" t="n"/>
      <c r="B46" s="21" t="n"/>
      <c r="C46" s="20" t="n"/>
      <c r="D46" s="21" t="n"/>
      <c r="E46" s="21" t="n"/>
      <c r="F46" s="20">
        <f>IF($C$46="","",SUMPRODUCT((Tasks!$E$2:$E$501=$C$46)*(Tasks!$G$2:$G$501&lt;&gt;"Done")*1/COUNTIF(Tasks!$B$2:$B$501&amp;Tasks!$E$2:$E$501,Tasks!$B$2:$B$501&amp;Tasks!$E$2:$E$501)))</f>
        <v/>
      </c>
      <c r="G46" s="20">
        <f>IF($C$46="","",COUNTIFS(Tasks!$E:$E,$C$46,Tasks!$G:$G,"&lt;&gt;Done",Tasks!$D:$D,"&lt;&gt;"))</f>
        <v/>
      </c>
      <c r="H46" s="20">
        <f>IF($C$46="","",COUNTIFS(Tasks!$E:$E,$C$46,Tasks!$G:$G,"Bug"))</f>
        <v/>
      </c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</row>
    <row r="47" ht="15.75" customHeight="1" s="18">
      <c r="A47" s="20" t="n"/>
      <c r="B47" s="21" t="n"/>
      <c r="C47" s="20" t="n"/>
      <c r="D47" s="21" t="n"/>
      <c r="E47" s="21" t="n"/>
      <c r="F47" s="20">
        <f>IF($C$47="","",SUMPRODUCT((Tasks!$E$2:$E$501=$C$47)*(Tasks!$G$2:$G$501&lt;&gt;"Done")*1/COUNTIF(Tasks!$B$2:$B$501&amp;Tasks!$E$2:$E$501,Tasks!$B$2:$B$501&amp;Tasks!$E$2:$E$501)))</f>
        <v/>
      </c>
      <c r="G47" s="20">
        <f>IF($C$47="","",COUNTIFS(Tasks!$E:$E,$C$47,Tasks!$G:$G,"&lt;&gt;Done",Tasks!$D:$D,"&lt;&gt;"))</f>
        <v/>
      </c>
      <c r="H47" s="20">
        <f>IF($C$47="","",COUNTIFS(Tasks!$E:$E,$C$47,Tasks!$G:$G,"Bug"))</f>
        <v/>
      </c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</row>
    <row r="48" ht="15.75" customHeight="1" s="18">
      <c r="A48" s="20" t="n"/>
      <c r="B48" s="21" t="n"/>
      <c r="C48" s="20" t="n"/>
      <c r="D48" s="21" t="n"/>
      <c r="E48" s="21" t="n"/>
      <c r="F48" s="20">
        <f>IF($C$48="","",SUMPRODUCT((Tasks!$E$2:$E$501=$C$48)*(Tasks!$G$2:$G$501&lt;&gt;"Done")*1/COUNTIF(Tasks!$B$2:$B$501&amp;Tasks!$E$2:$E$501,Tasks!$B$2:$B$501&amp;Tasks!$E$2:$E$501)))</f>
        <v/>
      </c>
      <c r="G48" s="20">
        <f>IF($C$48="","",COUNTIFS(Tasks!$E:$E,$C$48,Tasks!$G:$G,"&lt;&gt;Done",Tasks!$D:$D,"&lt;&gt;"))</f>
        <v/>
      </c>
      <c r="H48" s="20">
        <f>IF($C$48="","",COUNTIFS(Tasks!$E:$E,$C$48,Tasks!$G:$G,"Bug"))</f>
        <v/>
      </c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</row>
    <row r="49" ht="15.75" customHeight="1" s="18">
      <c r="A49" s="20" t="n"/>
      <c r="B49" s="21" t="n"/>
      <c r="C49" s="20" t="n"/>
      <c r="D49" s="21" t="n"/>
      <c r="E49" s="21" t="n"/>
      <c r="F49" s="20">
        <f>IF($C$49="","",SUMPRODUCT((Tasks!$E$2:$E$501=$C$49)*(Tasks!$G$2:$G$501&lt;&gt;"Done")*1/COUNTIF(Tasks!$B$2:$B$501&amp;Tasks!$E$2:$E$501,Tasks!$B$2:$B$501&amp;Tasks!$E$2:$E$501)))</f>
        <v/>
      </c>
      <c r="G49" s="20">
        <f>IF($C$49="","",COUNTIFS(Tasks!$E:$E,$C$49,Tasks!$G:$G,"&lt;&gt;Done",Tasks!$D:$D,"&lt;&gt;"))</f>
        <v/>
      </c>
      <c r="H49" s="20">
        <f>IF($C$49="","",COUNTIFS(Tasks!$E:$E,$C$49,Tasks!$G:$G,"Bug"))</f>
        <v/>
      </c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18">
      <c r="A50" s="20" t="n"/>
      <c r="B50" s="21" t="n"/>
      <c r="C50" s="20" t="n"/>
      <c r="D50" s="21" t="n"/>
      <c r="E50" s="21" t="n"/>
      <c r="F50" s="20">
        <f>IF($C$50="","",SUMPRODUCT((Tasks!$E$2:$E$501=$C$50)*(Tasks!$G$2:$G$501&lt;&gt;"Done")*1/COUNTIF(Tasks!$B$2:$B$501&amp;Tasks!$E$2:$E$501,Tasks!$B$2:$B$501&amp;Tasks!$E$2:$E$501)))</f>
        <v/>
      </c>
      <c r="G50" s="20">
        <f>IF($C$50="","",COUNTIFS(Tasks!$E:$E,$C$50,Tasks!$G:$G,"&lt;&gt;Done",Tasks!$D:$D,"&lt;&gt;"))</f>
        <v/>
      </c>
      <c r="H50" s="20">
        <f>IF($C$50="","",COUNTIFS(Tasks!$E:$E,$C$50,Tasks!$G:$G,"Bug"))</f>
        <v/>
      </c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</row>
    <row r="51" ht="15.75" customHeight="1" s="18">
      <c r="A51" s="20" t="n"/>
      <c r="B51" s="21" t="n"/>
      <c r="C51" s="20" t="n"/>
      <c r="D51" s="21" t="n"/>
      <c r="E51" s="21" t="n"/>
      <c r="F51" s="20">
        <f>IF($C$51="","",SUMPRODUCT((Tasks!$E$2:$E$501=$C$51)*(Tasks!$G$2:$G$501&lt;&gt;"Done")*1/COUNTIF(Tasks!$B$2:$B$501&amp;Tasks!$E$2:$E$501,Tasks!$B$2:$B$501&amp;Tasks!$E$2:$E$501)))</f>
        <v/>
      </c>
      <c r="G51" s="20">
        <f>IF($C$51="","",COUNTIFS(Tasks!$E:$E,$C$51,Tasks!$G:$G,"&lt;&gt;Done",Tasks!$D:$D,"&lt;&gt;"))</f>
        <v/>
      </c>
      <c r="H51" s="20">
        <f>IF($C$51="","",COUNTIFS(Tasks!$E:$E,$C$51,Tasks!$G:$G,"Bug"))</f>
        <v/>
      </c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</row>
    <row r="52" ht="15.75" customHeight="1" s="18">
      <c r="A52" s="20" t="n"/>
      <c r="B52" s="21" t="n"/>
      <c r="C52" s="20" t="n"/>
      <c r="D52" s="21" t="n"/>
      <c r="E52" s="21" t="n"/>
      <c r="F52" s="20">
        <f>IF($C$52="","",SUMPRODUCT((Tasks!$E$2:$E$501=$C$52)*(Tasks!$G$2:$G$501&lt;&gt;"Done")*1/COUNTIF(Tasks!$B$2:$B$501&amp;Tasks!$E$2:$E$501,Tasks!$B$2:$B$501&amp;Tasks!$E$2:$E$501)))</f>
        <v/>
      </c>
      <c r="G52" s="20">
        <f>IF($C$52="","",COUNTIFS(Tasks!$E:$E,$C$52,Tasks!$G:$G,"&lt;&gt;Done",Tasks!$D:$D,"&lt;&gt;"))</f>
        <v/>
      </c>
      <c r="H52" s="20">
        <f>IF($C$52="","",COUNTIFS(Tasks!$E:$E,$C$52,Tasks!$G:$G,"Bug"))</f>
        <v/>
      </c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</row>
    <row r="53" ht="15.75" customHeight="1" s="18">
      <c r="A53" s="20" t="n"/>
      <c r="B53" s="21" t="n"/>
      <c r="C53" s="20" t="n"/>
      <c r="D53" s="21" t="n"/>
      <c r="E53" s="21" t="n"/>
      <c r="F53" s="20">
        <f>IF($C$53="","",SUMPRODUCT((Tasks!$E$2:$E$501=$C$53)*(Tasks!$G$2:$G$501&lt;&gt;"Done")*1/COUNTIF(Tasks!$B$2:$B$501&amp;Tasks!$E$2:$E$501,Tasks!$B$2:$B$501&amp;Tasks!$E$2:$E$501)))</f>
        <v/>
      </c>
      <c r="G53" s="20">
        <f>IF($C$53="","",COUNTIFS(Tasks!$E:$E,$C$53,Tasks!$G:$G,"&lt;&gt;Done",Tasks!$D:$D,"&lt;&gt;"))</f>
        <v/>
      </c>
      <c r="H53" s="20">
        <f>IF($C$53="","",COUNTIFS(Tasks!$E:$E,$C$53,Tasks!$G:$G,"Bug"))</f>
        <v/>
      </c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</row>
    <row r="54" ht="15.75" customHeight="1" s="18">
      <c r="A54" s="20" t="n"/>
      <c r="B54" s="21" t="n"/>
      <c r="C54" s="20" t="n"/>
      <c r="D54" s="21" t="n"/>
      <c r="E54" s="21" t="n"/>
      <c r="F54" s="20">
        <f>IF($C$54="","",SUMPRODUCT((Tasks!$E$2:$E$501=$C$54)*(Tasks!$G$2:$G$501&lt;&gt;"Done")*1/COUNTIF(Tasks!$B$2:$B$501&amp;Tasks!$E$2:$E$501,Tasks!$B$2:$B$501&amp;Tasks!$E$2:$E$501)))</f>
        <v/>
      </c>
      <c r="G54" s="20">
        <f>IF($C$54="","",COUNTIFS(Tasks!$E:$E,$C$54,Tasks!$G:$G,"&lt;&gt;Done",Tasks!$D:$D,"&lt;&gt;"))</f>
        <v/>
      </c>
      <c r="H54" s="20">
        <f>IF($C$54="","",COUNTIFS(Tasks!$E:$E,$C$54,Tasks!$G:$G,"Bug"))</f>
        <v/>
      </c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</row>
    <row r="55" ht="15.75" customHeight="1" s="18">
      <c r="A55" s="20" t="n"/>
      <c r="B55" s="21" t="n"/>
      <c r="C55" s="20" t="n"/>
      <c r="D55" s="21" t="n"/>
      <c r="E55" s="21" t="n"/>
      <c r="F55" s="20">
        <f>IF($C$55="","",SUMPRODUCT((Tasks!$E$2:$E$501=$C$55)*(Tasks!$G$2:$G$501&lt;&gt;"Done")*1/COUNTIF(Tasks!$B$2:$B$501&amp;Tasks!$E$2:$E$501,Tasks!$B$2:$B$501&amp;Tasks!$E$2:$E$501)))</f>
        <v/>
      </c>
      <c r="G55" s="20">
        <f>IF($C$55="","",COUNTIFS(Tasks!$E:$E,$C$55,Tasks!$G:$G,"&lt;&gt;Done",Tasks!$D:$D,"&lt;&gt;"))</f>
        <v/>
      </c>
      <c r="H55" s="20">
        <f>IF($C$55="","",COUNTIFS(Tasks!$E:$E,$C$55,Tasks!$G:$G,"Bug"))</f>
        <v/>
      </c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</row>
    <row r="56" ht="15.75" customHeight="1" s="18">
      <c r="A56" s="20" t="n"/>
      <c r="B56" s="21" t="n"/>
      <c r="C56" s="20" t="n"/>
      <c r="D56" s="21" t="n"/>
      <c r="E56" s="21" t="n"/>
      <c r="F56" s="20">
        <f>IF($C$56="","",SUMPRODUCT((Tasks!$E$2:$E$501=$C$56)*(Tasks!$G$2:$G$501&lt;&gt;"Done")*1/COUNTIF(Tasks!$B$2:$B$501&amp;Tasks!$E$2:$E$501,Tasks!$B$2:$B$501&amp;Tasks!$E$2:$E$501)))</f>
        <v/>
      </c>
      <c r="G56" s="20">
        <f>IF($C$56="","",COUNTIFS(Tasks!$E:$E,$C$56,Tasks!$G:$G,"&lt;&gt;Done",Tasks!$D:$D,"&lt;&gt;"))</f>
        <v/>
      </c>
      <c r="H56" s="20">
        <f>IF($C$56="","",COUNTIFS(Tasks!$E:$E,$C$56,Tasks!$G:$G,"Bug"))</f>
        <v/>
      </c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</row>
    <row r="57" ht="15.75" customHeight="1" s="18">
      <c r="A57" s="20" t="n"/>
      <c r="B57" s="21" t="n"/>
      <c r="C57" s="20" t="n"/>
      <c r="D57" s="21" t="n"/>
      <c r="E57" s="21" t="n"/>
      <c r="F57" s="20">
        <f>IF($C$57="","",SUMPRODUCT((Tasks!$E$2:$E$501=$C$57)*(Tasks!$G$2:$G$501&lt;&gt;"Done")*1/COUNTIF(Tasks!$B$2:$B$501&amp;Tasks!$E$2:$E$501,Tasks!$B$2:$B$501&amp;Tasks!$E$2:$E$501)))</f>
        <v/>
      </c>
      <c r="G57" s="20">
        <f>IF($C$57="","",COUNTIFS(Tasks!$E:$E,$C$57,Tasks!$G:$G,"&lt;&gt;Done",Tasks!$D:$D,"&lt;&gt;"))</f>
        <v/>
      </c>
      <c r="H57" s="20">
        <f>IF($C$57="","",COUNTIFS(Tasks!$E:$E,$C$57,Tasks!$G:$G,"Bug"))</f>
        <v/>
      </c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</row>
    <row r="58" ht="15.75" customHeight="1" s="18">
      <c r="A58" s="20" t="n"/>
      <c r="B58" s="21" t="n"/>
      <c r="C58" s="20" t="n"/>
      <c r="D58" s="21" t="n"/>
      <c r="E58" s="21" t="n"/>
      <c r="F58" s="20">
        <f>IF($C$58="","",SUMPRODUCT((Tasks!$E$2:$E$501=$C$58)*(Tasks!$G$2:$G$501&lt;&gt;"Done")*1/COUNTIF(Tasks!$B$2:$B$501&amp;Tasks!$E$2:$E$501,Tasks!$B$2:$B$501&amp;Tasks!$E$2:$E$501)))</f>
        <v/>
      </c>
      <c r="G58" s="20">
        <f>IF($C$58="","",COUNTIFS(Tasks!$E:$E,$C$58,Tasks!$G:$G,"&lt;&gt;Done",Tasks!$D:$D,"&lt;&gt;"))</f>
        <v/>
      </c>
      <c r="H58" s="20">
        <f>IF($C$58="","",COUNTIFS(Tasks!$E:$E,$C$58,Tasks!$G:$G,"Bug"))</f>
        <v/>
      </c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18">
      <c r="A59" s="20" t="n"/>
      <c r="B59" s="21" t="n"/>
      <c r="C59" s="20" t="n"/>
      <c r="D59" s="21" t="n"/>
      <c r="E59" s="21" t="n"/>
      <c r="F59" s="20">
        <f>IF($C$59="","",SUMPRODUCT((Tasks!$E$2:$E$501=$C$59)*(Tasks!$G$2:$G$501&lt;&gt;"Done")*1/COUNTIF(Tasks!$B$2:$B$501&amp;Tasks!$E$2:$E$501,Tasks!$B$2:$B$501&amp;Tasks!$E$2:$E$501)))</f>
        <v/>
      </c>
      <c r="G59" s="20">
        <f>IF($C$59="","",COUNTIFS(Tasks!$E:$E,$C$59,Tasks!$G:$G,"&lt;&gt;Done",Tasks!$D:$D,"&lt;&gt;"))</f>
        <v/>
      </c>
      <c r="H59" s="20">
        <f>IF($C$59="","",COUNTIFS(Tasks!$E:$E,$C$59,Tasks!$G:$G,"Bug"))</f>
        <v/>
      </c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</row>
    <row r="60" ht="15.75" customHeight="1" s="18">
      <c r="A60" s="20" t="n"/>
      <c r="B60" s="21" t="n"/>
      <c r="C60" s="20" t="n"/>
      <c r="D60" s="21" t="n"/>
      <c r="E60" s="21" t="n"/>
      <c r="F60" s="20">
        <f>IF($C$60="","",SUMPRODUCT((Tasks!$E$2:$E$501=$C$60)*(Tasks!$G$2:$G$501&lt;&gt;"Done")*1/COUNTIF(Tasks!$B$2:$B$501&amp;Tasks!$E$2:$E$501,Tasks!$B$2:$B$501&amp;Tasks!$E$2:$E$501)))</f>
        <v/>
      </c>
      <c r="G60" s="20">
        <f>IF($C$60="","",COUNTIFS(Tasks!$E:$E,$C$60,Tasks!$G:$G,"&lt;&gt;Done",Tasks!$D:$D,"&lt;&gt;"))</f>
        <v/>
      </c>
      <c r="H60" s="20">
        <f>IF($C$60="","",COUNTIFS(Tasks!$E:$E,$C$60,Tasks!$G:$G,"Bug"))</f>
        <v/>
      </c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</row>
    <row r="61" ht="15.75" customHeight="1" s="18">
      <c r="A61" s="20" t="n"/>
      <c r="B61" s="21" t="n"/>
      <c r="C61" s="20" t="n"/>
      <c r="D61" s="21" t="n"/>
      <c r="E61" s="21" t="n"/>
      <c r="F61" s="20">
        <f>IF($C$61="","",SUMPRODUCT((Tasks!$E$2:$E$501=$C$61)*(Tasks!$G$2:$G$501&lt;&gt;"Done")*1/COUNTIF(Tasks!$B$2:$B$501&amp;Tasks!$E$2:$E$501,Tasks!$B$2:$B$501&amp;Tasks!$E$2:$E$501)))</f>
        <v/>
      </c>
      <c r="G61" s="20">
        <f>IF($C$61="","",COUNTIFS(Tasks!$E:$E,$C$61,Tasks!$G:$G,"&lt;&gt;Done",Tasks!$D:$D,"&lt;&gt;"))</f>
        <v/>
      </c>
      <c r="H61" s="20">
        <f>IF($C$61="","",COUNTIFS(Tasks!$E:$E,$C$61,Tasks!$G:$G,"Bug"))</f>
        <v/>
      </c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</row>
    <row r="62" ht="15.75" customHeight="1" s="18">
      <c r="A62" s="20" t="n"/>
      <c r="B62" s="21" t="n"/>
      <c r="C62" s="20" t="n"/>
      <c r="D62" s="21" t="n"/>
      <c r="E62" s="21" t="n"/>
      <c r="F62" s="20">
        <f>IF($C$62="","",SUMPRODUCT((Tasks!$E$2:$E$501=$C$62)*(Tasks!$G$2:$G$501&lt;&gt;"Done")*1/COUNTIF(Tasks!$B$2:$B$501&amp;Tasks!$E$2:$E$501,Tasks!$B$2:$B$501&amp;Tasks!$E$2:$E$501)))</f>
        <v/>
      </c>
      <c r="G62" s="20">
        <f>IF($C$62="","",COUNTIFS(Tasks!$E:$E,$C$62,Tasks!$G:$G,"&lt;&gt;Done",Tasks!$D:$D,"&lt;&gt;"))</f>
        <v/>
      </c>
      <c r="H62" s="20">
        <f>IF($C$62="","",COUNTIFS(Tasks!$E:$E,$C$62,Tasks!$G:$G,"Bug"))</f>
        <v/>
      </c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</row>
    <row r="63" ht="15.75" customHeight="1" s="18">
      <c r="A63" s="20" t="n"/>
      <c r="B63" s="21" t="n"/>
      <c r="C63" s="20" t="n"/>
      <c r="D63" s="21" t="n"/>
      <c r="E63" s="21" t="n"/>
      <c r="F63" s="20">
        <f>IF($C$63="","",SUMPRODUCT((Tasks!$E$2:$E$501=$C$63)*(Tasks!$G$2:$G$501&lt;&gt;"Done")*1/COUNTIF(Tasks!$B$2:$B$501&amp;Tasks!$E$2:$E$501,Tasks!$B$2:$B$501&amp;Tasks!$E$2:$E$501)))</f>
        <v/>
      </c>
      <c r="G63" s="20">
        <f>IF($C$63="","",COUNTIFS(Tasks!$E:$E,$C$63,Tasks!$G:$G,"&lt;&gt;Done",Tasks!$D:$D,"&lt;&gt;"))</f>
        <v/>
      </c>
      <c r="H63" s="20">
        <f>IF($C$63="","",COUNTIFS(Tasks!$E:$E,$C$63,Tasks!$G:$G,"Bug"))</f>
        <v/>
      </c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</row>
    <row r="64" ht="15.75" customHeight="1" s="18">
      <c r="A64" s="20" t="n"/>
      <c r="B64" s="21" t="n"/>
      <c r="C64" s="20" t="n"/>
      <c r="D64" s="21" t="n"/>
      <c r="E64" s="21" t="n"/>
      <c r="F64" s="20">
        <f>IF($C$64="","",SUMPRODUCT((Tasks!$E$2:$E$501=$C$64)*(Tasks!$G$2:$G$501&lt;&gt;"Done")*1/COUNTIF(Tasks!$B$2:$B$501&amp;Tasks!$E$2:$E$501,Tasks!$B$2:$B$501&amp;Tasks!$E$2:$E$501)))</f>
        <v/>
      </c>
      <c r="G64" s="20">
        <f>IF($C$64="","",COUNTIFS(Tasks!$E:$E,$C$64,Tasks!$G:$G,"&lt;&gt;Done",Tasks!$D:$D,"&lt;&gt;"))</f>
        <v/>
      </c>
      <c r="H64" s="20">
        <f>IF($C$64="","",COUNTIFS(Tasks!$E:$E,$C$64,Tasks!$G:$G,"Bug"))</f>
        <v/>
      </c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</row>
    <row r="65" ht="15.75" customHeight="1" s="18">
      <c r="A65" s="20" t="n"/>
      <c r="B65" s="21" t="n"/>
      <c r="C65" s="20" t="n"/>
      <c r="D65" s="21" t="n"/>
      <c r="E65" s="21" t="n"/>
      <c r="F65" s="20">
        <f>IF($C$65="","",SUMPRODUCT((Tasks!$E$2:$E$501=$C$65)*(Tasks!$G$2:$G$501&lt;&gt;"Done")*1/COUNTIF(Tasks!$B$2:$B$501&amp;Tasks!$E$2:$E$501,Tasks!$B$2:$B$501&amp;Tasks!$E$2:$E$501)))</f>
        <v/>
      </c>
      <c r="G65" s="20">
        <f>IF($C$65="","",COUNTIFS(Tasks!$E:$E,$C$65,Tasks!$G:$G,"&lt;&gt;Done",Tasks!$D:$D,"&lt;&gt;"))</f>
        <v/>
      </c>
      <c r="H65" s="20">
        <f>IF($C$65="","",COUNTIFS(Tasks!$E:$E,$C$65,Tasks!$G:$G,"Bug"))</f>
        <v/>
      </c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</row>
    <row r="66" ht="15.75" customHeight="1" s="18">
      <c r="A66" s="20" t="n"/>
      <c r="B66" s="21" t="n"/>
      <c r="C66" s="20" t="n"/>
      <c r="D66" s="21" t="n"/>
      <c r="E66" s="21" t="n"/>
      <c r="F66" s="20">
        <f>IF($C$66="","",SUMPRODUCT((Tasks!$E$2:$E$501=$C$66)*(Tasks!$G$2:$G$501&lt;&gt;"Done")*1/COUNTIF(Tasks!$B$2:$B$501&amp;Tasks!$E$2:$E$501,Tasks!$B$2:$B$501&amp;Tasks!$E$2:$E$501)))</f>
        <v/>
      </c>
      <c r="G66" s="20">
        <f>IF($C$66="","",COUNTIFS(Tasks!$E:$E,$C$66,Tasks!$G:$G,"&lt;&gt;Done",Tasks!$D:$D,"&lt;&gt;"))</f>
        <v/>
      </c>
      <c r="H66" s="20">
        <f>IF($C$66="","",COUNTIFS(Tasks!$E:$E,$C$66,Tasks!$G:$G,"Bug"))</f>
        <v/>
      </c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18">
      <c r="A67" s="20" t="n"/>
      <c r="B67" s="21" t="n"/>
      <c r="C67" s="20" t="n"/>
      <c r="D67" s="21" t="n"/>
      <c r="E67" s="21" t="n"/>
      <c r="F67" s="20">
        <f>IF($C$67="","",SUMPRODUCT((Tasks!$E$2:$E$501=$C$67)*(Tasks!$G$2:$G$501&lt;&gt;"Done")*1/COUNTIF(Tasks!$B$2:$B$501&amp;Tasks!$E$2:$E$501,Tasks!$B$2:$B$501&amp;Tasks!$E$2:$E$501)))</f>
        <v/>
      </c>
      <c r="G67" s="20">
        <f>IF($C$67="","",COUNTIFS(Tasks!$E:$E,$C$67,Tasks!$G:$G,"&lt;&gt;Done",Tasks!$D:$D,"&lt;&gt;"))</f>
        <v/>
      </c>
      <c r="H67" s="20">
        <f>IF($C$67="","",COUNTIFS(Tasks!$E:$E,$C$67,Tasks!$G:$G,"Bug"))</f>
        <v/>
      </c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</row>
    <row r="68" ht="15.75" customHeight="1" s="18">
      <c r="A68" s="20" t="n"/>
      <c r="B68" s="21" t="n"/>
      <c r="C68" s="20" t="n"/>
      <c r="D68" s="21" t="n"/>
      <c r="E68" s="21" t="n"/>
      <c r="F68" s="20">
        <f>IF($C$68="","",SUMPRODUCT((Tasks!$E$2:$E$501=$C$68)*(Tasks!$G$2:$G$501&lt;&gt;"Done")*1/COUNTIF(Tasks!$B$2:$B$501&amp;Tasks!$E$2:$E$501,Tasks!$B$2:$B$501&amp;Tasks!$E$2:$E$501)))</f>
        <v/>
      </c>
      <c r="G68" s="20">
        <f>IF($C$68="","",COUNTIFS(Tasks!$E:$E,$C$68,Tasks!$G:$G,"&lt;&gt;Done",Tasks!$D:$D,"&lt;&gt;"))</f>
        <v/>
      </c>
      <c r="H68" s="20">
        <f>IF($C$68="","",COUNTIFS(Tasks!$E:$E,$C$68,Tasks!$G:$G,"Bug"))</f>
        <v/>
      </c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</row>
    <row r="69" ht="15.75" customHeight="1" s="18">
      <c r="A69" s="20" t="n"/>
      <c r="B69" s="21" t="n"/>
      <c r="C69" s="20" t="n"/>
      <c r="D69" s="21" t="n"/>
      <c r="E69" s="21" t="n"/>
      <c r="F69" s="20">
        <f>IF($C$69="","",SUMPRODUCT((Tasks!$E$2:$E$501=$C$69)*(Tasks!$G$2:$G$501&lt;&gt;"Done")*1/COUNTIF(Tasks!$B$2:$B$501&amp;Tasks!$E$2:$E$501,Tasks!$B$2:$B$501&amp;Tasks!$E$2:$E$501)))</f>
        <v/>
      </c>
      <c r="G69" s="20">
        <f>IF($C$69="","",COUNTIFS(Tasks!$E:$E,$C$69,Tasks!$G:$G,"&lt;&gt;Done",Tasks!$D:$D,"&lt;&gt;"))</f>
        <v/>
      </c>
      <c r="H69" s="20">
        <f>IF($C$69="","",COUNTIFS(Tasks!$E:$E,$C$69,Tasks!$G:$G,"Bug"))</f>
        <v/>
      </c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</row>
    <row r="70" ht="15.75" customHeight="1" s="18">
      <c r="A70" s="20" t="n"/>
      <c r="B70" s="21" t="n"/>
      <c r="C70" s="20" t="n"/>
      <c r="D70" s="21" t="n"/>
      <c r="E70" s="21" t="n"/>
      <c r="F70" s="20">
        <f>IF($C$70="","",SUMPRODUCT((Tasks!$E$2:$E$501=$C$70)*(Tasks!$G$2:$G$501&lt;&gt;"Done")*1/COUNTIF(Tasks!$B$2:$B$501&amp;Tasks!$E$2:$E$501,Tasks!$B$2:$B$501&amp;Tasks!$E$2:$E$501)))</f>
        <v/>
      </c>
      <c r="G70" s="20">
        <f>IF($C$70="","",COUNTIFS(Tasks!$E:$E,$C$70,Tasks!$G:$G,"&lt;&gt;Done",Tasks!$D:$D,"&lt;&gt;"))</f>
        <v/>
      </c>
      <c r="H70" s="20">
        <f>IF($C$70="","",COUNTIFS(Tasks!$E:$E,$C$70,Tasks!$G:$G,"Bug"))</f>
        <v/>
      </c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</row>
    <row r="71" ht="15.75" customHeight="1" s="18">
      <c r="A71" s="20" t="n"/>
      <c r="B71" s="21" t="n"/>
      <c r="C71" s="20" t="n"/>
      <c r="D71" s="21" t="n"/>
      <c r="E71" s="21" t="n"/>
      <c r="F71" s="20">
        <f>IF($C$71="","",SUMPRODUCT((Tasks!$E$2:$E$501=$C$71)*(Tasks!$G$2:$G$501&lt;&gt;"Done")*1/COUNTIF(Tasks!$B$2:$B$501&amp;Tasks!$E$2:$E$501,Tasks!$B$2:$B$501&amp;Tasks!$E$2:$E$501)))</f>
        <v/>
      </c>
      <c r="G71" s="20">
        <f>IF($C$71="","",COUNTIFS(Tasks!$E:$E,$C$71,Tasks!$G:$G,"&lt;&gt;Done",Tasks!$D:$D,"&lt;&gt;"))</f>
        <v/>
      </c>
      <c r="H71" s="20">
        <f>IF($C$71="","",COUNTIFS(Tasks!$E:$E,$C$71,Tasks!$G:$G,"Bug"))</f>
        <v/>
      </c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</row>
    <row r="72" ht="15.75" customHeight="1" s="18">
      <c r="A72" s="20" t="n"/>
      <c r="B72" s="21" t="n"/>
      <c r="C72" s="20" t="n"/>
      <c r="D72" s="21" t="n"/>
      <c r="E72" s="21" t="n"/>
      <c r="F72" s="20">
        <f>IF($C$72="","",SUMPRODUCT((Tasks!$E$2:$E$501=$C$72)*(Tasks!$G$2:$G$501&lt;&gt;"Done")*1/COUNTIF(Tasks!$B$2:$B$501&amp;Tasks!$E$2:$E$501,Tasks!$B$2:$B$501&amp;Tasks!$E$2:$E$501)))</f>
        <v/>
      </c>
      <c r="G72" s="20">
        <f>IF($C$72="","",COUNTIFS(Tasks!$E:$E,$C$72,Tasks!$G:$G,"&lt;&gt;Done",Tasks!$D:$D,"&lt;&gt;"))</f>
        <v/>
      </c>
      <c r="H72" s="20">
        <f>IF($C$72="","",COUNTIFS(Tasks!$E:$E,$C$72,Tasks!$G:$G,"Bug"))</f>
        <v/>
      </c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</row>
    <row r="73" ht="15.75" customHeight="1" s="18">
      <c r="A73" s="20" t="n"/>
      <c r="B73" s="21" t="n"/>
      <c r="C73" s="20" t="n"/>
      <c r="D73" s="21" t="n"/>
      <c r="E73" s="21" t="n"/>
      <c r="F73" s="20">
        <f>IF($C$73="","",SUMPRODUCT((Tasks!$E$2:$E$501=$C$73)*(Tasks!$G$2:$G$501&lt;&gt;"Done")*1/COUNTIF(Tasks!$B$2:$B$501&amp;Tasks!$E$2:$E$501,Tasks!$B$2:$B$501&amp;Tasks!$E$2:$E$501)))</f>
        <v/>
      </c>
      <c r="G73" s="20">
        <f>IF($C$73="","",COUNTIFS(Tasks!$E:$E,$C$73,Tasks!$G:$G,"&lt;&gt;Done",Tasks!$D:$D,"&lt;&gt;"))</f>
        <v/>
      </c>
      <c r="H73" s="20">
        <f>IF($C$73="","",COUNTIFS(Tasks!$E:$E,$C$73,Tasks!$G:$G,"Bug"))</f>
        <v/>
      </c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</row>
    <row r="74" ht="15.75" customHeight="1" s="18">
      <c r="A74" s="20" t="n"/>
      <c r="B74" s="21" t="n"/>
      <c r="C74" s="20" t="n"/>
      <c r="D74" s="21" t="n"/>
      <c r="E74" s="21" t="n"/>
      <c r="F74" s="20">
        <f>IF($C$74="","",SUMPRODUCT((Tasks!$E$2:$E$501=$C$74)*(Tasks!$G$2:$G$501&lt;&gt;"Done")*1/COUNTIF(Tasks!$B$2:$B$501&amp;Tasks!$E$2:$E$501,Tasks!$B$2:$B$501&amp;Tasks!$E$2:$E$501)))</f>
        <v/>
      </c>
      <c r="G74" s="20">
        <f>IF($C$74="","",COUNTIFS(Tasks!$E:$E,$C$74,Tasks!$G:$G,"&lt;&gt;Done",Tasks!$D:$D,"&lt;&gt;"))</f>
        <v/>
      </c>
      <c r="H74" s="20">
        <f>IF($C$74="","",COUNTIFS(Tasks!$E:$E,$C$74,Tasks!$G:$G,"Bug"))</f>
        <v/>
      </c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</row>
    <row r="75" ht="15.75" customHeight="1" s="18">
      <c r="A75" s="20" t="n"/>
      <c r="B75" s="21" t="n"/>
      <c r="C75" s="20" t="n"/>
      <c r="D75" s="21" t="n"/>
      <c r="E75" s="21" t="n"/>
      <c r="F75" s="20">
        <f>IF($C$75="","",SUMPRODUCT((Tasks!$E$2:$E$501=$C$75)*(Tasks!$G$2:$G$501&lt;&gt;"Done")*1/COUNTIF(Tasks!$B$2:$B$501&amp;Tasks!$E$2:$E$501,Tasks!$B$2:$B$501&amp;Tasks!$E$2:$E$501)))</f>
        <v/>
      </c>
      <c r="G75" s="20">
        <f>IF($C$75="","",COUNTIFS(Tasks!$E:$E,$C$75,Tasks!$G:$G,"&lt;&gt;Done",Tasks!$D:$D,"&lt;&gt;"))</f>
        <v/>
      </c>
      <c r="H75" s="20">
        <f>IF($C$75="","",COUNTIFS(Tasks!$E:$E,$C$75,Tasks!$G:$G,"Bug"))</f>
        <v/>
      </c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</row>
    <row r="76" ht="15.75" customHeight="1" s="18">
      <c r="A76" s="20" t="n"/>
      <c r="B76" s="21" t="n"/>
      <c r="C76" s="20" t="n"/>
      <c r="D76" s="21" t="n"/>
      <c r="E76" s="21" t="n"/>
      <c r="F76" s="20">
        <f>IF($C$76="","",SUMPRODUCT((Tasks!$E$2:$E$501=$C$76)*(Tasks!$G$2:$G$501&lt;&gt;"Done")*1/COUNTIF(Tasks!$B$2:$B$501&amp;Tasks!$E$2:$E$501,Tasks!$B$2:$B$501&amp;Tasks!$E$2:$E$501)))</f>
        <v/>
      </c>
      <c r="G76" s="20">
        <f>IF($C$76="","",COUNTIFS(Tasks!$E:$E,$C$76,Tasks!$G:$G,"&lt;&gt;Done",Tasks!$D:$D,"&lt;&gt;"))</f>
        <v/>
      </c>
      <c r="H76" s="20">
        <f>IF($C$76="","",COUNTIFS(Tasks!$E:$E,$C$76,Tasks!$G:$G,"Bug"))</f>
        <v/>
      </c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</row>
    <row r="77" ht="15.75" customHeight="1" s="18">
      <c r="A77" s="20" t="n"/>
      <c r="B77" s="21" t="n"/>
      <c r="C77" s="20" t="n"/>
      <c r="D77" s="21" t="n"/>
      <c r="E77" s="21" t="n"/>
      <c r="F77" s="20">
        <f>IF($C$77="","",SUMPRODUCT((Tasks!$E$2:$E$501=$C$77)*(Tasks!$G$2:$G$501&lt;&gt;"Done")*1/COUNTIF(Tasks!$B$2:$B$501&amp;Tasks!$E$2:$E$501,Tasks!$B$2:$B$501&amp;Tasks!$E$2:$E$501)))</f>
        <v/>
      </c>
      <c r="G77" s="20">
        <f>IF($C$77="","",COUNTIFS(Tasks!$E:$E,$C$77,Tasks!$G:$G,"&lt;&gt;Done",Tasks!$D:$D,"&lt;&gt;"))</f>
        <v/>
      </c>
      <c r="H77" s="20">
        <f>IF($C$77="","",COUNTIFS(Tasks!$E:$E,$C$77,Tasks!$G:$G,"Bug"))</f>
        <v/>
      </c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</row>
    <row r="78" ht="15.75" customHeight="1" s="18">
      <c r="A78" s="20" t="n"/>
      <c r="B78" s="21" t="n"/>
      <c r="C78" s="20" t="n"/>
      <c r="D78" s="21" t="n"/>
      <c r="E78" s="21" t="n"/>
      <c r="F78" s="20">
        <f>IF($C$78="","",SUMPRODUCT((Tasks!$E$2:$E$501=$C$78)*(Tasks!$G$2:$G$501&lt;&gt;"Done")*1/COUNTIF(Tasks!$B$2:$B$501&amp;Tasks!$E$2:$E$501,Tasks!$B$2:$B$501&amp;Tasks!$E$2:$E$501)))</f>
        <v/>
      </c>
      <c r="G78" s="20">
        <f>IF($C$78="","",COUNTIFS(Tasks!$E:$E,$C$78,Tasks!$G:$G,"&lt;&gt;Done",Tasks!$D:$D,"&lt;&gt;"))</f>
        <v/>
      </c>
      <c r="H78" s="20">
        <f>IF($C$78="","",COUNTIFS(Tasks!$E:$E,$C$78,Tasks!$G:$G,"Bug"))</f>
        <v/>
      </c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</row>
    <row r="79" ht="15.75" customHeight="1" s="18">
      <c r="A79" s="20" t="n"/>
      <c r="B79" s="21" t="n"/>
      <c r="C79" s="20" t="n"/>
      <c r="D79" s="21" t="n"/>
      <c r="E79" s="21" t="n"/>
      <c r="F79" s="20">
        <f>IF($C$79="","",SUMPRODUCT((Tasks!$E$2:$E$501=$C$79)*(Tasks!$G$2:$G$501&lt;&gt;"Done")*1/COUNTIF(Tasks!$B$2:$B$501&amp;Tasks!$E$2:$E$501,Tasks!$B$2:$B$501&amp;Tasks!$E$2:$E$501)))</f>
        <v/>
      </c>
      <c r="G79" s="20">
        <f>IF($C$79="","",COUNTIFS(Tasks!$E:$E,$C$79,Tasks!$G:$G,"&lt;&gt;Done",Tasks!$D:$D,"&lt;&gt;"))</f>
        <v/>
      </c>
      <c r="H79" s="20">
        <f>IF($C$79="","",COUNTIFS(Tasks!$E:$E,$C$79,Tasks!$G:$G,"Bug"))</f>
        <v/>
      </c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</row>
    <row r="80" ht="15.75" customHeight="1" s="18">
      <c r="A80" s="20" t="n"/>
      <c r="B80" s="21" t="n"/>
      <c r="C80" s="20" t="n"/>
      <c r="D80" s="21" t="n"/>
      <c r="E80" s="21" t="n"/>
      <c r="F80" s="20">
        <f>IF($C$80="","",SUMPRODUCT((Tasks!$E$2:$E$501=$C$80)*(Tasks!$G$2:$G$501&lt;&gt;"Done")*1/COUNTIF(Tasks!$B$2:$B$501&amp;Tasks!$E$2:$E$501,Tasks!$B$2:$B$501&amp;Tasks!$E$2:$E$501)))</f>
        <v/>
      </c>
      <c r="G80" s="20">
        <f>IF($C$80="","",COUNTIFS(Tasks!$E:$E,$C$80,Tasks!$G:$G,"&lt;&gt;Done",Tasks!$D:$D,"&lt;&gt;"))</f>
        <v/>
      </c>
      <c r="H80" s="20">
        <f>IF($C$80="","",COUNTIFS(Tasks!$E:$E,$C$80,Tasks!$G:$G,"Bug"))</f>
        <v/>
      </c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</row>
    <row r="81" ht="15.75" customHeight="1" s="18">
      <c r="A81" s="20" t="n"/>
      <c r="B81" s="21" t="n"/>
      <c r="C81" s="20" t="n"/>
      <c r="D81" s="21" t="n"/>
      <c r="E81" s="21" t="n"/>
      <c r="F81" s="20">
        <f>IF($C$81="","",SUMPRODUCT((Tasks!$E$2:$E$501=$C$81)*(Tasks!$G$2:$G$501&lt;&gt;"Done")*1/COUNTIF(Tasks!$B$2:$B$501&amp;Tasks!$E$2:$E$501,Tasks!$B$2:$B$501&amp;Tasks!$E$2:$E$501)))</f>
        <v/>
      </c>
      <c r="G81" s="20">
        <f>IF($C$81="","",COUNTIFS(Tasks!$E:$E,$C$81,Tasks!$G:$G,"&lt;&gt;Done",Tasks!$D:$D,"&lt;&gt;"))</f>
        <v/>
      </c>
      <c r="H81" s="20">
        <f>IF($C$81="","",COUNTIFS(Tasks!$E:$E,$C$81,Tasks!$G:$G,"Bug"))</f>
        <v/>
      </c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</row>
    <row r="82" ht="15.75" customHeight="1" s="18">
      <c r="A82" s="20" t="n"/>
      <c r="B82" s="21" t="n"/>
      <c r="C82" s="20" t="n"/>
      <c r="D82" s="21" t="n"/>
      <c r="E82" s="21" t="n"/>
      <c r="F82" s="20">
        <f>IF($C$82="","",SUMPRODUCT((Tasks!$E$2:$E$501=$C$82)*(Tasks!$G$2:$G$501&lt;&gt;"Done")*1/COUNTIF(Tasks!$B$2:$B$501&amp;Tasks!$E$2:$E$501,Tasks!$B$2:$B$501&amp;Tasks!$E$2:$E$501)))</f>
        <v/>
      </c>
      <c r="G82" s="20">
        <f>IF($C$82="","",COUNTIFS(Tasks!$E:$E,$C$82,Tasks!$G:$G,"&lt;&gt;Done",Tasks!$D:$D,"&lt;&gt;"))</f>
        <v/>
      </c>
      <c r="H82" s="20">
        <f>IF($C$82="","",COUNTIFS(Tasks!$E:$E,$C$82,Tasks!$G:$G,"Bug"))</f>
        <v/>
      </c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</row>
    <row r="83" ht="15.75" customHeight="1" s="18">
      <c r="A83" s="20" t="n"/>
      <c r="B83" s="21" t="n"/>
      <c r="C83" s="20" t="n"/>
      <c r="D83" s="21" t="n"/>
      <c r="E83" s="21" t="n"/>
      <c r="F83" s="20">
        <f>IF($C$83="","",SUMPRODUCT((Tasks!$E$2:$E$501=$C$83)*(Tasks!$G$2:$G$501&lt;&gt;"Done")*1/COUNTIF(Tasks!$B$2:$B$501&amp;Tasks!$E$2:$E$501,Tasks!$B$2:$B$501&amp;Tasks!$E$2:$E$501)))</f>
        <v/>
      </c>
      <c r="G83" s="20">
        <f>IF($C$83="","",COUNTIFS(Tasks!$E:$E,$C$83,Tasks!$G:$G,"&lt;&gt;Done",Tasks!$D:$D,"&lt;&gt;"))</f>
        <v/>
      </c>
      <c r="H83" s="20">
        <f>IF($C$83="","",COUNTIFS(Tasks!$E:$E,$C$83,Tasks!$G:$G,"Bug"))</f>
        <v/>
      </c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</row>
    <row r="84" ht="15.75" customHeight="1" s="18">
      <c r="A84" s="20" t="n"/>
      <c r="B84" s="21" t="n"/>
      <c r="C84" s="20" t="n"/>
      <c r="D84" s="21" t="n"/>
      <c r="E84" s="21" t="n"/>
      <c r="F84" s="20">
        <f>IF($C$84="","",SUMPRODUCT((Tasks!$E$2:$E$501=$C$84)*(Tasks!$G$2:$G$501&lt;&gt;"Done")*1/COUNTIF(Tasks!$B$2:$B$501&amp;Tasks!$E$2:$E$501,Tasks!$B$2:$B$501&amp;Tasks!$E$2:$E$501)))</f>
        <v/>
      </c>
      <c r="G84" s="20">
        <f>IF($C$84="","",COUNTIFS(Tasks!$E:$E,$C$84,Tasks!$G:$G,"&lt;&gt;Done",Tasks!$D:$D,"&lt;&gt;"))</f>
        <v/>
      </c>
      <c r="H84" s="20">
        <f>IF($C$84="","",COUNTIFS(Tasks!$E:$E,$C$84,Tasks!$G:$G,"Bug"))</f>
        <v/>
      </c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</row>
    <row r="85" ht="15.75" customHeight="1" s="18">
      <c r="A85" s="20" t="n"/>
      <c r="B85" s="21" t="n"/>
      <c r="C85" s="20" t="n"/>
      <c r="D85" s="21" t="n"/>
      <c r="E85" s="21" t="n"/>
      <c r="F85" s="20">
        <f>IF($C$85="","",SUMPRODUCT((Tasks!$E$2:$E$501=$C$85)*(Tasks!$G$2:$G$501&lt;&gt;"Done")*1/COUNTIF(Tasks!$B$2:$B$501&amp;Tasks!$E$2:$E$501,Tasks!$B$2:$B$501&amp;Tasks!$E$2:$E$501)))</f>
        <v/>
      </c>
      <c r="G85" s="20">
        <f>IF($C$85="","",COUNTIFS(Tasks!$E:$E,$C$85,Tasks!$G:$G,"&lt;&gt;Done",Tasks!$D:$D,"&lt;&gt;"))</f>
        <v/>
      </c>
      <c r="H85" s="20">
        <f>IF($C$85="","",COUNTIFS(Tasks!$E:$E,$C$85,Tasks!$G:$G,"Bug"))</f>
        <v/>
      </c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</row>
    <row r="86" ht="15.75" customHeight="1" s="18">
      <c r="A86" s="20" t="n"/>
      <c r="B86" s="21" t="n"/>
      <c r="C86" s="20" t="n"/>
      <c r="D86" s="21" t="n"/>
      <c r="E86" s="21" t="n"/>
      <c r="F86" s="20">
        <f>IF($C$86="","",SUMPRODUCT((Tasks!$E$2:$E$501=$C$86)*(Tasks!$G$2:$G$501&lt;&gt;"Done")*1/COUNTIF(Tasks!$B$2:$B$501&amp;Tasks!$E$2:$E$501,Tasks!$B$2:$B$501&amp;Tasks!$E$2:$E$501)))</f>
        <v/>
      </c>
      <c r="G86" s="20">
        <f>IF($C$86="","",COUNTIFS(Tasks!$E:$E,$C$86,Tasks!$G:$G,"&lt;&gt;Done",Tasks!$D:$D,"&lt;&gt;"))</f>
        <v/>
      </c>
      <c r="H86" s="20">
        <f>IF($C$86="","",COUNTIFS(Tasks!$E:$E,$C$86,Tasks!$G:$G,"Bug"))</f>
        <v/>
      </c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</row>
    <row r="87" ht="15.75" customHeight="1" s="18">
      <c r="A87" s="20" t="n"/>
      <c r="B87" s="21" t="n"/>
      <c r="C87" s="20" t="n"/>
      <c r="D87" s="21" t="n"/>
      <c r="E87" s="21" t="n"/>
      <c r="F87" s="20">
        <f>IF($C$87="","",SUMPRODUCT((Tasks!$E$2:$E$501=$C$87)*(Tasks!$G$2:$G$501&lt;&gt;"Done")*1/COUNTIF(Tasks!$B$2:$B$501&amp;Tasks!$E$2:$E$501,Tasks!$B$2:$B$501&amp;Tasks!$E$2:$E$501)))</f>
        <v/>
      </c>
      <c r="G87" s="20">
        <f>IF($C$87="","",COUNTIFS(Tasks!$E:$E,$C$87,Tasks!$G:$G,"&lt;&gt;Done",Tasks!$D:$D,"&lt;&gt;"))</f>
        <v/>
      </c>
      <c r="H87" s="20">
        <f>IF($C$87="","",COUNTIFS(Tasks!$E:$E,$C$87,Tasks!$G:$G,"Bug"))</f>
        <v/>
      </c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</row>
    <row r="88" ht="15.75" customHeight="1" s="18">
      <c r="A88" s="20" t="n"/>
      <c r="B88" s="21" t="n"/>
      <c r="C88" s="20" t="n"/>
      <c r="D88" s="21" t="n"/>
      <c r="E88" s="21" t="n"/>
      <c r="F88" s="20">
        <f>IF($C$88="","",SUMPRODUCT((Tasks!$E$2:$E$501=$C$88)*(Tasks!$G$2:$G$501&lt;&gt;"Done")*1/COUNTIF(Tasks!$B$2:$B$501&amp;Tasks!$E$2:$E$501,Tasks!$B$2:$B$501&amp;Tasks!$E$2:$E$501)))</f>
        <v/>
      </c>
      <c r="G88" s="20">
        <f>IF($C$88="","",COUNTIFS(Tasks!$E:$E,$C$88,Tasks!$G:$G,"&lt;&gt;Done",Tasks!$D:$D,"&lt;&gt;"))</f>
        <v/>
      </c>
      <c r="H88" s="20">
        <f>IF($C$88="","",COUNTIFS(Tasks!$E:$E,$C$88,Tasks!$G:$G,"Bug"))</f>
        <v/>
      </c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</row>
    <row r="89" ht="15.75" customHeight="1" s="18">
      <c r="A89" s="20" t="n"/>
      <c r="B89" s="21" t="n"/>
      <c r="C89" s="20" t="n"/>
      <c r="D89" s="21" t="n"/>
      <c r="E89" s="21" t="n"/>
      <c r="F89" s="20">
        <f>IF($C$89="","",SUMPRODUCT((Tasks!$E$2:$E$501=$C$89)*(Tasks!$G$2:$G$501&lt;&gt;"Done")*1/COUNTIF(Tasks!$B$2:$B$501&amp;Tasks!$E$2:$E$501,Tasks!$B$2:$B$501&amp;Tasks!$E$2:$E$501)))</f>
        <v/>
      </c>
      <c r="G89" s="20">
        <f>IF($C$89="","",COUNTIFS(Tasks!$E:$E,$C$89,Tasks!$G:$G,"&lt;&gt;Done",Tasks!$D:$D,"&lt;&gt;"))</f>
        <v/>
      </c>
      <c r="H89" s="20">
        <f>IF($C$89="","",COUNTIFS(Tasks!$E:$E,$C$89,Tasks!$G:$G,"Bug"))</f>
        <v/>
      </c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</row>
    <row r="90" ht="15.75" customHeight="1" s="18">
      <c r="A90" s="20" t="n"/>
      <c r="B90" s="21" t="n"/>
      <c r="C90" s="20" t="n"/>
      <c r="D90" s="21" t="n"/>
      <c r="E90" s="21" t="n"/>
      <c r="F90" s="20">
        <f>IF($C$90="","",SUMPRODUCT((Tasks!$E$2:$E$501=$C$90)*(Tasks!$G$2:$G$501&lt;&gt;"Done")*1/COUNTIF(Tasks!$B$2:$B$501&amp;Tasks!$E$2:$E$501,Tasks!$B$2:$B$501&amp;Tasks!$E$2:$E$501)))</f>
        <v/>
      </c>
      <c r="G90" s="20">
        <f>IF($C$90="","",COUNTIFS(Tasks!$E:$E,$C$90,Tasks!$G:$G,"&lt;&gt;Done",Tasks!$D:$D,"&lt;&gt;"))</f>
        <v/>
      </c>
      <c r="H90" s="20">
        <f>IF($C$90="","",COUNTIFS(Tasks!$E:$E,$C$90,Tasks!$G:$G,"Bug"))</f>
        <v/>
      </c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 ht="15.75" customHeight="1" s="18">
      <c r="A91" s="20" t="n"/>
      <c r="B91" s="21" t="n"/>
      <c r="C91" s="20" t="n"/>
      <c r="D91" s="21" t="n"/>
      <c r="E91" s="21" t="n"/>
      <c r="F91" s="20">
        <f>IF($C$91="","",SUMPRODUCT((Tasks!$E$2:$E$501=$C$91)*(Tasks!$G$2:$G$501&lt;&gt;"Done")*1/COUNTIF(Tasks!$B$2:$B$501&amp;Tasks!$E$2:$E$501,Tasks!$B$2:$B$501&amp;Tasks!$E$2:$E$501)))</f>
        <v/>
      </c>
      <c r="G91" s="20">
        <f>IF($C$91="","",COUNTIFS(Tasks!$E:$E,$C$91,Tasks!$G:$G,"&lt;&gt;Done",Tasks!$D:$D,"&lt;&gt;"))</f>
        <v/>
      </c>
      <c r="H91" s="20">
        <f>IF($C$91="","",COUNTIFS(Tasks!$E:$E,$C$91,Tasks!$G:$G,"Bug"))</f>
        <v/>
      </c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18">
      <c r="A92" s="20" t="n"/>
      <c r="B92" s="21" t="n"/>
      <c r="C92" s="20" t="n"/>
      <c r="D92" s="21" t="n"/>
      <c r="E92" s="21" t="n"/>
      <c r="F92" s="20">
        <f>IF($C$92="","",SUMPRODUCT((Tasks!$E$2:$E$501=$C$92)*(Tasks!$G$2:$G$501&lt;&gt;"Done")*1/COUNTIF(Tasks!$B$2:$B$501&amp;Tasks!$E$2:$E$501,Tasks!$B$2:$B$501&amp;Tasks!$E$2:$E$501)))</f>
        <v/>
      </c>
      <c r="G92" s="20">
        <f>IF($C$92="","",COUNTIFS(Tasks!$E:$E,$C$92,Tasks!$G:$G,"&lt;&gt;Done",Tasks!$D:$D,"&lt;&gt;"))</f>
        <v/>
      </c>
      <c r="H92" s="20">
        <f>IF($C$92="","",COUNTIFS(Tasks!$E:$E,$C$92,Tasks!$G:$G,"Bug"))</f>
        <v/>
      </c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</row>
    <row r="93" ht="15.75" customHeight="1" s="18">
      <c r="A93" s="20" t="n"/>
      <c r="B93" s="21" t="n"/>
      <c r="C93" s="20" t="n"/>
      <c r="D93" s="21" t="n"/>
      <c r="E93" s="21" t="n"/>
      <c r="F93" s="20">
        <f>IF($C$93="","",SUMPRODUCT((Tasks!$E$2:$E$501=$C$93)*(Tasks!$G$2:$G$501&lt;&gt;"Done")*1/COUNTIF(Tasks!$B$2:$B$501&amp;Tasks!$E$2:$E$501,Tasks!$B$2:$B$501&amp;Tasks!$E$2:$E$501)))</f>
        <v/>
      </c>
      <c r="G93" s="20">
        <f>IF($C$93="","",COUNTIFS(Tasks!$E:$E,$C$93,Tasks!$G:$G,"&lt;&gt;Done",Tasks!$D:$D,"&lt;&gt;"))</f>
        <v/>
      </c>
      <c r="H93" s="20">
        <f>IF($C$93="","",COUNTIFS(Tasks!$E:$E,$C$93,Tasks!$G:$G,"Bug"))</f>
        <v/>
      </c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</row>
    <row r="94" ht="15.75" customHeight="1" s="18">
      <c r="A94" s="20" t="n"/>
      <c r="B94" s="21" t="n"/>
      <c r="C94" s="20" t="n"/>
      <c r="D94" s="21" t="n"/>
      <c r="E94" s="21" t="n"/>
      <c r="F94" s="20">
        <f>IF($C$94="","",SUMPRODUCT((Tasks!$E$2:$E$501=$C$94)*(Tasks!$G$2:$G$501&lt;&gt;"Done")*1/COUNTIF(Tasks!$B$2:$B$501&amp;Tasks!$E$2:$E$501,Tasks!$B$2:$B$501&amp;Tasks!$E$2:$E$501)))</f>
        <v/>
      </c>
      <c r="G94" s="20">
        <f>IF($C$94="","",COUNTIFS(Tasks!$E:$E,$C$94,Tasks!$G:$G,"&lt;&gt;Done",Tasks!$D:$D,"&lt;&gt;"))</f>
        <v/>
      </c>
      <c r="H94" s="20">
        <f>IF($C$94="","",COUNTIFS(Tasks!$E:$E,$C$94,Tasks!$G:$G,"Bug"))</f>
        <v/>
      </c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 ht="15.75" customHeight="1" s="18">
      <c r="A95" s="20" t="n"/>
      <c r="B95" s="21" t="n"/>
      <c r="C95" s="20" t="n"/>
      <c r="D95" s="21" t="n"/>
      <c r="E95" s="21" t="n"/>
      <c r="F95" s="20">
        <f>IF($C$95="","",SUMPRODUCT((Tasks!$E$2:$E$501=$C$95)*(Tasks!$G$2:$G$501&lt;&gt;"Done")*1/COUNTIF(Tasks!$B$2:$B$501&amp;Tasks!$E$2:$E$501,Tasks!$B$2:$B$501&amp;Tasks!$E$2:$E$501)))</f>
        <v/>
      </c>
      <c r="G95" s="20">
        <f>IF($C$95="","",COUNTIFS(Tasks!$E:$E,$C$95,Tasks!$G:$G,"&lt;&gt;Done",Tasks!$D:$D,"&lt;&gt;"))</f>
        <v/>
      </c>
      <c r="H95" s="20">
        <f>IF($C$95="","",COUNTIFS(Tasks!$E:$E,$C$95,Tasks!$G:$G,"Bug"))</f>
        <v/>
      </c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18">
      <c r="A96" s="20" t="n"/>
      <c r="B96" s="21" t="n"/>
      <c r="C96" s="20" t="n"/>
      <c r="D96" s="21" t="n"/>
      <c r="E96" s="21" t="n"/>
      <c r="F96" s="20">
        <f>IF($C$96="","",SUMPRODUCT((Tasks!$E$2:$E$501=$C$96)*(Tasks!$G$2:$G$501&lt;&gt;"Done")*1/COUNTIF(Tasks!$B$2:$B$501&amp;Tasks!$E$2:$E$501,Tasks!$B$2:$B$501&amp;Tasks!$E$2:$E$501)))</f>
        <v/>
      </c>
      <c r="G96" s="20">
        <f>IF($C$96="","",COUNTIFS(Tasks!$E:$E,$C$96,Tasks!$G:$G,"&lt;&gt;Done",Tasks!$D:$D,"&lt;&gt;"))</f>
        <v/>
      </c>
      <c r="H96" s="20">
        <f>IF($C$96="","",COUNTIFS(Tasks!$E:$E,$C$96,Tasks!$G:$G,"Bug"))</f>
        <v/>
      </c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</row>
    <row r="97" ht="15.75" customHeight="1" s="18">
      <c r="A97" s="20" t="n"/>
      <c r="B97" s="21" t="n"/>
      <c r="C97" s="20" t="n"/>
      <c r="D97" s="21" t="n"/>
      <c r="E97" s="21" t="n"/>
      <c r="F97" s="20">
        <f>IF($C$97="","",SUMPRODUCT((Tasks!$E$2:$E$501=$C$97)*(Tasks!$G$2:$G$501&lt;&gt;"Done")*1/COUNTIF(Tasks!$B$2:$B$501&amp;Tasks!$E$2:$E$501,Tasks!$B$2:$B$501&amp;Tasks!$E$2:$E$501)))</f>
        <v/>
      </c>
      <c r="G97" s="20">
        <f>IF($C$97="","",COUNTIFS(Tasks!$E:$E,$C$97,Tasks!$G:$G,"&lt;&gt;Done",Tasks!$D:$D,"&lt;&gt;"))</f>
        <v/>
      </c>
      <c r="H97" s="20">
        <f>IF($C$97="","",COUNTIFS(Tasks!$E:$E,$C$97,Tasks!$G:$G,"Bug"))</f>
        <v/>
      </c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</row>
    <row r="98" ht="15.75" customHeight="1" s="18">
      <c r="A98" s="20" t="n"/>
      <c r="B98" s="21" t="n"/>
      <c r="C98" s="20" t="n"/>
      <c r="D98" s="21" t="n"/>
      <c r="E98" s="21" t="n"/>
      <c r="F98" s="20">
        <f>IF($C$98="","",SUMPRODUCT((Tasks!$E$2:$E$501=$C$98)*(Tasks!$G$2:$G$501&lt;&gt;"Done")*1/COUNTIF(Tasks!$B$2:$B$501&amp;Tasks!$E$2:$E$501,Tasks!$B$2:$B$501&amp;Tasks!$E$2:$E$501)))</f>
        <v/>
      </c>
      <c r="G98" s="20">
        <f>IF($C$98="","",COUNTIFS(Tasks!$E:$E,$C$98,Tasks!$G:$G,"&lt;&gt;Done",Tasks!$D:$D,"&lt;&gt;"))</f>
        <v/>
      </c>
      <c r="H98" s="20">
        <f>IF($C$98="","",COUNTIFS(Tasks!$E:$E,$C$98,Tasks!$G:$G,"Bug"))</f>
        <v/>
      </c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</row>
    <row r="99" ht="15.75" customHeight="1" s="18">
      <c r="A99" s="20" t="n"/>
      <c r="B99" s="21" t="n"/>
      <c r="C99" s="20" t="n"/>
      <c r="D99" s="21" t="n"/>
      <c r="E99" s="21" t="n"/>
      <c r="F99" s="20">
        <f>IF($C$99="","",SUMPRODUCT((Tasks!$E$2:$E$501=$C$99)*(Tasks!$G$2:$G$501&lt;&gt;"Done")*1/COUNTIF(Tasks!$B$2:$B$501&amp;Tasks!$E$2:$E$501,Tasks!$B$2:$B$501&amp;Tasks!$E$2:$E$501)))</f>
        <v/>
      </c>
      <c r="G99" s="20">
        <f>IF($C$99="","",COUNTIFS(Tasks!$E:$E,$C$99,Tasks!$G:$G,"&lt;&gt;Done",Tasks!$D:$D,"&lt;&gt;"))</f>
        <v/>
      </c>
      <c r="H99" s="20">
        <f>IF($C$99="","",COUNTIFS(Tasks!$E:$E,$C$99,Tasks!$G:$G,"Bug"))</f>
        <v/>
      </c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</row>
    <row r="100" ht="15.75" customHeight="1" s="18">
      <c r="A100" s="20" t="n"/>
      <c r="B100" s="21" t="n"/>
      <c r="C100" s="20" t="n"/>
      <c r="D100" s="21" t="n"/>
      <c r="E100" s="21" t="n"/>
      <c r="F100" s="20">
        <f>IF($C$100="","",SUMPRODUCT((Tasks!$E$2:$E$501=$C$100)*(Tasks!$G$2:$G$501&lt;&gt;"Done")*1/COUNTIF(Tasks!$B$2:$B$501&amp;Tasks!$E$2:$E$501,Tasks!$B$2:$B$501&amp;Tasks!$E$2:$E$501)))</f>
        <v/>
      </c>
      <c r="G100" s="20">
        <f>IF($C$100="","",COUNTIFS(Tasks!$E:$E,$C$100,Tasks!$G:$G,"&lt;&gt;Done",Tasks!$D:$D,"&lt;&gt;"))</f>
        <v/>
      </c>
      <c r="H100" s="20">
        <f>IF($C$100="","",COUNTIFS(Tasks!$E:$E,$C$100,Tasks!$G:$G,"Bug"))</f>
        <v/>
      </c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 ht="15.75" customHeight="1" s="18">
      <c r="A101" s="16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18">
      <c r="A102" s="16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</row>
    <row r="103" ht="15.75" customHeight="1" s="18">
      <c r="A103" s="16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</row>
    <row r="104" ht="15.75" customHeight="1" s="18">
      <c r="A104" s="16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</row>
    <row r="105" ht="15.75" customHeight="1" s="18">
      <c r="A105" s="16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</row>
    <row r="106" ht="15.75" customHeight="1" s="18">
      <c r="A106" s="16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</row>
    <row r="107" ht="15.75" customHeight="1" s="18">
      <c r="A107" s="16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</row>
    <row r="108" ht="15.75" customHeight="1" s="18">
      <c r="A108" s="16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</row>
    <row r="109" ht="15.75" customHeight="1" s="18">
      <c r="A109" s="16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</row>
    <row r="110" ht="15.75" customHeight="1" s="18">
      <c r="A110" s="16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</row>
    <row r="111" ht="15.75" customHeight="1" s="18">
      <c r="A111" s="16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</row>
    <row r="112" ht="15.75" customHeight="1" s="18">
      <c r="A112" s="16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</row>
    <row r="113" ht="15.75" customHeight="1" s="18">
      <c r="A113" s="16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</row>
    <row r="114" ht="15.75" customHeight="1" s="18">
      <c r="A114" s="16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 ht="15.75" customHeight="1" s="18">
      <c r="A115" s="16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18">
      <c r="A116" s="16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</row>
    <row r="117" ht="15.75" customHeight="1" s="18">
      <c r="A117" s="16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</row>
    <row r="118" ht="15.75" customHeight="1" s="18">
      <c r="A118" s="16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</row>
    <row r="119" ht="15.75" customHeight="1" s="18">
      <c r="A119" s="16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 ht="15.75" customHeight="1" s="18">
      <c r="A120" s="16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18">
      <c r="A121" s="16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</row>
    <row r="122" ht="15.75" customHeight="1" s="18">
      <c r="A122" s="16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</row>
    <row r="123" ht="15.75" customHeight="1" s="18">
      <c r="A123" s="16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</row>
    <row r="124" ht="15.75" customHeight="1" s="18">
      <c r="A124" s="16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 ht="15.75" customHeight="1" s="18">
      <c r="A125" s="16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18">
      <c r="A126" s="16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</row>
    <row r="127" ht="15.75" customHeight="1" s="18">
      <c r="A127" s="16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</row>
    <row r="128" ht="15.75" customHeight="1" s="18">
      <c r="A128" s="16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</row>
    <row r="129" ht="15.75" customHeight="1" s="18">
      <c r="A129" s="16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</row>
    <row r="130" ht="15.75" customHeight="1" s="18">
      <c r="A130" s="16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</row>
    <row r="131" ht="15.75" customHeight="1" s="18">
      <c r="A131" s="16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</row>
    <row r="132" ht="15.75" customHeight="1" s="18">
      <c r="A132" s="16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</row>
    <row r="133" ht="15.75" customHeight="1" s="18">
      <c r="A133" s="16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</row>
    <row r="134" ht="15.75" customHeight="1" s="18">
      <c r="A134" s="16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</row>
    <row r="135" ht="15.75" customHeight="1" s="18">
      <c r="A135" s="16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</row>
    <row r="136" ht="15.75" customHeight="1" s="18">
      <c r="A136" s="16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</row>
    <row r="137" ht="15.75" customHeight="1" s="18">
      <c r="A137" s="16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</row>
    <row r="138" ht="15.75" customHeight="1" s="18">
      <c r="A138" s="16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</row>
    <row r="139" ht="15.75" customHeight="1" s="18">
      <c r="A139" s="16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 ht="15.75" customHeight="1" s="18">
      <c r="A140" s="16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18">
      <c r="A141" s="16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</row>
    <row r="142" ht="15.75" customHeight="1" s="18">
      <c r="A142" s="16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 ht="15.75" customHeight="1" s="18">
      <c r="A143" s="16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18">
      <c r="A144" s="16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</row>
    <row r="145" ht="15.75" customHeight="1" s="18">
      <c r="A145" s="16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</row>
    <row r="146" ht="15.75" customHeight="1" s="18">
      <c r="A146" s="16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 ht="15.75" customHeight="1" s="18">
      <c r="A147" s="16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18">
      <c r="A148" s="16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</row>
    <row r="149" ht="15.75" customHeight="1" s="18">
      <c r="A149" s="16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</row>
    <row r="150" ht="15.75" customHeight="1" s="18">
      <c r="A150" s="16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</row>
    <row r="151" ht="15.75" customHeight="1" s="18">
      <c r="A151" s="16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</row>
    <row r="152" ht="15.75" customHeight="1" s="18">
      <c r="A152" s="16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</row>
    <row r="153" ht="15.75" customHeight="1" s="18">
      <c r="A153" s="16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</row>
    <row r="154" ht="15.75" customHeight="1" s="18">
      <c r="A154" s="16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</row>
    <row r="155" ht="15.75" customHeight="1" s="18">
      <c r="A155" s="16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</row>
    <row r="156" ht="15.75" customHeight="1" s="18">
      <c r="A156" s="16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</row>
    <row r="157" ht="15.75" customHeight="1" s="18">
      <c r="A157" s="16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 ht="15.75" customHeight="1" s="18">
      <c r="A158" s="16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18">
      <c r="A159" s="16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</row>
    <row r="160" ht="15.75" customHeight="1" s="18">
      <c r="A160" s="16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</row>
    <row r="161" ht="15.75" customHeight="1" s="18">
      <c r="A161" s="16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</row>
    <row r="162" ht="15.75" customHeight="1" s="18">
      <c r="A162" s="16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</row>
    <row r="163" ht="15.75" customHeight="1" s="18">
      <c r="A163" s="16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</row>
    <row r="164" ht="15.75" customHeight="1" s="18">
      <c r="A164" s="16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</row>
    <row r="165" ht="15.75" customHeight="1" s="18">
      <c r="A165" s="16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</row>
    <row r="166" ht="15.75" customHeight="1" s="18">
      <c r="A166" s="16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</row>
    <row r="167" ht="15.75" customHeight="1" s="18">
      <c r="A167" s="16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</row>
    <row r="168" ht="15.75" customHeight="1" s="18">
      <c r="A168" s="16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</row>
    <row r="169" ht="15.75" customHeight="1" s="18">
      <c r="A169" s="16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 ht="15.75" customHeight="1" s="18">
      <c r="A170" s="16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18">
      <c r="A171" s="16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</row>
    <row r="172" ht="15.75" customHeight="1" s="18">
      <c r="A172" s="16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</row>
    <row r="173" ht="15.75" customHeight="1" s="18">
      <c r="A173" s="16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</row>
    <row r="174" ht="15.75" customHeight="1" s="18">
      <c r="A174" s="16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</row>
    <row r="175" ht="15.75" customHeight="1" s="18">
      <c r="A175" s="16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</row>
    <row r="176" ht="15.75" customHeight="1" s="18">
      <c r="A176" s="16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</row>
    <row r="177" ht="15.75" customHeight="1" s="18">
      <c r="A177" s="16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</row>
    <row r="178" ht="15.75" customHeight="1" s="18">
      <c r="A178" s="16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 ht="15.75" customHeight="1" s="18">
      <c r="A179" s="16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18">
      <c r="A180" s="16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</row>
    <row r="181" ht="15.75" customHeight="1" s="18">
      <c r="A181" s="16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 ht="15.75" customHeight="1" s="18">
      <c r="A182" s="16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18">
      <c r="A183" s="16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</row>
    <row r="184" ht="15.75" customHeight="1" s="18">
      <c r="A184" s="16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</row>
    <row r="185" ht="15.75" customHeight="1" s="18">
      <c r="A185" s="16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</row>
    <row r="186" ht="15.75" customHeight="1" s="18">
      <c r="A186" s="16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</row>
    <row r="187" ht="15.75" customHeight="1" s="18">
      <c r="A187" s="16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</row>
    <row r="188" ht="15.75" customHeight="1" s="18">
      <c r="A188" s="16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 ht="15.75" customHeight="1" s="18">
      <c r="A189" s="16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18">
      <c r="A190" s="16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</row>
    <row r="191" ht="15.75" customHeight="1" s="18">
      <c r="A191" s="16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</row>
    <row r="192" ht="15.75" customHeight="1" s="18">
      <c r="A192" s="16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</row>
    <row r="193" ht="15.75" customHeight="1" s="18">
      <c r="A193" s="16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</row>
    <row r="194" ht="15.75" customHeight="1" s="18">
      <c r="A194" s="16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</row>
    <row r="195" ht="15.75" customHeight="1" s="18">
      <c r="A195" s="16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</row>
    <row r="196" ht="15.75" customHeight="1" s="18">
      <c r="A196" s="16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</row>
    <row r="197" ht="15.75" customHeight="1" s="18">
      <c r="A197" s="16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 ht="15.75" customHeight="1" s="18">
      <c r="A198" s="16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18">
      <c r="A199" s="16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</row>
    <row r="200" ht="15.75" customHeight="1" s="18">
      <c r="A200" s="16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</row>
    <row r="201" ht="15.75" customHeight="1" s="18">
      <c r="A201" s="16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</row>
    <row r="202" ht="15.75" customHeight="1" s="18">
      <c r="A202" s="16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</row>
    <row r="203" ht="15.75" customHeight="1" s="18">
      <c r="A203" s="16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 ht="15.75" customHeight="1" s="18">
      <c r="A204" s="16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18">
      <c r="A205" s="16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</row>
    <row r="206" ht="15.75" customHeight="1" s="18">
      <c r="A206" s="16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</row>
    <row r="207" ht="15.75" customHeight="1" s="18">
      <c r="A207" s="16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</row>
    <row r="208" ht="15.75" customHeight="1" s="18">
      <c r="A208" s="16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</row>
    <row r="209" ht="15.75" customHeight="1" s="18">
      <c r="A209" s="16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</row>
    <row r="210" ht="15.75" customHeight="1" s="18">
      <c r="A210" s="16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</row>
    <row r="211" ht="15.75" customHeight="1" s="18">
      <c r="A211" s="16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</row>
    <row r="212" ht="15.75" customHeight="1" s="18">
      <c r="A212" s="16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</row>
    <row r="213" ht="15.75" customHeight="1" s="18">
      <c r="A213" s="16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</row>
    <row r="214" ht="15.75" customHeight="1" s="18">
      <c r="A214" s="16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</row>
    <row r="215" ht="15.75" customHeight="1" s="18">
      <c r="A215" s="16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</row>
    <row r="216" ht="15.75" customHeight="1" s="18">
      <c r="A216" s="16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</row>
    <row r="217" ht="15.75" customHeight="1" s="18">
      <c r="A217" s="16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 ht="15.75" customHeight="1" s="18">
      <c r="A218" s="16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18">
      <c r="A219" s="16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</row>
    <row r="220" ht="15.75" customHeight="1" s="18">
      <c r="A220" s="16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</row>
    <row r="221" ht="15.75" customHeight="1" s="1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H100"/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2026-01-31T02:00:43Z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
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admap" sheetId="1" r:id="rId4"/>
    <sheet state="visible" name="Projects" sheetId="2" r:id="rId5"/>
    <sheet state="visible" name="Tasks" sheetId="3" r:id="rId6"/>
    <sheet state="visible" name="RASI" sheetId="4" r:id="rId7"/>
    <sheet state="visible" name="HR" sheetId="5" r:id="rId8"/>
  </sheets>
  <definedNames/>
  <calcPr/>
  <extLst>
    <ext uri="GoogleSheetsCustomDataVersion2">
      <go:sheetsCustomData xmlns:go="http://customooxmlschemas.google.com/" r:id="rId9" roundtripDataChecksum="WgEwEw+TPzTA3gGTNnCh2ovKgc7bKCSOJjBjIiXYzMA="/>
    </ext>
  </extLst>
</workbook>
</file>

<file path=xl/sharedStrings.xml><?xml version="1.0" encoding="utf-8"?>
<sst xmlns="http://schemas.openxmlformats.org/spreadsheetml/2006/main" count="157" uniqueCount="73">
  <si>
    <t>No</t>
  </si>
  <si>
    <t>Project ID</t>
  </si>
  <si>
    <t>Project Name</t>
  </si>
  <si>
    <t>PIC</t>
  </si>
  <si>
    <t>Start Date</t>
  </si>
  <si>
    <t>Deadline</t>
  </si>
  <si>
    <t>% Complete</t>
  </si>
  <si>
    <t>Notes</t>
  </si>
  <si>
    <t>BATERY00</t>
  </si>
  <si>
    <t>Thiết kế Battery cho Robot</t>
  </si>
  <si>
    <t>HOTSW00</t>
  </si>
  <si>
    <t>Thiết kế mạch Hot Swap cho Robot</t>
  </si>
  <si>
    <t>EMBPC00</t>
  </si>
  <si>
    <t>Thiết kế máy tính nhúng của VMO</t>
  </si>
  <si>
    <t>PDU00</t>
  </si>
  <si>
    <t>Thiết kế mạch Power Distribution Units cho Robot</t>
  </si>
  <si>
    <t>LLB00</t>
  </si>
  <si>
    <t>Thiết kế mạch Low Level Board cho Robot</t>
  </si>
  <si>
    <t>HUB00</t>
  </si>
  <si>
    <t>Thiết kế Mạch Hub Ethernet USB</t>
  </si>
  <si>
    <t>WHR00</t>
  </si>
  <si>
    <t>Tìm và làm việc với đối tác sản xuất dây cáp điện cho Robot</t>
  </si>
  <si>
    <t>HSCR01</t>
  </si>
  <si>
    <t>Thiết kế và phát triển trạm sạc pin</t>
  </si>
  <si>
    <t>HBR00</t>
  </si>
  <si>
    <t>Phát triển bàn tay VMO</t>
  </si>
  <si>
    <t>HCR00</t>
  </si>
  <si>
    <t>Phát triển tay cầm điều khiển cho Robot</t>
  </si>
  <si>
    <t>Task Name</t>
  </si>
  <si>
    <t>Assignee</t>
  </si>
  <si>
    <t>Weight</t>
  </si>
  <si>
    <t>Status</t>
  </si>
  <si>
    <t>Hợp tác làm mẫu pin với viện pin</t>
  </si>
  <si>
    <t>kienlt44</t>
  </si>
  <si>
    <t>Doing</t>
  </si>
  <si>
    <t>Thiết kế nguyên lý  cho mạch Hot Swap</t>
  </si>
  <si>
    <t>Thiết kế Layout cho mạch Hot Swap</t>
  </si>
  <si>
    <t>Lập trình firmware cho mạch Hot Swap</t>
  </si>
  <si>
    <t>hienpn2</t>
  </si>
  <si>
    <t>Open</t>
  </si>
  <si>
    <t>Hợp tác với đối tác ADC của QC thiết kế máy tính nhúng</t>
  </si>
  <si>
    <t>phudh2</t>
  </si>
  <si>
    <t>Pending</t>
  </si>
  <si>
    <t>Hoàn thành thiết kế schematic và PCB layout</t>
  </si>
  <si>
    <t>Làm việc với đối tác EMS( Meiko) để sản xuất PCBA</t>
  </si>
  <si>
    <t>Hoàn thành thiết kế schematic và PCB layout, SOR, FCT test</t>
  </si>
  <si>
    <t>Done</t>
  </si>
  <si>
    <t>Upload dữ liệu lên server</t>
  </si>
  <si>
    <t>Bàn giao dữ liệu cho Kiên</t>
  </si>
  <si>
    <t>Làm việc với đối tác để sản xuất PCBA</t>
  </si>
  <si>
    <t>Bàn giao dữ liệu cho Phú</t>
  </si>
  <si>
    <t>Hoàn thành thiết kế schematic và layout PCB</t>
  </si>
  <si>
    <t>Xuất BOM, dữ liệu làm PCBA, SOR, FCT test</t>
  </si>
  <si>
    <t>anhlt25</t>
  </si>
  <si>
    <t>R</t>
  </si>
  <si>
    <t>S</t>
  </si>
  <si>
    <t>Name</t>
  </si>
  <si>
    <t>Code</t>
  </si>
  <si>
    <t>Position</t>
  </si>
  <si>
    <t>Skills</t>
  </si>
  <si>
    <t>Current Projects</t>
  </si>
  <si>
    <t>Active Tasks</t>
  </si>
  <si>
    <t>Active Isssues</t>
  </si>
  <si>
    <t>Đinh Hoàng Phú</t>
  </si>
  <si>
    <t>Lê Trí Kiên</t>
  </si>
  <si>
    <t>Phạm Nam Hiền</t>
  </si>
  <si>
    <t>Vũ Đăng Khoa</t>
  </si>
  <si>
    <t>khoavd11</t>
  </si>
  <si>
    <t>Lê Tiến Anh</t>
  </si>
  <si>
    <t>Lê Dương Khánh Huy</t>
  </si>
  <si>
    <t>huyldk</t>
  </si>
  <si>
    <t>Tôn Thất Phúc Khánh</t>
  </si>
  <si>
    <t>khanhttp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</si>
</sst>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000000"/>
      <name val="Calibri"/>
    </font>
    <font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3" fontId="3" numFmtId="0" xfId="0" applyAlignment="1" applyBorder="1" applyFill="1" applyFon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ill="1" applyFont="1">
      <alignment horizontal="center" shrinkToFit="0" vertical="center" wrapText="0"/>
    </xf>
    <xf borderId="0" fillId="4" fontId="4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1"/>
    </xf>
    <xf borderId="1" fillId="2" fontId="3" numFmtId="0" xfId="0" applyAlignment="1" applyBorder="1" applyFont="1">
      <alignment horizontal="center" shrinkToFit="0" vertical="bottom" wrapText="0"/>
    </xf>
    <xf borderId="1" fillId="2" fontId="3" numFmtId="0" xfId="0" applyAlignment="1" applyBorder="1" applyFont="1">
      <alignment horizontal="center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>
        <b/>
      </font>
      <fill>
        <patternFill patternType="solid">
          <fgColor rgb="FFFF6B6B"/>
          <bgColor rgb="FFFF6B6B"/>
        </patternFill>
      </fill>
      <border/>
    </dxf>
    <dxf>
      <font>
        <b/>
      </font>
      <fill>
        <patternFill patternType="solid">
          <fgColor rgb="FFFFA94D"/>
          <bgColor rgb="FFFFA94D"/>
        </patternFill>
      </fill>
      <border/>
    </dxf>
    <dxf>
      <font>
        <b/>
      </font>
      <fill>
        <patternFill patternType="solid">
          <fgColor rgb="FF69DB7C"/>
          <bgColor rgb="FF69DB7C"/>
        </patternFill>
      </fill>
      <border/>
    </dxf>
    <dxf>
      <font>
        <b/>
      </font>
      <fill>
        <patternFill patternType="solid">
          <fgColor rgb="FF74C0FC"/>
          <bgColor rgb="FF74C0FC"/>
        </patternFill>
      </fill>
      <border/>
    </dxf>
    <dxf>
      <font>
        <b/>
      </font>
      <fill>
        <patternFill patternType="solid">
          <fgColor rgb="FFB197FC"/>
          <bgColor rgb="FFB197F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6.57"/>
    <col customWidth="1" min="3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11.14"/>
    <col customWidth="1" min="3" max="3" width="54.43"/>
    <col customWidth="1" min="4" max="4" width="24.29"/>
    <col customWidth="1" min="5" max="5" width="15.86"/>
    <col customWidth="1" min="6" max="6" width="16.86"/>
    <col customWidth="1" min="7" max="7" width="22.57"/>
    <col customWidth="1" min="8" max="8" width="50.86"/>
  </cols>
  <sheetData>
    <row r="1" ht="15.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3">
        <v>1.0</v>
      </c>
      <c r="B2" s="1" t="s">
        <v>8</v>
      </c>
      <c r="C2" s="1" t="s">
        <v>9</v>
      </c>
      <c r="D2" s="1" t="str">
        <f>LEFT(IF(RASI!D2="R",HR!$C$2&amp;", ","")&amp;IF(RASI!E2="R",HR!$C$3&amp;", ","")&amp;IF(RASI!F2="R",HR!$C$4&amp;", ","")&amp;IF(RASI!G2="R",HR!$C$5&amp;", ","")&amp;IF(RASI!H2="R",HR!$C$6&amp;", ","")&amp;IF(RASI!I2="R",HR!$C$7&amp;", ","")&amp;IF(RASI!J2="R",HR!$C$8&amp;", ",""),MAX(0,LEN(IF(RASI!D2="R",HR!$C$2&amp;", ","")&amp;IF(RASI!E2="R",HR!$C$3&amp;", ","")&amp;IF(RASI!F2="R",HR!$C$4&amp;", ","")&amp;IF(RASI!G2="R",HR!$C$5&amp;", ","")&amp;IF(RASI!H2="R",HR!$C$6&amp;", ","")&amp;IF(RASI!I2="R",HR!$C$7&amp;", ","")&amp;IF(RASI!J2="R",HR!$C$8&amp;", ",""))-2))</f>
        <v>kienlt44</v>
      </c>
      <c r="E2" s="1"/>
      <c r="F2" s="1"/>
      <c r="G2" s="4">
        <f>IF(OR(B2="",SUMIF(Tasks!$B:$B,B2,Tasks!$F:$F)=0),"",SUMIFS(Tasks!$F:$F,Tasks!$B:$B,B2,Tasks!$G:$G,"Done")/SUMIF(Tasks!$B:$B,B2,Tasks!$F:$F))</f>
        <v>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3">
        <v>2.0</v>
      </c>
      <c r="B3" s="1" t="s">
        <v>10</v>
      </c>
      <c r="C3" s="1" t="s">
        <v>11</v>
      </c>
      <c r="D3" s="1" t="str">
        <f>LEFT(IF(RASI!D3="R",HR!$C$2&amp;", ","")&amp;IF(RASI!E3="R",HR!$C$3&amp;", ","")&amp;IF(RASI!F3="R",HR!$C$4&amp;", ","")&amp;IF(RASI!G3="R",HR!$C$5&amp;", ","")&amp;IF(RASI!H3="R",HR!$C$6&amp;", ","")&amp;IF(RASI!I3="R",HR!$C$7&amp;", ","")&amp;IF(RASI!J3="R",HR!$C$8&amp;", ",""),MAX(0,LEN(IF(RASI!D3="R",HR!$C$2&amp;", ","")&amp;IF(RASI!E3="R",HR!$C$3&amp;", ","")&amp;IF(RASI!F3="R",HR!$C$4&amp;", ","")&amp;IF(RASI!G3="R",HR!$C$5&amp;", ","")&amp;IF(RASI!H3="R",HR!$C$6&amp;", ","")&amp;IF(RASI!I3="R",HR!$C$7&amp;", ","")&amp;IF(RASI!J3="R",HR!$C$8&amp;", ",""))-2))</f>
        <v>kienlt44</v>
      </c>
      <c r="E3" s="1"/>
      <c r="F3" s="1"/>
      <c r="G3" s="4">
        <f>IF(OR(B3="",SUMIF(Tasks!$B:$B,B3,Tasks!$F:$F)=0),"",SUMIFS(Tasks!$F:$F,Tasks!$B:$B,B3,Tasks!$G:$G,"Done")/SUMIF(Tasks!$B:$B,B3,Tasks!$F:$F))</f>
        <v>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3">
        <v>3.0</v>
      </c>
      <c r="B4" s="1" t="s">
        <v>12</v>
      </c>
      <c r="C4" s="1" t="s">
        <v>13</v>
      </c>
      <c r="D4" s="1" t="str">
        <f>LEFT(IF(RASI!D4="R",HR!$C$2&amp;", ","")&amp;IF(RASI!E4="R",HR!$C$3&amp;", ","")&amp;IF(RASI!F4="R",HR!$C$4&amp;", ","")&amp;IF(RASI!G4="R",HR!$C$5&amp;", ","")&amp;IF(RASI!H4="R",HR!$C$6&amp;", ","")&amp;IF(RASI!I4="R",HR!$C$7&amp;", ","")&amp;IF(RASI!J4="R",HR!$C$8&amp;", ",""),MAX(0,LEN(IF(RASI!D4="R",HR!$C$2&amp;", ","")&amp;IF(RASI!E4="R",HR!$C$3&amp;", ","")&amp;IF(RASI!F4="R",HR!$C$4&amp;", ","")&amp;IF(RASI!G4="R",HR!$C$5&amp;", ","")&amp;IF(RASI!H4="R",HR!$C$6&amp;", ","")&amp;IF(RASI!I4="R",HR!$C$7&amp;", ","")&amp;IF(RASI!J4="R",HR!$C$8&amp;", ",""))-2))</f>
        <v>phudh2</v>
      </c>
      <c r="E4" s="1"/>
      <c r="F4" s="1"/>
      <c r="G4" s="4">
        <f>IF(OR(B4="",SUMIF(Tasks!$B:$B,B4,Tasks!$F:$F)=0),"",SUMIFS(Tasks!$F:$F,Tasks!$B:$B,B4,Tasks!$G:$G,"Done")/SUMIF(Tasks!$B:$B,B4,Tasks!$F:$F))</f>
        <v>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3">
        <v>4.0</v>
      </c>
      <c r="B5" s="1" t="s">
        <v>14</v>
      </c>
      <c r="C5" s="1" t="s">
        <v>15</v>
      </c>
      <c r="D5" s="1" t="str">
        <f>LEFT(IF(RASI!D5="R",HR!$C$2&amp;", ","")&amp;IF(RASI!E5="R",HR!$C$3&amp;", ","")&amp;IF(RASI!F5="R",HR!$C$4&amp;", ","")&amp;IF(RASI!G5="R",HR!$C$5&amp;", ","")&amp;IF(RASI!H5="R",HR!$C$6&amp;", ","")&amp;IF(RASI!I5="R",HR!$C$7&amp;", ","")&amp;IF(RASI!J5="R",HR!$C$8&amp;", ",""),MAX(0,LEN(IF(RASI!D5="R",HR!$C$2&amp;", ","")&amp;IF(RASI!E5="R",HR!$C$3&amp;", ","")&amp;IF(RASI!F5="R",HR!$C$4&amp;", ","")&amp;IF(RASI!G5="R",HR!$C$5&amp;", ","")&amp;IF(RASI!H5="R",HR!$C$6&amp;", ","")&amp;IF(RASI!I5="R",HR!$C$7&amp;", ","")&amp;IF(RASI!J5="R",HR!$C$8&amp;", ",""))-2))</f>
        <v>kienlt44</v>
      </c>
      <c r="E5" s="1"/>
      <c r="F5" s="1"/>
      <c r="G5" s="4">
        <f>IF(OR(B5="",SUMIF(Tasks!$B:$B,B5,Tasks!$F:$F)=0),"",SUMIFS(Tasks!$F:$F,Tasks!$B:$B,B5,Tasks!$G:$G,"Done")/SUMIF(Tasks!$B:$B,B5,Tasks!$F:$F))</f>
        <v>0.5833333333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3">
        <v>5.0</v>
      </c>
      <c r="B6" s="1" t="s">
        <v>16</v>
      </c>
      <c r="C6" s="1" t="s">
        <v>17</v>
      </c>
      <c r="D6" s="1" t="str">
        <f>LEFT(IF(RASI!D6="R",HR!$C$2&amp;", ","")&amp;IF(RASI!E6="R",HR!$C$3&amp;", ","")&amp;IF(RASI!F6="R",HR!$C$4&amp;", ","")&amp;IF(RASI!G6="R",HR!$C$5&amp;", ","")&amp;IF(RASI!H6="R",HR!$C$6&amp;", ","")&amp;IF(RASI!I6="R",HR!$C$7&amp;", ","")&amp;IF(RASI!J6="R",HR!$C$8&amp;", ",""),MAX(0,LEN(IF(RASI!D6="R",HR!$C$2&amp;", ","")&amp;IF(RASI!E6="R",HR!$C$3&amp;", ","")&amp;IF(RASI!F6="R",HR!$C$4&amp;", ","")&amp;IF(RASI!G6="R",HR!$C$5&amp;", ","")&amp;IF(RASI!H6="R",HR!$C$6&amp;", ","")&amp;IF(RASI!I6="R",HR!$C$7&amp;", ","")&amp;IF(RASI!J6="R",HR!$C$8&amp;", ",""))-2))</f>
        <v>kienlt44, anhlt25</v>
      </c>
      <c r="E6" s="1"/>
      <c r="F6" s="1"/>
      <c r="G6" s="4">
        <f>IF(OR(B6="",SUMIF(Tasks!$B:$B,B6,Tasks!$F:$F)=0),"",SUMIFS(Tasks!$F:$F,Tasks!$B:$B,B6,Tasks!$G:$G,"Done")/SUMIF(Tasks!$B:$B,B6,Tasks!$F:$F))</f>
        <v>0.5833333333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3">
        <v>6.0</v>
      </c>
      <c r="B7" s="1" t="s">
        <v>18</v>
      </c>
      <c r="C7" s="1" t="s">
        <v>19</v>
      </c>
      <c r="D7" s="1" t="str">
        <f>LEFT(IF(RASI!D7="R",HR!$C$2&amp;", ","")&amp;IF(RASI!E7="R",HR!$C$3&amp;", ","")&amp;IF(RASI!F7="R",HR!$C$4&amp;", ","")&amp;IF(RASI!G7="R",HR!$C$5&amp;", ","")&amp;IF(RASI!H7="R",HR!$C$6&amp;", ","")&amp;IF(RASI!I7="R",HR!$C$7&amp;", ","")&amp;IF(RASI!J7="R",HR!$C$8&amp;", ",""),MAX(0,LEN(IF(RASI!D7="R",HR!$C$2&amp;", ","")&amp;IF(RASI!E7="R",HR!$C$3&amp;", ","")&amp;IF(RASI!F7="R",HR!$C$4&amp;", ","")&amp;IF(RASI!G7="R",HR!$C$5&amp;", ","")&amp;IF(RASI!H7="R",HR!$C$6&amp;", ","")&amp;IF(RASI!I7="R",HR!$C$7&amp;", ","")&amp;IF(RASI!J7="R",HR!$C$8&amp;", ",""))-2))</f>
        <v>phudh2</v>
      </c>
      <c r="E7" s="1"/>
      <c r="F7" s="1"/>
      <c r="G7" s="4">
        <f>IF(OR(B7="",SUMIF(Tasks!$B:$B,B7,Tasks!$F:$F)=0),"",SUMIFS(Tasks!$F:$F,Tasks!$B:$B,B7,Tasks!$G:$G,"Done")/SUMIF(Tasks!$B:$B,B7,Tasks!$F:$F))</f>
        <v>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3">
        <v>7.0</v>
      </c>
      <c r="B8" s="1" t="s">
        <v>20</v>
      </c>
      <c r="C8" s="1" t="s">
        <v>21</v>
      </c>
      <c r="D8" s="1" t="str">
        <f>LEFT(IF(RASI!D8="R",HR!$C$2&amp;", ","")&amp;IF(RASI!E8="R",HR!$C$3&amp;", ","")&amp;IF(RASI!F8="R",HR!$C$4&amp;", ","")&amp;IF(RASI!G8="R",HR!$C$5&amp;", ","")&amp;IF(RASI!H8="R",HR!$C$6&amp;", ","")&amp;IF(RASI!I8="R",HR!$C$7&amp;", ","")&amp;IF(RASI!J8="R",HR!$C$8&amp;", ",""),MAX(0,LEN(IF(RASI!D8="R",HR!$C$2&amp;", ","")&amp;IF(RASI!E8="R",HR!$C$3&amp;", ","")&amp;IF(RASI!F8="R",HR!$C$4&amp;", ","")&amp;IF(RASI!G8="R",HR!$C$5&amp;", ","")&amp;IF(RASI!H8="R",HR!$C$6&amp;", ","")&amp;IF(RASI!I8="R",HR!$C$7&amp;", ","")&amp;IF(RASI!J8="R",HR!$C$8&amp;", ",""))-2))</f>
        <v>kienlt44, anhlt25</v>
      </c>
      <c r="E8" s="1"/>
      <c r="F8" s="1"/>
      <c r="G8" s="4">
        <f>IF(OR(B8="",SUMIF(Tasks!$B:$B,B8,Tasks!$F:$F)=0),"",SUMIFS(Tasks!$F:$F,Tasks!$B:$B,B8,Tasks!$G:$G,"Done")/SUMIF(Tasks!$B:$B,B8,Tasks!$F:$F))</f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3">
        <v>8.0</v>
      </c>
      <c r="B9" s="1" t="s">
        <v>22</v>
      </c>
      <c r="C9" s="1" t="s">
        <v>23</v>
      </c>
      <c r="D9" s="1" t="str">
        <f>LEFT(IF(RASI!D9="R",HR!$C$2&amp;", ","")&amp;IF(RASI!E9="R",HR!$C$3&amp;", ","")&amp;IF(RASI!F9="R",HR!$C$4&amp;", ","")&amp;IF(RASI!G9="R",HR!$C$5&amp;", ","")&amp;IF(RASI!H9="R",HR!$C$6&amp;", ","")&amp;IF(RASI!I9="R",HR!$C$7&amp;", ","")&amp;IF(RASI!J9="R",HR!$C$8&amp;", ",""),MAX(0,LEN(IF(RASI!D9="R",HR!$C$2&amp;", ","")&amp;IF(RASI!E9="R",HR!$C$3&amp;", ","")&amp;IF(RASI!F9="R",HR!$C$4&amp;", ","")&amp;IF(RASI!G9="R",HR!$C$5&amp;", ","")&amp;IF(RASI!H9="R",HR!$C$6&amp;", ","")&amp;IF(RASI!I9="R",HR!$C$7&amp;", ","")&amp;IF(RASI!J9="R",HR!$C$8&amp;", ",""))-2))</f>
        <v>kienlt44, hienpn2</v>
      </c>
      <c r="E9" s="1"/>
      <c r="F9" s="1"/>
      <c r="G9" s="4" t="str">
        <f>IF(OR(B9="",SUMIF(Tasks!$B:$B,B9,Tasks!$F:$F)=0),"",SUMIFS(Tasks!$F:$F,Tasks!$B:$B,B9,Tasks!$G:$G,"Done")/SUMIF(Tasks!$B:$B,B9,Tasks!$F:$F))</f>
        <v/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3">
        <v>9.0</v>
      </c>
      <c r="B10" s="1" t="s">
        <v>24</v>
      </c>
      <c r="C10" s="1" t="s">
        <v>25</v>
      </c>
      <c r="D10" s="1" t="str">
        <f>LEFT(IF(RASI!D10="R",HR!$C$2&amp;",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",""),MAX(0,LEN(IF(RASI!D10="R",HR!$C$2&amp;",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",""))-2))</f>
        <v>khoavd11</v>
      </c>
      <c r="E10" s="1"/>
      <c r="F10" s="1"/>
      <c r="G10" s="4" t="str">
        <f>IF(OR(B10="",SUMIF(Tasks!$B:$B,B10,Tasks!$F:$F)=0),"",SUMIFS(Tasks!$F:$F,Tasks!$B:$B,B10,Tasks!$G:$G,"Done")/SUMIF(Tasks!$B:$B,B10,Tasks!$F:$F))</f>
        <v/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3">
        <v>10.0</v>
      </c>
      <c r="B11" s="1" t="s">
        <v>26</v>
      </c>
      <c r="C11" s="1" t="s">
        <v>27</v>
      </c>
      <c r="D11" s="1" t="str">
        <f>LEFT(IF(RASI!D11="R",HR!$C$2&amp;",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",""),MAX(0,LEN(IF(RASI!D11="R",HR!$C$2&amp;",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",""))-2))</f>
        <v>kienlt44</v>
      </c>
      <c r="E11" s="1"/>
      <c r="F11" s="1"/>
      <c r="G11" s="4" t="str">
        <f>IF(OR(B11="",SUMIF(Tasks!$B:$B,B11,Tasks!$F:$F)=0),"",SUMIFS(Tasks!$F:$F,Tasks!$B:$B,B11,Tasks!$G:$G,"Done")/SUMIF(Tasks!$B:$B,B11,Tasks!$F:$F))</f>
        <v/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3"/>
      <c r="B12" s="1"/>
      <c r="C12" s="1"/>
      <c r="D12" s="1"/>
      <c r="E12" s="1"/>
      <c r="F12" s="1"/>
      <c r="G12" s="4" t="str">
        <f>IF(OR(B12="",SUMIF(Tasks!$B:$B,B12,Tasks!$F:$F)=0),"",SUMIFS(Tasks!$F:$F,Tasks!$B:$B,B12,Tasks!$G:$G,"Done")/SUMIF(Tasks!$B:$B,B12,Tasks!$F:$F))</f>
        <v/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3"/>
      <c r="B13" s="1"/>
      <c r="C13" s="1"/>
      <c r="D13" s="1"/>
      <c r="E13" s="1"/>
      <c r="F13" s="1"/>
      <c r="G13" s="4" t="str">
        <f>IF(OR(B13="",SUMIF(Tasks!$B:$B,B13,Tasks!$F:$F)=0),"",SUMIFS(Tasks!$F:$F,Tasks!$B:$B,B13,Tasks!$G:$G,"Done")/SUMIF(Tasks!$B:$B,B13,Tasks!$F:$F))</f>
        <v/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3"/>
      <c r="B14" s="1"/>
      <c r="C14" s="1"/>
      <c r="D14" s="1"/>
      <c r="E14" s="1"/>
      <c r="F14" s="1"/>
      <c r="G14" s="4" t="str">
        <f>IF(OR(B14="",SUMIF(Tasks!$B:$B,B14,Tasks!$F:$F)=0),"",SUMIFS(Tasks!$F:$F,Tasks!$B:$B,B14,Tasks!$G:$G,"Done")/SUMIF(Tasks!$B:$B,B14,Tasks!$F:$F))</f>
        <v/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3"/>
      <c r="B15" s="1"/>
      <c r="C15" s="1"/>
      <c r="D15" s="1"/>
      <c r="E15" s="1"/>
      <c r="F15" s="1"/>
      <c r="G15" s="4" t="str">
        <f>IF(OR(B15="",SUMIF(Tasks!$B:$B,B15,Tasks!$F:$F)=0),"",SUMIFS(Tasks!$F:$F,Tasks!$B:$B,B15,Tasks!$G:$G,"Done")/SUMIF(Tasks!$B:$B,B15,Tasks!$F:$F))</f>
        <v/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3"/>
      <c r="B16" s="1"/>
      <c r="C16" s="1"/>
      <c r="D16" s="1"/>
      <c r="E16" s="1"/>
      <c r="F16" s="1"/>
      <c r="G16" s="4" t="str">
        <f>IF(OR(B16="",SUMIF(Tasks!$B:$B,B16,Tasks!$F:$F)=0),"",SUMIFS(Tasks!$F:$F,Tasks!$B:$B,B16,Tasks!$G:$G,"Done")/SUMIF(Tasks!$B:$B,B16,Tasks!$F:$F))</f>
        <v/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3"/>
      <c r="B17" s="1"/>
      <c r="C17" s="1"/>
      <c r="D17" s="1"/>
      <c r="E17" s="1"/>
      <c r="F17" s="1"/>
      <c r="G17" s="4" t="str">
        <f>IF(OR(B17="",SUMIF(Tasks!$B:$B,B17,Tasks!$F:$F)=0),"",SUMIFS(Tasks!$F:$F,Tasks!$B:$B,B17,Tasks!$G:$G,"Done")/SUMIF(Tasks!$B:$B,B17,Tasks!$F:$F))</f>
        <v/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3"/>
      <c r="B18" s="1"/>
      <c r="C18" s="1"/>
      <c r="D18" s="1"/>
      <c r="E18" s="1"/>
      <c r="F18" s="1"/>
      <c r="G18" s="4" t="str">
        <f>IF(OR(B18="",SUMIF(Tasks!$B:$B,B18,Tasks!$F:$F)=0),"",SUMIFS(Tasks!$F:$F,Tasks!$B:$B,B18,Tasks!$G:$G,"Done")/SUMIF(Tasks!$B:$B,B18,Tasks!$F:$F))</f>
        <v/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3"/>
      <c r="B19" s="1"/>
      <c r="C19" s="1"/>
      <c r="D19" s="1"/>
      <c r="E19" s="1"/>
      <c r="F19" s="1"/>
      <c r="G19" s="4" t="str">
        <f>IF(OR(B19="",SUMIF(Tasks!$B:$B,B19,Tasks!$F:$F)=0),"",SUMIFS(Tasks!$F:$F,Tasks!$B:$B,B19,Tasks!$G:$G,"Done")/SUMIF(Tasks!$B:$B,B19,Tasks!$F:$F))</f>
        <v/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3"/>
      <c r="B20" s="1"/>
      <c r="C20" s="1"/>
      <c r="D20" s="1"/>
      <c r="E20" s="1"/>
      <c r="F20" s="1"/>
      <c r="G20" s="4" t="str">
        <f>IF(OR(B20="",SUMIF(Tasks!$B:$B,B20,Tasks!$F:$F)=0),"",SUMIFS(Tasks!$F:$F,Tasks!$B:$B,B20,Tasks!$G:$G,"Done")/SUMIF(Tasks!$B:$B,B20,Tasks!$F:$F))</f>
        <v/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3"/>
      <c r="B21" s="1"/>
      <c r="C21" s="1"/>
      <c r="D21" s="1"/>
      <c r="E21" s="1"/>
      <c r="F21" s="1"/>
      <c r="G21" s="4" t="str">
        <f>IF(OR(B21="",SUMIF(Tasks!$B:$B,B21,Tasks!$F:$F)=0),"",SUMIFS(Tasks!$F:$F,Tasks!$B:$B,B21,Tasks!$G:$G,"Done")/SUMIF(Tasks!$B:$B,B21,Tasks!$F:$F))</f>
        <v/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3"/>
      <c r="B22" s="1"/>
      <c r="C22" s="1"/>
      <c r="D22" s="1"/>
      <c r="E22" s="1"/>
      <c r="F22" s="1"/>
      <c r="G22" s="4" t="str">
        <f>IF(OR(B22="",SUMIF(Tasks!$B:$B,B22,Tasks!$F:$F)=0),"",SUMIFS(Tasks!$F:$F,Tasks!$B:$B,B22,Tasks!$G:$G,"Done")/SUMIF(Tasks!$B:$B,B22,Tasks!$F:$F))</f>
        <v/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3"/>
      <c r="B23" s="1"/>
      <c r="C23" s="1"/>
      <c r="D23" s="1"/>
      <c r="E23" s="1"/>
      <c r="F23" s="1"/>
      <c r="G23" s="4" t="str">
        <f>IF(OR(B23="",SUMIF(Tasks!$B:$B,B23,Tasks!$F:$F)=0),"",SUMIFS(Tasks!$F:$F,Tasks!$B:$B,B23,Tasks!$G:$G,"Done")/SUMIF(Tasks!$B:$B,B23,Tasks!$F:$F))</f>
        <v/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3"/>
      <c r="B24" s="1"/>
      <c r="C24" s="1"/>
      <c r="D24" s="1"/>
      <c r="E24" s="1"/>
      <c r="F24" s="1"/>
      <c r="G24" s="4" t="str">
        <f>IF(OR(B24="",SUMIF(Tasks!$B:$B,B24,Tasks!$F:$F)=0),"",SUMIFS(Tasks!$F:$F,Tasks!$B:$B,B24,Tasks!$G:$G,"Done")/SUMIF(Tasks!$B:$B,B24,Tasks!$F:$F))</f>
        <v/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3"/>
      <c r="B25" s="1"/>
      <c r="C25" s="1"/>
      <c r="D25" s="1"/>
      <c r="E25" s="1"/>
      <c r="F25" s="1"/>
      <c r="G25" s="4" t="str">
        <f>IF(OR(B25="",SUMIF(Tasks!$B:$B,B25,Tasks!$F:$F)=0),"",SUMIFS(Tasks!$F:$F,Tasks!$B:$B,B25,Tasks!$G:$G,"Done")/SUMIF(Tasks!$B:$B,B25,Tasks!$F:$F))</f>
        <v/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3"/>
      <c r="B26" s="1"/>
      <c r="C26" s="1"/>
      <c r="D26" s="1"/>
      <c r="E26" s="1"/>
      <c r="F26" s="1"/>
      <c r="G26" s="4" t="str">
        <f>IF(OR(B26="",SUMIF(Tasks!$B:$B,B26,Tasks!$F:$F)=0),"",SUMIFS(Tasks!$F:$F,Tasks!$B:$B,B26,Tasks!$G:$G,"Done")/SUMIF(Tasks!$B:$B,B26,Tasks!$F:$F))</f>
        <v/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"/>
      <c r="B27" s="1"/>
      <c r="C27" s="1"/>
      <c r="D27" s="1"/>
      <c r="E27" s="1"/>
      <c r="F27" s="1"/>
      <c r="G27" s="4" t="str">
        <f>IF(OR(B27="",SUMIF(Tasks!$B:$B,B27,Tasks!$F:$F)=0),"",SUMIFS(Tasks!$F:$F,Tasks!$B:$B,B27,Tasks!$G:$G,"Done")/SUMIF(Tasks!$B:$B,B27,Tasks!$F:$F))</f>
        <v/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3"/>
      <c r="B28" s="1"/>
      <c r="C28" s="1"/>
      <c r="D28" s="1"/>
      <c r="E28" s="1"/>
      <c r="F28" s="1"/>
      <c r="G28" s="4" t="str">
        <f>IF(OR(B28="",SUMIF(Tasks!$B:$B,B28,Tasks!$F:$F)=0),"",SUMIFS(Tasks!$F:$F,Tasks!$B:$B,B28,Tasks!$G:$G,"Done")/SUMIF(Tasks!$B:$B,B28,Tasks!$F:$F))</f>
        <v/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3"/>
      <c r="B29" s="1"/>
      <c r="C29" s="1"/>
      <c r="D29" s="1"/>
      <c r="E29" s="1"/>
      <c r="F29" s="1"/>
      <c r="G29" s="4" t="str">
        <f>IF(OR(B29="",SUMIF(Tasks!$B:$B,B29,Tasks!$F:$F)=0),"",SUMIFS(Tasks!$F:$F,Tasks!$B:$B,B29,Tasks!$G:$G,"Done")/SUMIF(Tasks!$B:$B,B29,Tasks!$F:$F))</f>
        <v/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3"/>
      <c r="B30" s="1"/>
      <c r="C30" s="1"/>
      <c r="D30" s="1"/>
      <c r="E30" s="1"/>
      <c r="F30" s="1"/>
      <c r="G30" s="4" t="str">
        <f>IF(OR(B30="",SUMIF(Tasks!$B:$B,B30,Tasks!$F:$F)=0),"",SUMIFS(Tasks!$F:$F,Tasks!$B:$B,B30,Tasks!$G:$G,"Done")/SUMIF(Tasks!$B:$B,B30,Tasks!$F:$F))</f>
        <v/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3"/>
      <c r="B31" s="1"/>
      <c r="C31" s="1"/>
      <c r="D31" s="1"/>
      <c r="E31" s="1"/>
      <c r="F31" s="1"/>
      <c r="G31" s="4" t="str">
        <f>IF(OR(B31="",SUMIF(Tasks!$B:$B,B31,Tasks!$F:$F)=0),"",SUMIFS(Tasks!$F:$F,Tasks!$B:$B,B31,Tasks!$G:$G,"Done")/SUMIF(Tasks!$B:$B,B31,Tasks!$F:$F))</f>
        <v/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"/>
      <c r="B32" s="1"/>
      <c r="C32" s="1"/>
      <c r="D32" s="1"/>
      <c r="E32" s="1"/>
      <c r="F32" s="1"/>
      <c r="G32" s="4" t="str">
        <f>IF(OR(B32="",SUMIF(Tasks!$B:$B,B32,Tasks!$F:$F)=0),"",SUMIFS(Tasks!$F:$F,Tasks!$B:$B,B32,Tasks!$G:$G,"Done")/SUMIF(Tasks!$B:$B,B32,Tasks!$F:$F))</f>
        <v/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3"/>
      <c r="B33" s="1"/>
      <c r="C33" s="1"/>
      <c r="D33" s="1"/>
      <c r="E33" s="1"/>
      <c r="F33" s="1"/>
      <c r="G33" s="4" t="str">
        <f>IF(OR(B33="",SUMIF(Tasks!$B:$B,B33,Tasks!$F:$F)=0),"",SUMIFS(Tasks!$F:$F,Tasks!$B:$B,B33,Tasks!$G:$G,"Done")/SUMIF(Tasks!$B:$B,B33,Tasks!$F:$F))</f>
        <v/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3"/>
      <c r="B34" s="1"/>
      <c r="C34" s="1"/>
      <c r="D34" s="1"/>
      <c r="E34" s="1"/>
      <c r="F34" s="1"/>
      <c r="G34" s="4" t="str">
        <f>IF(OR(B34="",SUMIF(Tasks!$B:$B,B34,Tasks!$F:$F)=0),"",SUMIFS(Tasks!$F:$F,Tasks!$B:$B,B34,Tasks!$G:$G,"Done")/SUMIF(Tasks!$B:$B,B34,Tasks!$F:$F))</f>
        <v/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3"/>
      <c r="B35" s="1"/>
      <c r="C35" s="1"/>
      <c r="D35" s="1"/>
      <c r="E35" s="1"/>
      <c r="F35" s="1"/>
      <c r="G35" s="4" t="str">
        <f>IF(OR(B35="",SUMIF(Tasks!$B:$B,B35,Tasks!$F:$F)=0),"",SUMIFS(Tasks!$F:$F,Tasks!$B:$B,B35,Tasks!$G:$G,"Done")/SUMIF(Tasks!$B:$B,B35,Tasks!$F:$F))</f>
        <v/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3"/>
      <c r="B36" s="1"/>
      <c r="C36" s="1"/>
      <c r="D36" s="1"/>
      <c r="E36" s="1"/>
      <c r="F36" s="1"/>
      <c r="G36" s="4" t="str">
        <f>IF(OR(B36="",SUMIF(Tasks!$B:$B,B36,Tasks!$F:$F)=0),"",SUMIFS(Tasks!$F:$F,Tasks!$B:$B,B36,Tasks!$G:$G,"Done")/SUMIF(Tasks!$B:$B,B36,Tasks!$F:$F))</f>
        <v/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3"/>
      <c r="B37" s="1"/>
      <c r="C37" s="1"/>
      <c r="D37" s="1"/>
      <c r="E37" s="1"/>
      <c r="F37" s="1"/>
      <c r="G37" s="4" t="str">
        <f>IF(OR(B37="",SUMIF(Tasks!$B:$B,B37,Tasks!$F:$F)=0),"",SUMIFS(Tasks!$F:$F,Tasks!$B:$B,B37,Tasks!$G:$G,"Done")/SUMIF(Tasks!$B:$B,B37,Tasks!$F:$F))</f>
        <v/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3"/>
      <c r="B38" s="1"/>
      <c r="C38" s="1"/>
      <c r="D38" s="1"/>
      <c r="E38" s="1"/>
      <c r="F38" s="1"/>
      <c r="G38" s="4" t="str">
        <f>IF(OR(B38="",SUMIF(Tasks!$B:$B,B38,Tasks!$F:$F)=0),"",SUMIFS(Tasks!$F:$F,Tasks!$B:$B,B38,Tasks!$G:$G,"Done")/SUMIF(Tasks!$B:$B,B38,Tasks!$F:$F))</f>
        <v/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3"/>
      <c r="B39" s="1"/>
      <c r="C39" s="1"/>
      <c r="D39" s="1"/>
      <c r="E39" s="1"/>
      <c r="F39" s="1"/>
      <c r="G39" s="4" t="str">
        <f>IF(OR(B39="",SUMIF(Tasks!$B:$B,B39,Tasks!$F:$F)=0),"",SUMIFS(Tasks!$F:$F,Tasks!$B:$B,B39,Tasks!$G:$G,"Done")/SUMIF(Tasks!$B:$B,B39,Tasks!$F:$F))</f>
        <v/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3"/>
      <c r="B40" s="1"/>
      <c r="C40" s="1"/>
      <c r="D40" s="1"/>
      <c r="E40" s="1"/>
      <c r="F40" s="1"/>
      <c r="G40" s="4" t="str">
        <f>IF(OR(B40="",SUMIF(Tasks!$B:$B,B40,Tasks!$F:$F)=0),"",SUMIFS(Tasks!$F:$F,Tasks!$B:$B,B40,Tasks!$G:$G,"Done")/SUMIF(Tasks!$B:$B,B40,Tasks!$F:$F))</f>
        <v/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3"/>
      <c r="B41" s="1"/>
      <c r="C41" s="1"/>
      <c r="D41" s="1"/>
      <c r="E41" s="1"/>
      <c r="F41" s="1"/>
      <c r="G41" s="4" t="str">
        <f>IF(OR(B41="",SUMIF(Tasks!$B:$B,B41,Tasks!$F:$F)=0),"",SUMIFS(Tasks!$F:$F,Tasks!$B:$B,B41,Tasks!$G:$G,"Done")/SUMIF(Tasks!$B:$B,B41,Tasks!$F:$F))</f>
        <v/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"/>
      <c r="B42" s="1"/>
      <c r="C42" s="1"/>
      <c r="D42" s="1"/>
      <c r="E42" s="1"/>
      <c r="F42" s="1"/>
      <c r="G42" s="4" t="str">
        <f>IF(OR(B42="",SUMIF(Tasks!$B:$B,B42,Tasks!$F:$F)=0),"",SUMIFS(Tasks!$F:$F,Tasks!$B:$B,B42,Tasks!$G:$G,"Done")/SUMIF(Tasks!$B:$B,B42,Tasks!$F:$F))</f>
        <v/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3"/>
      <c r="B43" s="1"/>
      <c r="C43" s="1"/>
      <c r="D43" s="1"/>
      <c r="E43" s="1"/>
      <c r="F43" s="1"/>
      <c r="G43" s="4" t="str">
        <f>IF(OR(B43="",SUMIF(Tasks!$B:$B,B43,Tasks!$F:$F)=0),"",SUMIFS(Tasks!$F:$F,Tasks!$B:$B,B43,Tasks!$G:$G,"Done")/SUMIF(Tasks!$B:$B,B43,Tasks!$F:$F))</f>
        <v/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3"/>
      <c r="B44" s="1"/>
      <c r="C44" s="1"/>
      <c r="D44" s="1"/>
      <c r="E44" s="1"/>
      <c r="F44" s="1"/>
      <c r="G44" s="4" t="str">
        <f>IF(OR(B44="",SUMIF(Tasks!$B:$B,B44,Tasks!$F:$F)=0),"",SUMIFS(Tasks!$F:$F,Tasks!$B:$B,B44,Tasks!$G:$G,"Done")/SUMIF(Tasks!$B:$B,B44,Tasks!$F:$F))</f>
        <v/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3"/>
      <c r="B45" s="1"/>
      <c r="C45" s="1"/>
      <c r="D45" s="1"/>
      <c r="E45" s="1"/>
      <c r="F45" s="1"/>
      <c r="G45" s="4" t="str">
        <f>IF(OR(B45="",SUMIF(Tasks!$B:$B,B45,Tasks!$F:$F)=0),"",SUMIFS(Tasks!$F:$F,Tasks!$B:$B,B45,Tasks!$G:$G,"Done")/SUMIF(Tasks!$B:$B,B45,Tasks!$F:$F))</f>
        <v/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3"/>
      <c r="B46" s="1"/>
      <c r="C46" s="1"/>
      <c r="D46" s="1"/>
      <c r="E46" s="1"/>
      <c r="F46" s="1"/>
      <c r="G46" s="4" t="str">
        <f>IF(OR(B46="",SUMIF(Tasks!$B:$B,B46,Tasks!$F:$F)=0),"",SUMIFS(Tasks!$F:$F,Tasks!$B:$B,B46,Tasks!$G:$G,"Done")/SUMIF(Tasks!$B:$B,B46,Tasks!$F:$F))</f>
        <v/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"/>
      <c r="B47" s="1"/>
      <c r="C47" s="1"/>
      <c r="D47" s="1"/>
      <c r="E47" s="1"/>
      <c r="F47" s="1"/>
      <c r="G47" s="4" t="str">
        <f>IF(OR(B47="",SUMIF(Tasks!$B:$B,B47,Tasks!$F:$F)=0),"",SUMIFS(Tasks!$F:$F,Tasks!$B:$B,B47,Tasks!$G:$G,"Done")/SUMIF(Tasks!$B:$B,B47,Tasks!$F:$F))</f>
        <v/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"/>
      <c r="B48" s="1"/>
      <c r="C48" s="1"/>
      <c r="D48" s="1"/>
      <c r="E48" s="1"/>
      <c r="F48" s="1"/>
      <c r="G48" s="4" t="str">
        <f>IF(OR(B48="",SUMIF(Tasks!$B:$B,B48,Tasks!$F:$F)=0),"",SUMIFS(Tasks!$F:$F,Tasks!$B:$B,B48,Tasks!$G:$G,"Done")/SUMIF(Tasks!$B:$B,B48,Tasks!$F:$F))</f>
        <v/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3"/>
      <c r="B49" s="1"/>
      <c r="C49" s="1"/>
      <c r="D49" s="1"/>
      <c r="E49" s="1"/>
      <c r="F49" s="1"/>
      <c r="G49" s="4" t="str">
        <f>IF(OR(B49="",SUMIF(Tasks!$B:$B,B49,Tasks!$F:$F)=0),"",SUMIFS(Tasks!$F:$F,Tasks!$B:$B,B49,Tasks!$G:$G,"Done")/SUMIF(Tasks!$B:$B,B49,Tasks!$F:$F))</f>
        <v/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3"/>
      <c r="B50" s="1"/>
      <c r="C50" s="1"/>
      <c r="D50" s="1"/>
      <c r="E50" s="1"/>
      <c r="F50" s="1"/>
      <c r="G50" s="4" t="str">
        <f>IF(OR(B50="",SUMIF(Tasks!$B:$B,B50,Tasks!$F:$F)=0),"",SUMIFS(Tasks!$F:$F,Tasks!$B:$B,B50,Tasks!$G:$G,"Done")/SUMIF(Tasks!$B:$B,B50,Tasks!$F:$F))</f>
        <v/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3"/>
      <c r="B51" s="1"/>
      <c r="C51" s="1"/>
      <c r="D51" s="1"/>
      <c r="E51" s="1"/>
      <c r="F51" s="1"/>
      <c r="G51" s="4" t="str">
        <f>IF(OR(B51="",SUMIF(Tasks!$B:$B,B51,Tasks!$F:$F)=0),"",SUMIFS(Tasks!$F:$F,Tasks!$B:$B,B51,Tasks!$G:$G,"Done")/SUMIF(Tasks!$B:$B,B51,Tasks!$F:$F))</f>
        <v/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"/>
      <c r="B52" s="1"/>
      <c r="C52" s="1"/>
      <c r="D52" s="1"/>
      <c r="E52" s="1"/>
      <c r="F52" s="1"/>
      <c r="G52" s="4" t="str">
        <f>IF(OR(B52="",SUMIF(Tasks!$B:$B,B52,Tasks!$F:$F)=0),"",SUMIFS(Tasks!$F:$F,Tasks!$B:$B,B52,Tasks!$G:$G,"Done")/SUMIF(Tasks!$B:$B,B52,Tasks!$F:$F))</f>
        <v/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3"/>
      <c r="B53" s="1"/>
      <c r="C53" s="1"/>
      <c r="D53" s="1"/>
      <c r="E53" s="1"/>
      <c r="F53" s="1"/>
      <c r="G53" s="4" t="str">
        <f>IF(OR(B53="",SUMIF(Tasks!$B:$B,B53,Tasks!$F:$F)=0),"",SUMIFS(Tasks!$F:$F,Tasks!$B:$B,B53,Tasks!$G:$G,"Done")/SUMIF(Tasks!$B:$B,B53,Tasks!$F:$F))</f>
        <v/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3"/>
      <c r="B54" s="1"/>
      <c r="C54" s="1"/>
      <c r="D54" s="1"/>
      <c r="E54" s="1"/>
      <c r="F54" s="1"/>
      <c r="G54" s="4" t="str">
        <f>IF(OR(B54="",SUMIF(Tasks!$B:$B,B54,Tasks!$F:$F)=0),"",SUMIFS(Tasks!$F:$F,Tasks!$B:$B,B54,Tasks!$G:$G,"Done")/SUMIF(Tasks!$B:$B,B54,Tasks!$F:$F))</f>
        <v/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3"/>
      <c r="B55" s="1"/>
      <c r="C55" s="1"/>
      <c r="D55" s="1"/>
      <c r="E55" s="1"/>
      <c r="F55" s="1"/>
      <c r="G55" s="4" t="str">
        <f>IF(OR(B55="",SUMIF(Tasks!$B:$B,B55,Tasks!$F:$F)=0),"",SUMIFS(Tasks!$F:$F,Tasks!$B:$B,B55,Tasks!$G:$G,"Done")/SUMIF(Tasks!$B:$B,B55,Tasks!$F:$F))</f>
        <v/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3"/>
      <c r="B56" s="1"/>
      <c r="C56" s="1"/>
      <c r="D56" s="1"/>
      <c r="E56" s="1"/>
      <c r="F56" s="1"/>
      <c r="G56" s="4" t="str">
        <f>IF(OR(B56="",SUMIF(Tasks!$B:$B,B56,Tasks!$F:$F)=0),"",SUMIFS(Tasks!$F:$F,Tasks!$B:$B,B56,Tasks!$G:$G,"Done")/SUMIF(Tasks!$B:$B,B56,Tasks!$F:$F))</f>
        <v/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3"/>
      <c r="B57" s="1"/>
      <c r="C57" s="1"/>
      <c r="D57" s="1"/>
      <c r="E57" s="1"/>
      <c r="F57" s="1"/>
      <c r="G57" s="4" t="str">
        <f>IF(OR(B57="",SUMIF(Tasks!$B:$B,B57,Tasks!$F:$F)=0),"",SUMIFS(Tasks!$F:$F,Tasks!$B:$B,B57,Tasks!$G:$G,"Done")/SUMIF(Tasks!$B:$B,B57,Tasks!$F:$F))</f>
        <v/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3"/>
      <c r="B58" s="1"/>
      <c r="C58" s="1"/>
      <c r="D58" s="1"/>
      <c r="E58" s="1"/>
      <c r="F58" s="1"/>
      <c r="G58" s="4" t="str">
        <f>IF(OR(B58="",SUMIF(Tasks!$B:$B,B58,Tasks!$F:$F)=0),"",SUMIFS(Tasks!$F:$F,Tasks!$B:$B,B58,Tasks!$G:$G,"Done")/SUMIF(Tasks!$B:$B,B58,Tasks!$F:$F))</f>
        <v/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3"/>
      <c r="B59" s="1"/>
      <c r="C59" s="1"/>
      <c r="D59" s="1"/>
      <c r="E59" s="1"/>
      <c r="F59" s="1"/>
      <c r="G59" s="4" t="str">
        <f>IF(OR(B59="",SUMIF(Tasks!$B:$B,B59,Tasks!$F:$F)=0),"",SUMIFS(Tasks!$F:$F,Tasks!$B:$B,B59,Tasks!$G:$G,"Done")/SUMIF(Tasks!$B:$B,B59,Tasks!$F:$F))</f>
        <v/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3"/>
      <c r="B60" s="1"/>
      <c r="C60" s="1"/>
      <c r="D60" s="1"/>
      <c r="E60" s="1"/>
      <c r="F60" s="1"/>
      <c r="G60" s="4" t="str">
        <f>IF(OR(B60="",SUMIF(Tasks!$B:$B,B60,Tasks!$F:$F)=0),"",SUMIFS(Tasks!$F:$F,Tasks!$B:$B,B60,Tasks!$G:$G,"Done")/SUMIF(Tasks!$B:$B,B60,Tasks!$F:$F))</f>
        <v/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3"/>
      <c r="B61" s="1"/>
      <c r="C61" s="1"/>
      <c r="D61" s="1"/>
      <c r="E61" s="1"/>
      <c r="F61" s="1"/>
      <c r="G61" s="4" t="str">
        <f>IF(OR(B61="",SUMIF(Tasks!$B:$B,B61,Tasks!$F:$F)=0),"",SUMIFS(Tasks!$F:$F,Tasks!$B:$B,B61,Tasks!$G:$G,"Done")/SUMIF(Tasks!$B:$B,B61,Tasks!$F:$F))</f>
        <v/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"/>
      <c r="B62" s="1"/>
      <c r="C62" s="1"/>
      <c r="D62" s="1"/>
      <c r="E62" s="1"/>
      <c r="F62" s="1"/>
      <c r="G62" s="4" t="str">
        <f>IF(OR(B62="",SUMIF(Tasks!$B:$B,B62,Tasks!$F:$F)=0),"",SUMIFS(Tasks!$F:$F,Tasks!$B:$B,B62,Tasks!$G:$G,"Done")/SUMIF(Tasks!$B:$B,B62,Tasks!$F:$F))</f>
        <v/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3"/>
      <c r="B63" s="1"/>
      <c r="C63" s="1"/>
      <c r="D63" s="1"/>
      <c r="E63" s="1"/>
      <c r="F63" s="1"/>
      <c r="G63" s="4" t="str">
        <f>IF(OR(B63="",SUMIF(Tasks!$B:$B,B63,Tasks!$F:$F)=0),"",SUMIFS(Tasks!$F:$F,Tasks!$B:$B,B63,Tasks!$G:$G,"Done")/SUMIF(Tasks!$B:$B,B63,Tasks!$F:$F))</f>
        <v/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3"/>
      <c r="B64" s="1"/>
      <c r="C64" s="1"/>
      <c r="D64" s="1"/>
      <c r="E64" s="1"/>
      <c r="F64" s="1"/>
      <c r="G64" s="4" t="str">
        <f>IF(OR(B64="",SUMIF(Tasks!$B:$B,B64,Tasks!$F:$F)=0),"",SUMIFS(Tasks!$F:$F,Tasks!$B:$B,B64,Tasks!$G:$G,"Done")/SUMIF(Tasks!$B:$B,B64,Tasks!$F:$F))</f>
        <v/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3"/>
      <c r="B65" s="1"/>
      <c r="C65" s="1"/>
      <c r="D65" s="1"/>
      <c r="E65" s="1"/>
      <c r="F65" s="1"/>
      <c r="G65" s="4" t="str">
        <f>IF(OR(B65="",SUMIF(Tasks!$B:$B,B65,Tasks!$F:$F)=0),"",SUMIFS(Tasks!$F:$F,Tasks!$B:$B,B65,Tasks!$G:$G,"Done")/SUMIF(Tasks!$B:$B,B65,Tasks!$F:$F))</f>
        <v/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3"/>
      <c r="B66" s="1"/>
      <c r="C66" s="1"/>
      <c r="D66" s="1"/>
      <c r="E66" s="1"/>
      <c r="F66" s="1"/>
      <c r="G66" s="4" t="str">
        <f>IF(OR(B66="",SUMIF(Tasks!$B:$B,B66,Tasks!$F:$F)=0),"",SUMIFS(Tasks!$F:$F,Tasks!$B:$B,B66,Tasks!$G:$G,"Done")/SUMIF(Tasks!$B:$B,B66,Tasks!$F:$F))</f>
        <v/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"/>
      <c r="B67" s="1"/>
      <c r="C67" s="1"/>
      <c r="D67" s="1"/>
      <c r="E67" s="1"/>
      <c r="F67" s="1"/>
      <c r="G67" s="4" t="str">
        <f>IF(OR(B67="",SUMIF(Tasks!$B:$B,B67,Tasks!$F:$F)=0),"",SUMIFS(Tasks!$F:$F,Tasks!$B:$B,B67,Tasks!$G:$G,"Done")/SUMIF(Tasks!$B:$B,B67,Tasks!$F:$F))</f>
        <v/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3"/>
      <c r="B68" s="1"/>
      <c r="C68" s="1"/>
      <c r="D68" s="1"/>
      <c r="E68" s="1"/>
      <c r="F68" s="1"/>
      <c r="G68" s="4" t="str">
        <f>IF(OR(B68="",SUMIF(Tasks!$B:$B,B68,Tasks!$F:$F)=0),"",SUMIFS(Tasks!$F:$F,Tasks!$B:$B,B68,Tasks!$G:$G,"Done")/SUMIF(Tasks!$B:$B,B68,Tasks!$F:$F))</f>
        <v/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3"/>
      <c r="B69" s="1"/>
      <c r="C69" s="1"/>
      <c r="D69" s="1"/>
      <c r="E69" s="1"/>
      <c r="F69" s="1"/>
      <c r="G69" s="4" t="str">
        <f>IF(OR(B69="",SUMIF(Tasks!$B:$B,B69,Tasks!$F:$F)=0),"",SUMIFS(Tasks!$F:$F,Tasks!$B:$B,B69,Tasks!$G:$G,"Done")/SUMIF(Tasks!$B:$B,B69,Tasks!$F:$F))</f>
        <v/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3"/>
      <c r="B70" s="1"/>
      <c r="C70" s="1"/>
      <c r="D70" s="1"/>
      <c r="E70" s="1"/>
      <c r="F70" s="1"/>
      <c r="G70" s="4" t="str">
        <f>IF(OR(B70="",SUMIF(Tasks!$B:$B,B70,Tasks!$F:$F)=0),"",SUMIFS(Tasks!$F:$F,Tasks!$B:$B,B70,Tasks!$G:$G,"Done")/SUMIF(Tasks!$B:$B,B70,Tasks!$F:$F))</f>
        <v/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3"/>
      <c r="B71" s="1"/>
      <c r="C71" s="1"/>
      <c r="D71" s="1"/>
      <c r="E71" s="1"/>
      <c r="F71" s="1"/>
      <c r="G71" s="4" t="str">
        <f>IF(OR(B71="",SUMIF(Tasks!$B:$B,B71,Tasks!$F:$F)=0),"",SUMIFS(Tasks!$F:$F,Tasks!$B:$B,B71,Tasks!$G:$G,"Done")/SUMIF(Tasks!$B:$B,B71,Tasks!$F:$F))</f>
        <v/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3"/>
      <c r="B72" s="1"/>
      <c r="C72" s="1"/>
      <c r="D72" s="1"/>
      <c r="E72" s="1"/>
      <c r="F72" s="1"/>
      <c r="G72" s="4" t="str">
        <f>IF(OR(B72="",SUMIF(Tasks!$B:$B,B72,Tasks!$F:$F)=0),"",SUMIFS(Tasks!$F:$F,Tasks!$B:$B,B72,Tasks!$G:$G,"Done")/SUMIF(Tasks!$B:$B,B72,Tasks!$F:$F))</f>
        <v/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3"/>
      <c r="B73" s="1"/>
      <c r="C73" s="1"/>
      <c r="D73" s="1"/>
      <c r="E73" s="1"/>
      <c r="F73" s="1"/>
      <c r="G73" s="4" t="str">
        <f>IF(OR(B73="",SUMIF(Tasks!$B:$B,B73,Tasks!$F:$F)=0),"",SUMIFS(Tasks!$F:$F,Tasks!$B:$B,B73,Tasks!$G:$G,"Done")/SUMIF(Tasks!$B:$B,B73,Tasks!$F:$F))</f>
        <v/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3"/>
      <c r="B74" s="1"/>
      <c r="C74" s="1"/>
      <c r="D74" s="1"/>
      <c r="E74" s="1"/>
      <c r="F74" s="1"/>
      <c r="G74" s="4" t="str">
        <f>IF(OR(B74="",SUMIF(Tasks!$B:$B,B74,Tasks!$F:$F)=0),"",SUMIFS(Tasks!$F:$F,Tasks!$B:$B,B74,Tasks!$G:$G,"Done")/SUMIF(Tasks!$B:$B,B74,Tasks!$F:$F))</f>
        <v/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3"/>
      <c r="B75" s="1"/>
      <c r="C75" s="1"/>
      <c r="D75" s="1"/>
      <c r="E75" s="1"/>
      <c r="F75" s="1"/>
      <c r="G75" s="4" t="str">
        <f>IF(OR(B75="",SUMIF(Tasks!$B:$B,B75,Tasks!$F:$F)=0),"",SUMIFS(Tasks!$F:$F,Tasks!$B:$B,B75,Tasks!$G:$G,"Done")/SUMIF(Tasks!$B:$B,B75,Tasks!$F:$F))</f>
        <v/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3"/>
      <c r="B76" s="1"/>
      <c r="C76" s="1"/>
      <c r="D76" s="1"/>
      <c r="E76" s="1"/>
      <c r="F76" s="1"/>
      <c r="G76" s="4" t="str">
        <f>IF(OR(B76="",SUMIF(Tasks!$B:$B,B76,Tasks!$F:$F)=0),"",SUMIFS(Tasks!$F:$F,Tasks!$B:$B,B76,Tasks!$G:$G,"Done")/SUMIF(Tasks!$B:$B,B76,Tasks!$F:$F))</f>
        <v/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"/>
      <c r="B77" s="1"/>
      <c r="C77" s="1"/>
      <c r="D77" s="1"/>
      <c r="E77" s="1"/>
      <c r="F77" s="1"/>
      <c r="G77" s="4" t="str">
        <f>IF(OR(B77="",SUMIF(Tasks!$B:$B,B77,Tasks!$F:$F)=0),"",SUMIFS(Tasks!$F:$F,Tasks!$B:$B,B77,Tasks!$G:$G,"Done")/SUMIF(Tasks!$B:$B,B77,Tasks!$F:$F))</f>
        <v/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3"/>
      <c r="B78" s="1"/>
      <c r="C78" s="1"/>
      <c r="D78" s="1"/>
      <c r="E78" s="1"/>
      <c r="F78" s="1"/>
      <c r="G78" s="4" t="str">
        <f>IF(OR(B78="",SUMIF(Tasks!$B:$B,B78,Tasks!$F:$F)=0),"",SUMIFS(Tasks!$F:$F,Tasks!$B:$B,B78,Tasks!$G:$G,"Done")/SUMIF(Tasks!$B:$B,B78,Tasks!$F:$F))</f>
        <v/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3"/>
      <c r="B79" s="1"/>
      <c r="C79" s="1"/>
      <c r="D79" s="1"/>
      <c r="E79" s="1"/>
      <c r="F79" s="1"/>
      <c r="G79" s="4" t="str">
        <f>IF(OR(B79="",SUMIF(Tasks!$B:$B,B79,Tasks!$F:$F)=0),"",SUMIFS(Tasks!$F:$F,Tasks!$B:$B,B79,Tasks!$G:$G,"Done")/SUMIF(Tasks!$B:$B,B79,Tasks!$F:$F))</f>
        <v/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3"/>
      <c r="B80" s="1"/>
      <c r="C80" s="1"/>
      <c r="D80" s="1"/>
      <c r="E80" s="1"/>
      <c r="F80" s="1"/>
      <c r="G80" s="4" t="str">
        <f>IF(OR(B80="",SUMIF(Tasks!$B:$B,B80,Tasks!$F:$F)=0),"",SUMIFS(Tasks!$F:$F,Tasks!$B:$B,B80,Tasks!$G:$G,"Done")/SUMIF(Tasks!$B:$B,B80,Tasks!$F:$F))</f>
        <v/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3"/>
      <c r="B81" s="1"/>
      <c r="C81" s="1"/>
      <c r="D81" s="1"/>
      <c r="E81" s="1"/>
      <c r="F81" s="1"/>
      <c r="G81" s="4" t="str">
        <f>IF(OR(B81="",SUMIF(Tasks!$B:$B,B81,Tasks!$F:$F)=0),"",SUMIFS(Tasks!$F:$F,Tasks!$B:$B,B81,Tasks!$G:$G,"Done")/SUMIF(Tasks!$B:$B,B81,Tasks!$F:$F))</f>
        <v/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"/>
      <c r="B82" s="1"/>
      <c r="C82" s="1"/>
      <c r="D82" s="1"/>
      <c r="E82" s="1"/>
      <c r="F82" s="1"/>
      <c r="G82" s="4" t="str">
        <f>IF(OR(B82="",SUMIF(Tasks!$B:$B,B82,Tasks!$F:$F)=0),"",SUMIFS(Tasks!$F:$F,Tasks!$B:$B,B82,Tasks!$G:$G,"Done")/SUMIF(Tasks!$B:$B,B82,Tasks!$F:$F))</f>
        <v/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3"/>
      <c r="B83" s="1"/>
      <c r="C83" s="1"/>
      <c r="D83" s="1"/>
      <c r="E83" s="1"/>
      <c r="F83" s="1"/>
      <c r="G83" s="4" t="str">
        <f>IF(OR(B83="",SUMIF(Tasks!$B:$B,B83,Tasks!$F:$F)=0),"",SUMIFS(Tasks!$F:$F,Tasks!$B:$B,B83,Tasks!$G:$G,"Done")/SUMIF(Tasks!$B:$B,B83,Tasks!$F:$F))</f>
        <v/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3"/>
      <c r="B84" s="1"/>
      <c r="C84" s="1"/>
      <c r="D84" s="1"/>
      <c r="E84" s="1"/>
      <c r="F84" s="1"/>
      <c r="G84" s="4" t="str">
        <f>IF(OR(B84="",SUMIF(Tasks!$B:$B,B84,Tasks!$F:$F)=0),"",SUMIFS(Tasks!$F:$F,Tasks!$B:$B,B84,Tasks!$G:$G,"Done")/SUMIF(Tasks!$B:$B,B84,Tasks!$F:$F))</f>
        <v/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3"/>
      <c r="B85" s="1"/>
      <c r="C85" s="1"/>
      <c r="D85" s="1"/>
      <c r="E85" s="1"/>
      <c r="F85" s="1"/>
      <c r="G85" s="4" t="str">
        <f>IF(OR(B85="",SUMIF(Tasks!$B:$B,B85,Tasks!$F:$F)=0),"",SUMIFS(Tasks!$F:$F,Tasks!$B:$B,B85,Tasks!$G:$G,"Done")/SUMIF(Tasks!$B:$B,B85,Tasks!$F:$F))</f>
        <v/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3"/>
      <c r="B86" s="1"/>
      <c r="C86" s="1"/>
      <c r="D86" s="1"/>
      <c r="E86" s="1"/>
      <c r="F86" s="1"/>
      <c r="G86" s="4" t="str">
        <f>IF(OR(B86="",SUMIF(Tasks!$B:$B,B86,Tasks!$F:$F)=0),"",SUMIFS(Tasks!$F:$F,Tasks!$B:$B,B86,Tasks!$G:$G,"Done")/SUMIF(Tasks!$B:$B,B86,Tasks!$F:$F))</f>
        <v/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"/>
      <c r="B87" s="1"/>
      <c r="C87" s="1"/>
      <c r="D87" s="1"/>
      <c r="E87" s="1"/>
      <c r="F87" s="1"/>
      <c r="G87" s="4" t="str">
        <f>IF(OR(B87="",SUMIF(Tasks!$B:$B,B87,Tasks!$F:$F)=0),"",SUMIFS(Tasks!$F:$F,Tasks!$B:$B,B87,Tasks!$G:$G,"Done")/SUMIF(Tasks!$B:$B,B87,Tasks!$F:$F))</f>
        <v/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3"/>
      <c r="B88" s="1"/>
      <c r="C88" s="1"/>
      <c r="D88" s="1"/>
      <c r="E88" s="1"/>
      <c r="F88" s="1"/>
      <c r="G88" s="4" t="str">
        <f>IF(OR(B88="",SUMIF(Tasks!$B:$B,B88,Tasks!$F:$F)=0),"",SUMIFS(Tasks!$F:$F,Tasks!$B:$B,B88,Tasks!$G:$G,"Done")/SUMIF(Tasks!$B:$B,B88,Tasks!$F:$F))</f>
        <v/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3"/>
      <c r="B89" s="1"/>
      <c r="C89" s="1"/>
      <c r="D89" s="1"/>
      <c r="E89" s="1"/>
      <c r="F89" s="1"/>
      <c r="G89" s="4" t="str">
        <f>IF(OR(B89="",SUMIF(Tasks!$B:$B,B89,Tasks!$F:$F)=0),"",SUMIFS(Tasks!$F:$F,Tasks!$B:$B,B89,Tasks!$G:$G,"Done")/SUMIF(Tasks!$B:$B,B89,Tasks!$F:$F))</f>
        <v/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3"/>
      <c r="B90" s="1"/>
      <c r="C90" s="1"/>
      <c r="D90" s="1"/>
      <c r="E90" s="1"/>
      <c r="F90" s="1"/>
      <c r="G90" s="4" t="str">
        <f>IF(OR(B90="",SUMIF(Tasks!$B:$B,B90,Tasks!$F:$F)=0),"",SUMIFS(Tasks!$F:$F,Tasks!$B:$B,B90,Tasks!$G:$G,"Done")/SUMIF(Tasks!$B:$B,B90,Tasks!$F:$F))</f>
        <v/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3"/>
      <c r="B91" s="1"/>
      <c r="C91" s="1"/>
      <c r="D91" s="1"/>
      <c r="E91" s="1"/>
      <c r="F91" s="1"/>
      <c r="G91" s="4" t="str">
        <f>IF(OR(B91="",SUMIF(Tasks!$B:$B,B91,Tasks!$F:$F)=0),"",SUMIFS(Tasks!$F:$F,Tasks!$B:$B,B91,Tasks!$G:$G,"Done")/SUMIF(Tasks!$B:$B,B91,Tasks!$F:$F))</f>
        <v/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3"/>
      <c r="B92" s="1"/>
      <c r="C92" s="1"/>
      <c r="D92" s="1"/>
      <c r="E92" s="1"/>
      <c r="F92" s="1"/>
      <c r="G92" s="4" t="str">
        <f>IF(OR(B92="",SUMIF(Tasks!$B:$B,B92,Tasks!$F:$F)=0),"",SUMIFS(Tasks!$F:$F,Tasks!$B:$B,B92,Tasks!$G:$G,"Done")/SUMIF(Tasks!$B:$B,B92,Tasks!$F:$F))</f>
        <v/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3"/>
      <c r="B93" s="1"/>
      <c r="C93" s="1"/>
      <c r="D93" s="1"/>
      <c r="E93" s="1"/>
      <c r="F93" s="1"/>
      <c r="G93" s="4" t="str">
        <f>IF(OR(B93="",SUMIF(Tasks!$B:$B,B93,Tasks!$F:$F)=0),"",SUMIFS(Tasks!$F:$F,Tasks!$B:$B,B93,Tasks!$G:$G,"Done")/SUMIF(Tasks!$B:$B,B93,Tasks!$F:$F))</f>
        <v/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3"/>
      <c r="B94" s="1"/>
      <c r="C94" s="1"/>
      <c r="D94" s="1"/>
      <c r="E94" s="1"/>
      <c r="F94" s="1"/>
      <c r="G94" s="4" t="str">
        <f>IF(OR(B94="",SUMIF(Tasks!$B:$B,B94,Tasks!$F:$F)=0),"",SUMIFS(Tasks!$F:$F,Tasks!$B:$B,B94,Tasks!$G:$G,"Done")/SUMIF(Tasks!$B:$B,B94,Tasks!$F:$F))</f>
        <v/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3"/>
      <c r="B95" s="1"/>
      <c r="C95" s="1"/>
      <c r="D95" s="1"/>
      <c r="E95" s="1"/>
      <c r="F95" s="1"/>
      <c r="G95" s="4" t="str">
        <f>IF(OR(B95="",SUMIF(Tasks!$B:$B,B95,Tasks!$F:$F)=0),"",SUMIFS(Tasks!$F:$F,Tasks!$B:$B,B95,Tasks!$G:$G,"Done")/SUMIF(Tasks!$B:$B,B95,Tasks!$F:$F))</f>
        <v/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3"/>
      <c r="B96" s="1"/>
      <c r="C96" s="1"/>
      <c r="D96" s="1"/>
      <c r="E96" s="1"/>
      <c r="F96" s="1"/>
      <c r="G96" s="4" t="str">
        <f>IF(OR(B96="",SUMIF(Tasks!$B:$B,B96,Tasks!$F:$F)=0),"",SUMIFS(Tasks!$F:$F,Tasks!$B:$B,B96,Tasks!$G:$G,"Done")/SUMIF(Tasks!$B:$B,B96,Tasks!$F:$F))</f>
        <v/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3"/>
      <c r="B97" s="1"/>
      <c r="C97" s="1"/>
      <c r="D97" s="1"/>
      <c r="E97" s="1"/>
      <c r="F97" s="1"/>
      <c r="G97" s="4" t="str">
        <f>IF(OR(B97="",SUMIF(Tasks!$B:$B,B97,Tasks!$F:$F)=0),"",SUMIFS(Tasks!$F:$F,Tasks!$B:$B,B97,Tasks!$G:$G,"Done")/SUMIF(Tasks!$B:$B,B97,Tasks!$F:$F))</f>
        <v/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3"/>
      <c r="B98" s="1"/>
      <c r="C98" s="1"/>
      <c r="D98" s="1"/>
      <c r="E98" s="1"/>
      <c r="F98" s="1"/>
      <c r="G98" s="4" t="str">
        <f>IF(OR(B98="",SUMIF(Tasks!$B:$B,B98,Tasks!$F:$F)=0),"",SUMIFS(Tasks!$F:$F,Tasks!$B:$B,B98,Tasks!$G:$G,"Done")/SUMIF(Tasks!$B:$B,B98,Tasks!$F:$F))</f>
        <v/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3"/>
      <c r="B99" s="1"/>
      <c r="C99" s="1"/>
      <c r="D99" s="1"/>
      <c r="E99" s="1"/>
      <c r="F99" s="1"/>
      <c r="G99" s="4" t="str">
        <f>IF(OR(B99="",SUMIF(Tasks!$B:$B,B99,Tasks!$F:$F)=0),"",SUMIFS(Tasks!$F:$F,Tasks!$B:$B,B99,Tasks!$G:$G,"Done")/SUMIF(Tasks!$B:$B,B99,Tasks!$F:$F))</f>
        <v/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3"/>
      <c r="B100" s="1"/>
      <c r="C100" s="1"/>
      <c r="D100" s="1"/>
      <c r="E100" s="1"/>
      <c r="F100" s="1"/>
      <c r="G100" s="4" t="str">
        <f>IF(OR(B100="",SUMIF(Tasks!$B:$B,B100,Tasks!$F:$F)=0),"",SUMIFS(Tasks!$F:$F,Tasks!$B:$B,B100,Tasks!$G:$G,"Done")/SUMIF(Tasks!$B:$B,B100,Tasks!$F:$F))</f>
        <v/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3"/>
      <c r="B101" s="1"/>
      <c r="C101" s="1"/>
      <c r="D101" s="1"/>
      <c r="E101" s="1"/>
      <c r="F101" s="1"/>
      <c r="G101" s="4" t="str">
        <f>IF(OR(B101="",SUMIF(Tasks!$B:$B,B101,Tasks!$F:$F)=0),"",SUMIFS(Tasks!$F:$F,Tasks!$B:$B,B101,Tasks!$G:$G,"Done")/SUMIF(Tasks!$B:$B,B101,Tasks!$F:$F))</f>
        <v/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3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3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3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3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3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3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3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3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3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3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3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3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3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3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3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3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3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3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3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3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3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3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3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3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3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3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3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3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3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3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3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3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3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3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3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3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3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3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3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3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3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3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3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3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3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3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3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3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3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3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3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3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3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3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3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3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3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3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3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3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3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3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3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3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3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3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3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3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3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3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3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3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3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3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3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3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3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3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3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3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3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3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3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3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3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3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3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3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3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3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3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3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3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3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3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3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3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3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3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3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3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3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3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3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3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3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3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3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3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3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3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3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3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3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3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3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3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3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3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3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3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3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3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3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3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3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3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3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3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3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3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3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3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3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3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3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3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3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3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3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3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3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3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3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3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3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3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3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3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3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3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3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3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3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3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3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3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3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3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3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3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3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3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3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3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3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3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3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3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3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3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3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3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3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3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3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3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3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3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3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3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3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3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3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3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3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3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3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3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3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3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3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3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3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3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3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3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3.0"/>
    <col customWidth="1" min="3" max="3" width="55.57"/>
    <col customWidth="1" min="4" max="4" width="73.0"/>
    <col customWidth="1" min="5" max="5" width="13.43"/>
    <col customWidth="1" min="6" max="6" width="10.86"/>
    <col customWidth="1" min="7" max="7" width="13.0"/>
    <col customWidth="1" min="8" max="8" width="14.71"/>
    <col customWidth="1" min="9" max="9" width="19.0"/>
    <col customWidth="1" min="10" max="10" width="86.57"/>
    <col customWidth="1" min="11" max="11" width="42.14"/>
  </cols>
  <sheetData>
    <row r="1" ht="15.0" customHeight="1">
      <c r="A1" s="5" t="s">
        <v>0</v>
      </c>
      <c r="B1" s="5" t="s">
        <v>1</v>
      </c>
      <c r="C1" s="5" t="s">
        <v>2</v>
      </c>
      <c r="D1" s="6" t="s">
        <v>28</v>
      </c>
      <c r="E1" s="5" t="s">
        <v>29</v>
      </c>
      <c r="F1" s="5" t="s">
        <v>30</v>
      </c>
      <c r="G1" s="5" t="s">
        <v>31</v>
      </c>
      <c r="H1" s="5" t="s">
        <v>4</v>
      </c>
      <c r="I1" s="5" t="s">
        <v>5</v>
      </c>
      <c r="J1" s="5" t="s">
        <v>7</v>
      </c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">
        <f t="shared" ref="A2:A501" si="1">IF(AND(B2="",C2=""),"",ROW()-1)</f>
        <v>1</v>
      </c>
      <c r="B2" s="9" t="s">
        <v>8</v>
      </c>
      <c r="C2" s="1" t="str">
        <f>IF(B2="","",VLOOKUP(B2,Projects!$B:$C,2,FALSE()))</f>
        <v>Thiết kế Battery cho Robot</v>
      </c>
      <c r="D2" s="10" t="s">
        <v>32</v>
      </c>
      <c r="E2" s="9" t="s">
        <v>33</v>
      </c>
      <c r="F2" s="9">
        <v>5.0</v>
      </c>
      <c r="G2" s="9" t="s">
        <v>34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>
        <f t="shared" si="1"/>
        <v>2</v>
      </c>
      <c r="B3" s="9" t="s">
        <v>10</v>
      </c>
      <c r="C3" s="1" t="str">
        <f>IF(B3="","",VLOOKUP(B3,Projects!$B:$C,2,FALSE()))</f>
        <v>Thiết kế mạch Hot Swap cho Robot</v>
      </c>
      <c r="D3" s="10" t="s">
        <v>35</v>
      </c>
      <c r="E3" s="9" t="s">
        <v>33</v>
      </c>
      <c r="F3" s="9">
        <v>5.0</v>
      </c>
      <c r="G3" s="9" t="s">
        <v>34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>
        <f t="shared" si="1"/>
        <v>3</v>
      </c>
      <c r="B4" s="9" t="s">
        <v>10</v>
      </c>
      <c r="C4" s="1" t="str">
        <f>IF(B4="","",VLOOKUP(B4,Projects!$B:$C,2,FALSE()))</f>
        <v>Thiết kế mạch Hot Swap cho Robot</v>
      </c>
      <c r="D4" s="10" t="s">
        <v>36</v>
      </c>
      <c r="E4" s="9" t="s">
        <v>33</v>
      </c>
      <c r="F4" s="9">
        <v>5.0</v>
      </c>
      <c r="G4" s="9" t="s">
        <v>34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>
        <f t="shared" si="1"/>
        <v>4</v>
      </c>
      <c r="B5" s="9" t="s">
        <v>10</v>
      </c>
      <c r="C5" s="1" t="str">
        <f>IF(B5="","",VLOOKUP(B5,Projects!$B:$C,2,FALSE()))</f>
        <v>Thiết kế mạch Hot Swap cho Robot</v>
      </c>
      <c r="D5" s="10" t="s">
        <v>37</v>
      </c>
      <c r="E5" s="9" t="s">
        <v>38</v>
      </c>
      <c r="F5" s="9">
        <v>5.0</v>
      </c>
      <c r="G5" s="9" t="s">
        <v>39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>
        <f t="shared" si="1"/>
        <v>5</v>
      </c>
      <c r="B6" s="9" t="s">
        <v>12</v>
      </c>
      <c r="C6" s="1" t="str">
        <f>IF(B6="","",VLOOKUP(B6,Projects!$B:$C,2,FALSE()))</f>
        <v>Thiết kế máy tính nhúng của VMO</v>
      </c>
      <c r="D6" s="10" t="s">
        <v>40</v>
      </c>
      <c r="E6" s="9" t="s">
        <v>41</v>
      </c>
      <c r="F6" s="9">
        <v>5.0</v>
      </c>
      <c r="G6" s="9" t="s">
        <v>42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>
        <f t="shared" si="1"/>
        <v>6</v>
      </c>
      <c r="B7" s="9" t="s">
        <v>12</v>
      </c>
      <c r="C7" s="1" t="str">
        <f>IF(B7="","",VLOOKUP(B7,Projects!$B:$C,2,FALSE()))</f>
        <v>Thiết kế máy tính nhúng của VMO</v>
      </c>
      <c r="D7" s="10" t="s">
        <v>43</v>
      </c>
      <c r="E7" s="9" t="s">
        <v>41</v>
      </c>
      <c r="F7" s="9">
        <v>5.0</v>
      </c>
      <c r="G7" s="9" t="s">
        <v>34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>
        <f t="shared" si="1"/>
        <v>7</v>
      </c>
      <c r="B8" s="9" t="s">
        <v>12</v>
      </c>
      <c r="C8" s="1" t="str">
        <f>IF(B8="","",VLOOKUP(B8,Projects!$B:$C,2,FALSE()))</f>
        <v>Thiết kế máy tính nhúng của VMO</v>
      </c>
      <c r="D8" s="10" t="s">
        <v>44</v>
      </c>
      <c r="E8" s="9" t="s">
        <v>41</v>
      </c>
      <c r="F8" s="9">
        <v>5.0</v>
      </c>
      <c r="G8" s="9" t="s">
        <v>34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>
        <f t="shared" si="1"/>
        <v>8</v>
      </c>
      <c r="B9" s="9" t="s">
        <v>14</v>
      </c>
      <c r="C9" s="1" t="str">
        <f>IF(B9="","",VLOOKUP(B9,Projects!$B:$C,2,FALSE()))</f>
        <v>Thiết kế mạch Power Distribution Units cho Robot</v>
      </c>
      <c r="D9" s="10" t="s">
        <v>45</v>
      </c>
      <c r="E9" s="9" t="s">
        <v>33</v>
      </c>
      <c r="F9" s="9">
        <v>5.0</v>
      </c>
      <c r="G9" s="9" t="s">
        <v>46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>
        <f t="shared" si="1"/>
        <v>9</v>
      </c>
      <c r="B10" s="9" t="s">
        <v>14</v>
      </c>
      <c r="C10" s="1" t="str">
        <f>IF(B10="","",VLOOKUP(B10,Projects!$B:$C,2,FALSE()))</f>
        <v>Thiết kế mạch Power Distribution Units cho Robot</v>
      </c>
      <c r="D10" s="10" t="s">
        <v>47</v>
      </c>
      <c r="E10" s="9" t="s">
        <v>33</v>
      </c>
      <c r="F10" s="9">
        <v>1.0</v>
      </c>
      <c r="G10" s="9" t="s">
        <v>46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>
        <f t="shared" si="1"/>
        <v>10</v>
      </c>
      <c r="B11" s="9" t="s">
        <v>14</v>
      </c>
      <c r="C11" s="1" t="str">
        <f>IF(B11="","",VLOOKUP(B11,Projects!$B:$C,2,FALSE()))</f>
        <v>Thiết kế mạch Power Distribution Units cho Robot</v>
      </c>
      <c r="D11" s="10" t="s">
        <v>48</v>
      </c>
      <c r="E11" s="9" t="s">
        <v>33</v>
      </c>
      <c r="F11" s="9">
        <v>1.0</v>
      </c>
      <c r="G11" s="9" t="s">
        <v>46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>
        <f t="shared" si="1"/>
        <v>11</v>
      </c>
      <c r="B12" s="9" t="s">
        <v>14</v>
      </c>
      <c r="C12" s="1" t="str">
        <f>IF(B12="","",VLOOKUP(B12,Projects!$B:$C,2,FALSE()))</f>
        <v>Thiết kế mạch Power Distribution Units cho Robot</v>
      </c>
      <c r="D12" s="10" t="s">
        <v>49</v>
      </c>
      <c r="E12" s="9" t="s">
        <v>33</v>
      </c>
      <c r="F12" s="9">
        <v>5.0</v>
      </c>
      <c r="G12" s="9" t="s">
        <v>34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>
        <f t="shared" si="1"/>
        <v>12</v>
      </c>
      <c r="B13" s="9" t="s">
        <v>16</v>
      </c>
      <c r="C13" s="1" t="str">
        <f>IF(B13="","",VLOOKUP(B13,Projects!$B:$C,2,FALSE()))</f>
        <v>Thiết kế mạch Low Level Board cho Robot</v>
      </c>
      <c r="D13" s="10" t="s">
        <v>45</v>
      </c>
      <c r="E13" s="9" t="s">
        <v>41</v>
      </c>
      <c r="F13" s="9">
        <v>5.0</v>
      </c>
      <c r="G13" s="9" t="s">
        <v>46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>
        <f t="shared" si="1"/>
        <v>13</v>
      </c>
      <c r="B14" s="9" t="s">
        <v>16</v>
      </c>
      <c r="C14" s="1" t="str">
        <f>IF(B14="","",VLOOKUP(B14,Projects!$B:$C,2,FALSE()))</f>
        <v>Thiết kế mạch Low Level Board cho Robot</v>
      </c>
      <c r="D14" s="10" t="s">
        <v>47</v>
      </c>
      <c r="E14" s="9" t="s">
        <v>41</v>
      </c>
      <c r="F14" s="9">
        <v>1.0</v>
      </c>
      <c r="G14" s="9" t="s">
        <v>46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>
        <f t="shared" si="1"/>
        <v>14</v>
      </c>
      <c r="B15" s="9" t="s">
        <v>16</v>
      </c>
      <c r="C15" s="1" t="str">
        <f>IF(B15="","",VLOOKUP(B15,Projects!$B:$C,2,FALSE()))</f>
        <v>Thiết kế mạch Low Level Board cho Robot</v>
      </c>
      <c r="D15" s="10" t="s">
        <v>50</v>
      </c>
      <c r="E15" s="9" t="s">
        <v>41</v>
      </c>
      <c r="F15" s="9">
        <v>1.0</v>
      </c>
      <c r="G15" s="9" t="s">
        <v>46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>
        <f t="shared" si="1"/>
        <v>15</v>
      </c>
      <c r="B16" s="9" t="s">
        <v>16</v>
      </c>
      <c r="C16" s="1" t="str">
        <f>IF(B16="","",VLOOKUP(B16,Projects!$B:$C,2,FALSE()))</f>
        <v>Thiết kế mạch Low Level Board cho Robot</v>
      </c>
      <c r="D16" s="10" t="s">
        <v>49</v>
      </c>
      <c r="E16" s="9" t="s">
        <v>41</v>
      </c>
      <c r="F16" s="9">
        <v>5.0</v>
      </c>
      <c r="G16" s="9" t="s">
        <v>34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>
        <f t="shared" si="1"/>
        <v>16</v>
      </c>
      <c r="B17" s="9" t="s">
        <v>18</v>
      </c>
      <c r="C17" s="1" t="str">
        <f>IF(B17="","",VLOOKUP(B17,Projects!$B:$C,2,FALSE()))</f>
        <v>Thiết kế Mạch Hub Ethernet USB</v>
      </c>
      <c r="D17" s="10" t="s">
        <v>51</v>
      </c>
      <c r="E17" s="9" t="s">
        <v>41</v>
      </c>
      <c r="F17" s="9">
        <v>5.0</v>
      </c>
      <c r="G17" s="9" t="s">
        <v>34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>
        <f t="shared" si="1"/>
        <v>17</v>
      </c>
      <c r="B18" s="9" t="s">
        <v>18</v>
      </c>
      <c r="C18" s="1" t="str">
        <f>IF(B18="","",VLOOKUP(B18,Projects!$B:$C,2,FALSE()))</f>
        <v>Thiết kế Mạch Hub Ethernet USB</v>
      </c>
      <c r="D18" s="10" t="s">
        <v>52</v>
      </c>
      <c r="E18" s="9" t="s">
        <v>41</v>
      </c>
      <c r="F18" s="9">
        <v>5.0</v>
      </c>
      <c r="G18" s="9" t="s">
        <v>34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>
        <f t="shared" si="1"/>
        <v>18</v>
      </c>
      <c r="B19" s="9" t="s">
        <v>18</v>
      </c>
      <c r="C19" s="1" t="str">
        <f>IF(B19="","",VLOOKUP(B19,Projects!$B:$C,2,FALSE()))</f>
        <v>Thiết kế Mạch Hub Ethernet USB</v>
      </c>
      <c r="D19" s="10" t="s">
        <v>49</v>
      </c>
      <c r="E19" s="9" t="s">
        <v>41</v>
      </c>
      <c r="F19" s="9">
        <v>5.0</v>
      </c>
      <c r="G19" s="9" t="s">
        <v>34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>
        <f t="shared" si="1"/>
        <v>19</v>
      </c>
      <c r="B20" s="9" t="s">
        <v>20</v>
      </c>
      <c r="C20" s="1" t="str">
        <f>IF(B20="","",VLOOKUP(B20,Projects!$B:$C,2,FALSE()))</f>
        <v>Tìm và làm việc với đối tác sản xuất dây cáp điện cho Robot</v>
      </c>
      <c r="D20" s="10" t="s">
        <v>21</v>
      </c>
      <c r="E20" s="9" t="s">
        <v>53</v>
      </c>
      <c r="F20" s="9">
        <v>10.0</v>
      </c>
      <c r="G20" s="9" t="s">
        <v>34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 t="str">
        <f t="shared" si="1"/>
        <v/>
      </c>
      <c r="B21" s="1"/>
      <c r="C21" s="1" t="str">
        <f>IF(B21="","",VLOOKUP(B21,Projects!$B:$C,2,FALSE()))</f>
        <v/>
      </c>
      <c r="D21" s="1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 t="str">
        <f t="shared" si="1"/>
        <v/>
      </c>
      <c r="B22" s="1"/>
      <c r="C22" s="1" t="str">
        <f>IF(B22="","",VLOOKUP(B22,Projects!$B:$C,2,FALSE()))</f>
        <v/>
      </c>
      <c r="D22" s="1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 t="str">
        <f t="shared" si="1"/>
        <v/>
      </c>
      <c r="B23" s="1"/>
      <c r="C23" s="1" t="str">
        <f>IF(B23="","",VLOOKUP(B23,Projects!$B:$C,2,FALSE()))</f>
        <v/>
      </c>
      <c r="D23" s="1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 t="str">
        <f t="shared" si="1"/>
        <v/>
      </c>
      <c r="B24" s="1"/>
      <c r="C24" s="1" t="str">
        <f>IF(B24="","",VLOOKUP(B24,Projects!$B:$C,2,FALSE()))</f>
        <v/>
      </c>
      <c r="D24" s="1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 t="str">
        <f t="shared" si="1"/>
        <v/>
      </c>
      <c r="B25" s="1"/>
      <c r="C25" s="1" t="str">
        <f>IF(B25="","",VLOOKUP(B25,Projects!$B:$C,2,FALSE()))</f>
        <v/>
      </c>
      <c r="D25" s="1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 t="str">
        <f t="shared" si="1"/>
        <v/>
      </c>
      <c r="B26" s="1"/>
      <c r="C26" s="1" t="str">
        <f>IF(B26="","",VLOOKUP(B26,Projects!$B:$C,2,FALSE()))</f>
        <v/>
      </c>
      <c r="D26" s="1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 t="str">
        <f t="shared" si="1"/>
        <v/>
      </c>
      <c r="B27" s="1"/>
      <c r="C27" s="1" t="str">
        <f>IF(B27="","",VLOOKUP(B27,Projects!$B:$C,2,FALSE()))</f>
        <v/>
      </c>
      <c r="D27" s="1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 t="str">
        <f t="shared" si="1"/>
        <v/>
      </c>
      <c r="B28" s="1"/>
      <c r="C28" s="1" t="str">
        <f>IF(B28="","",VLOOKUP(B28,Projects!$B:$C,2,FALSE()))</f>
        <v/>
      </c>
      <c r="D28" s="1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 t="str">
        <f t="shared" si="1"/>
        <v/>
      </c>
      <c r="B29" s="1"/>
      <c r="C29" s="1" t="str">
        <f>IF(B29="","",VLOOKUP(B29,Projects!$B:$C,2,FALSE()))</f>
        <v/>
      </c>
      <c r="D29" s="1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 t="str">
        <f t="shared" si="1"/>
        <v/>
      </c>
      <c r="B30" s="1"/>
      <c r="C30" s="1" t="str">
        <f>IF(B30="","",VLOOKUP(B30,Projects!$B:$C,2,FALSE()))</f>
        <v/>
      </c>
      <c r="D30" s="1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 t="str">
        <f t="shared" si="1"/>
        <v/>
      </c>
      <c r="B31" s="1"/>
      <c r="C31" s="1" t="str">
        <f>IF(B31="","",VLOOKUP(B31,Projects!$B:$C,2,FALSE()))</f>
        <v/>
      </c>
      <c r="D31" s="1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 t="str">
        <f t="shared" si="1"/>
        <v/>
      </c>
      <c r="B32" s="1"/>
      <c r="C32" s="1" t="str">
        <f>IF(B32="","",VLOOKUP(B32,Projects!$B:$C,2,FALSE()))</f>
        <v/>
      </c>
      <c r="D32" s="1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 t="str">
        <f t="shared" si="1"/>
        <v/>
      </c>
      <c r="B33" s="1"/>
      <c r="C33" s="1" t="str">
        <f>IF(B33="","",VLOOKUP(B33,Projects!$B:$C,2,FALSE()))</f>
        <v/>
      </c>
      <c r="D33" s="1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 t="str">
        <f t="shared" si="1"/>
        <v/>
      </c>
      <c r="B34" s="1"/>
      <c r="C34" s="1" t="str">
        <f>IF(B34="","",VLOOKUP(B34,Projects!$B:$C,2,FALSE()))</f>
        <v/>
      </c>
      <c r="D34" s="1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 t="str">
        <f t="shared" si="1"/>
        <v/>
      </c>
      <c r="B35" s="1"/>
      <c r="C35" s="1" t="str">
        <f>IF(B35="","",VLOOKUP(B35,Projects!$B:$C,2,FALSE()))</f>
        <v/>
      </c>
      <c r="D35" s="1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 t="str">
        <f t="shared" si="1"/>
        <v/>
      </c>
      <c r="B36" s="1"/>
      <c r="C36" s="1" t="str">
        <f>IF(B36="","",VLOOKUP(B36,Projects!$B:$C,2,FALSE()))</f>
        <v/>
      </c>
      <c r="D36" s="1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 t="str">
        <f t="shared" si="1"/>
        <v/>
      </c>
      <c r="B37" s="1"/>
      <c r="C37" s="1" t="str">
        <f>IF(B37="","",VLOOKUP(B37,Projects!$B:$C,2,FALSE()))</f>
        <v/>
      </c>
      <c r="D37" s="1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 t="str">
        <f t="shared" si="1"/>
        <v/>
      </c>
      <c r="B38" s="1"/>
      <c r="C38" s="1" t="str">
        <f>IF(B38="","",VLOOKUP(B38,Projects!$B:$C,2,FALSE()))</f>
        <v/>
      </c>
      <c r="D38" s="1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 t="str">
        <f t="shared" si="1"/>
        <v/>
      </c>
      <c r="B39" s="1"/>
      <c r="C39" s="1" t="str">
        <f>IF(B39="","",VLOOKUP(B39,Projects!$B:$C,2,FALSE()))</f>
        <v/>
      </c>
      <c r="D39" s="1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 t="str">
        <f t="shared" si="1"/>
        <v/>
      </c>
      <c r="B40" s="1"/>
      <c r="C40" s="1" t="str">
        <f>IF(B40="","",VLOOKUP(B40,Projects!$B:$C,2,FALSE()))</f>
        <v/>
      </c>
      <c r="D40" s="1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 t="str">
        <f t="shared" si="1"/>
        <v/>
      </c>
      <c r="B41" s="1"/>
      <c r="C41" s="1" t="str">
        <f>IF(B41="","",VLOOKUP(B41,Projects!$B:$C,2,FALSE()))</f>
        <v/>
      </c>
      <c r="D41" s="1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 t="str">
        <f t="shared" si="1"/>
        <v/>
      </c>
      <c r="B42" s="1"/>
      <c r="C42" s="1" t="str">
        <f>IF(B42="","",VLOOKUP(B42,Projects!$B:$C,2,FALSE()))</f>
        <v/>
      </c>
      <c r="D42" s="1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 t="str">
        <f t="shared" si="1"/>
        <v/>
      </c>
      <c r="B43" s="1"/>
      <c r="C43" s="1" t="str">
        <f>IF(B43="","",VLOOKUP(B43,Projects!$B:$C,2,FALSE()))</f>
        <v/>
      </c>
      <c r="D43" s="1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 t="str">
        <f t="shared" si="1"/>
        <v/>
      </c>
      <c r="B44" s="1"/>
      <c r="C44" s="1" t="str">
        <f>IF(B44="","",VLOOKUP(B44,Projects!$B:$C,2,FALSE()))</f>
        <v/>
      </c>
      <c r="D44" s="1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 t="str">
        <f t="shared" si="1"/>
        <v/>
      </c>
      <c r="B45" s="1"/>
      <c r="C45" s="1" t="str">
        <f>IF(B45="","",VLOOKUP(B45,Projects!$B:$C,2,FALSE()))</f>
        <v/>
      </c>
      <c r="D45" s="1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 t="str">
        <f t="shared" si="1"/>
        <v/>
      </c>
      <c r="B46" s="1"/>
      <c r="C46" s="1" t="str">
        <f>IF(B46="","",VLOOKUP(B46,Projects!$B:$C,2,FALSE()))</f>
        <v/>
      </c>
      <c r="D46" s="1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 t="str">
        <f t="shared" si="1"/>
        <v/>
      </c>
      <c r="B47" s="1"/>
      <c r="C47" s="1" t="str">
        <f>IF(B47="","",VLOOKUP(B47,Projects!$B:$C,2,FALSE()))</f>
        <v/>
      </c>
      <c r="D47" s="1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 t="str">
        <f t="shared" si="1"/>
        <v/>
      </c>
      <c r="B48" s="1"/>
      <c r="C48" s="1" t="str">
        <f>IF(B48="","",VLOOKUP(B48,Projects!$B:$C,2,FALSE()))</f>
        <v/>
      </c>
      <c r="D48" s="1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 t="str">
        <f t="shared" si="1"/>
        <v/>
      </c>
      <c r="B49" s="1"/>
      <c r="C49" s="1" t="str">
        <f>IF(B49="","",VLOOKUP(B49,Projects!$B:$C,2,FALSE()))</f>
        <v/>
      </c>
      <c r="D49" s="1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 t="str">
        <f t="shared" si="1"/>
        <v/>
      </c>
      <c r="B50" s="1"/>
      <c r="C50" s="1" t="str">
        <f>IF(B50="","",VLOOKUP(B50,Projects!$B:$C,2,FALSE()))</f>
        <v/>
      </c>
      <c r="D50" s="1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 t="str">
        <f t="shared" si="1"/>
        <v/>
      </c>
      <c r="B51" s="1"/>
      <c r="C51" s="1" t="str">
        <f>IF(B51="","",VLOOKUP(B51,Projects!$B:$C,2,FALSE()))</f>
        <v/>
      </c>
      <c r="D51" s="1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 t="str">
        <f t="shared" si="1"/>
        <v/>
      </c>
      <c r="B52" s="1"/>
      <c r="C52" s="1" t="str">
        <f>IF(B52="","",VLOOKUP(B52,Projects!$B:$C,2,FALSE()))</f>
        <v/>
      </c>
      <c r="D52" s="1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 t="str">
        <f t="shared" si="1"/>
        <v/>
      </c>
      <c r="B53" s="1"/>
      <c r="C53" s="1" t="str">
        <f>IF(B53="","",VLOOKUP(B53,Projects!$B:$C,2,FALSE()))</f>
        <v/>
      </c>
      <c r="D53" s="1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 t="str">
        <f t="shared" si="1"/>
        <v/>
      </c>
      <c r="B54" s="1"/>
      <c r="C54" s="1" t="str">
        <f>IF(B54="","",VLOOKUP(B54,Projects!$B:$C,2,FALSE()))</f>
        <v/>
      </c>
      <c r="D54" s="1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 t="str">
        <f t="shared" si="1"/>
        <v/>
      </c>
      <c r="B55" s="1"/>
      <c r="C55" s="1" t="str">
        <f>IF(B55="","",VLOOKUP(B55,Projects!$B:$C,2,FALSE()))</f>
        <v/>
      </c>
      <c r="D55" s="1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 t="str">
        <f t="shared" si="1"/>
        <v/>
      </c>
      <c r="B56" s="1"/>
      <c r="C56" s="1" t="str">
        <f>IF(B56="","",VLOOKUP(B56,Projects!$B:$C,2,FALSE()))</f>
        <v/>
      </c>
      <c r="D56" s="1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 t="str">
        <f t="shared" si="1"/>
        <v/>
      </c>
      <c r="B57" s="1"/>
      <c r="C57" s="1" t="str">
        <f>IF(B57="","",VLOOKUP(B57,Projects!$B:$C,2,FALSE()))</f>
        <v/>
      </c>
      <c r="D57" s="1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 t="str">
        <f t="shared" si="1"/>
        <v/>
      </c>
      <c r="B58" s="1"/>
      <c r="C58" s="1" t="str">
        <f>IF(B58="","",VLOOKUP(B58,Projects!$B:$C,2,FALSE()))</f>
        <v/>
      </c>
      <c r="D58" s="1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 t="str">
        <f t="shared" si="1"/>
        <v/>
      </c>
      <c r="B59" s="1"/>
      <c r="C59" s="1" t="str">
        <f>IF(B59="","",VLOOKUP(B59,Projects!$B:$C,2,FALSE()))</f>
        <v/>
      </c>
      <c r="D59" s="1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 t="str">
        <f t="shared" si="1"/>
        <v/>
      </c>
      <c r="B60" s="1"/>
      <c r="C60" s="1" t="str">
        <f>IF(B60="","",VLOOKUP(B60,Projects!$B:$C,2,FALSE()))</f>
        <v/>
      </c>
      <c r="D60" s="1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 t="str">
        <f t="shared" si="1"/>
        <v/>
      </c>
      <c r="B61" s="1"/>
      <c r="C61" s="1" t="str">
        <f>IF(B61="","",VLOOKUP(B61,Projects!$B:$C,2,FALSE()))</f>
        <v/>
      </c>
      <c r="D61" s="1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 t="str">
        <f t="shared" si="1"/>
        <v/>
      </c>
      <c r="B62" s="1"/>
      <c r="C62" s="1" t="str">
        <f>IF(B62="","",VLOOKUP(B62,Projects!$B:$C,2,FALSE()))</f>
        <v/>
      </c>
      <c r="D62" s="1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 t="str">
        <f t="shared" si="1"/>
        <v/>
      </c>
      <c r="B63" s="1"/>
      <c r="C63" s="1" t="str">
        <f>IF(B63="","",VLOOKUP(B63,Projects!$B:$C,2,FALSE()))</f>
        <v/>
      </c>
      <c r="D63" s="1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 t="str">
        <f t="shared" si="1"/>
        <v/>
      </c>
      <c r="B64" s="1"/>
      <c r="C64" s="1" t="str">
        <f>IF(B64="","",VLOOKUP(B64,Projects!$B:$C,2,FALSE()))</f>
        <v/>
      </c>
      <c r="D64" s="1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 t="str">
        <f t="shared" si="1"/>
        <v/>
      </c>
      <c r="B65" s="1"/>
      <c r="C65" s="1" t="str">
        <f>IF(B65="","",VLOOKUP(B65,Projects!$B:$C,2,FALSE()))</f>
        <v/>
      </c>
      <c r="D65" s="1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 t="str">
        <f t="shared" si="1"/>
        <v/>
      </c>
      <c r="B66" s="1"/>
      <c r="C66" s="1" t="str">
        <f>IF(B66="","",VLOOKUP(B66,Projects!$B:$C,2,FALSE()))</f>
        <v/>
      </c>
      <c r="D66" s="1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 t="str">
        <f t="shared" si="1"/>
        <v/>
      </c>
      <c r="B67" s="1"/>
      <c r="C67" s="1" t="str">
        <f>IF(B67="","",VLOOKUP(B67,Projects!$B:$C,2,FALSE()))</f>
        <v/>
      </c>
      <c r="D67" s="1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 t="str">
        <f t="shared" si="1"/>
        <v/>
      </c>
      <c r="B68" s="1"/>
      <c r="C68" s="1" t="str">
        <f>IF(B68="","",VLOOKUP(B68,Projects!$B:$C,2,FALSE()))</f>
        <v/>
      </c>
      <c r="D68" s="1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 t="str">
        <f t="shared" si="1"/>
        <v/>
      </c>
      <c r="B69" s="1"/>
      <c r="C69" s="1" t="str">
        <f>IF(B69="","",VLOOKUP(B69,Projects!$B:$C,2,FALSE()))</f>
        <v/>
      </c>
      <c r="D69" s="1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 t="str">
        <f t="shared" si="1"/>
        <v/>
      </c>
      <c r="B70" s="1"/>
      <c r="C70" s="1" t="str">
        <f>IF(B70="","",VLOOKUP(B70,Projects!$B:$C,2,FALSE()))</f>
        <v/>
      </c>
      <c r="D70" s="1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 t="str">
        <f t="shared" si="1"/>
        <v/>
      </c>
      <c r="B71" s="1"/>
      <c r="C71" s="1" t="str">
        <f>IF(B71="","",VLOOKUP(B71,Projects!$B:$C,2,FALSE()))</f>
        <v/>
      </c>
      <c r="D71" s="1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 t="str">
        <f t="shared" si="1"/>
        <v/>
      </c>
      <c r="B72" s="1"/>
      <c r="C72" s="1" t="str">
        <f>IF(B72="","",VLOOKUP(B72,Projects!$B:$C,2,FALSE()))</f>
        <v/>
      </c>
      <c r="D72" s="1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 t="str">
        <f t="shared" si="1"/>
        <v/>
      </c>
      <c r="B73" s="1"/>
      <c r="C73" s="1" t="str">
        <f>IF(B73="","",VLOOKUP(B73,Projects!$B:$C,2,FALSE()))</f>
        <v/>
      </c>
      <c r="D73" s="1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 t="str">
        <f t="shared" si="1"/>
        <v/>
      </c>
      <c r="B74" s="1"/>
      <c r="C74" s="1" t="str">
        <f>IF(B74="","",VLOOKUP(B74,Projects!$B:$C,2,FALSE()))</f>
        <v/>
      </c>
      <c r="D74" s="1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 t="str">
        <f t="shared" si="1"/>
        <v/>
      </c>
      <c r="B75" s="1"/>
      <c r="C75" s="1" t="str">
        <f>IF(B75="","",VLOOKUP(B75,Projects!$B:$C,2,FALSE()))</f>
        <v/>
      </c>
      <c r="D75" s="1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 t="str">
        <f t="shared" si="1"/>
        <v/>
      </c>
      <c r="B76" s="1"/>
      <c r="C76" s="1" t="str">
        <f>IF(B76="","",VLOOKUP(B76,Projects!$B:$C,2,FALSE()))</f>
        <v/>
      </c>
      <c r="D76" s="1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 t="str">
        <f t="shared" si="1"/>
        <v/>
      </c>
      <c r="B77" s="1"/>
      <c r="C77" s="1" t="str">
        <f>IF(B77="","",VLOOKUP(B77,Projects!$B:$C,2,FALSE()))</f>
        <v/>
      </c>
      <c r="D77" s="1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 t="str">
        <f t="shared" si="1"/>
        <v/>
      </c>
      <c r="B78" s="1"/>
      <c r="C78" s="1" t="str">
        <f>IF(B78="","",VLOOKUP(B78,Projects!$B:$C,2,FALSE()))</f>
        <v/>
      </c>
      <c r="D78" s="1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 t="str">
        <f t="shared" si="1"/>
        <v/>
      </c>
      <c r="B79" s="1"/>
      <c r="C79" s="1" t="str">
        <f>IF(B79="","",VLOOKUP(B79,Projects!$B:$C,2,FALSE()))</f>
        <v/>
      </c>
      <c r="D79" s="1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 t="str">
        <f t="shared" si="1"/>
        <v/>
      </c>
      <c r="B80" s="1"/>
      <c r="C80" s="1" t="str">
        <f>IF(B80="","",VLOOKUP(B80,Projects!$B:$C,2,FALSE()))</f>
        <v/>
      </c>
      <c r="D80" s="1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 t="str">
        <f t="shared" si="1"/>
        <v/>
      </c>
      <c r="B81" s="1"/>
      <c r="C81" s="1" t="str">
        <f>IF(B81="","",VLOOKUP(B81,Projects!$B:$C,2,FALSE()))</f>
        <v/>
      </c>
      <c r="D81" s="1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 t="str">
        <f t="shared" si="1"/>
        <v/>
      </c>
      <c r="B82" s="1"/>
      <c r="C82" s="1" t="str">
        <f>IF(B82="","",VLOOKUP(B82,Projects!$B:$C,2,FALSE()))</f>
        <v/>
      </c>
      <c r="D82" s="1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 t="str">
        <f t="shared" si="1"/>
        <v/>
      </c>
      <c r="B83" s="1"/>
      <c r="C83" s="1" t="str">
        <f>IF(B83="","",VLOOKUP(B83,Projects!$B:$C,2,FALSE()))</f>
        <v/>
      </c>
      <c r="D83" s="1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 t="str">
        <f t="shared" si="1"/>
        <v/>
      </c>
      <c r="B84" s="1"/>
      <c r="C84" s="1" t="str">
        <f>IF(B84="","",VLOOKUP(B84,Projects!$B:$C,2,FALSE()))</f>
        <v/>
      </c>
      <c r="D84" s="1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 t="str">
        <f t="shared" si="1"/>
        <v/>
      </c>
      <c r="B85" s="1"/>
      <c r="C85" s="1" t="str">
        <f>IF(B85="","",VLOOKUP(B85,Projects!$B:$C,2,FALSE()))</f>
        <v/>
      </c>
      <c r="D85" s="1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 t="str">
        <f t="shared" si="1"/>
        <v/>
      </c>
      <c r="B86" s="1"/>
      <c r="C86" s="1" t="str">
        <f>IF(B86="","",VLOOKUP(B86,Projects!$B:$C,2,FALSE()))</f>
        <v/>
      </c>
      <c r="D86" s="1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 t="str">
        <f t="shared" si="1"/>
        <v/>
      </c>
      <c r="B87" s="1"/>
      <c r="C87" s="1" t="str">
        <f>IF(B87="","",VLOOKUP(B87,Projects!$B:$C,2,FALSE()))</f>
        <v/>
      </c>
      <c r="D87" s="1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 t="str">
        <f t="shared" si="1"/>
        <v/>
      </c>
      <c r="B88" s="1"/>
      <c r="C88" s="1" t="str">
        <f>IF(B88="","",VLOOKUP(B88,Projects!$B:$C,2,FALSE()))</f>
        <v/>
      </c>
      <c r="D88" s="1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 t="str">
        <f t="shared" si="1"/>
        <v/>
      </c>
      <c r="B89" s="1"/>
      <c r="C89" s="1" t="str">
        <f>IF(B89="","",VLOOKUP(B89,Projects!$B:$C,2,FALSE()))</f>
        <v/>
      </c>
      <c r="D89" s="1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 t="str">
        <f t="shared" si="1"/>
        <v/>
      </c>
      <c r="B90" s="1"/>
      <c r="C90" s="1" t="str">
        <f>IF(B90="","",VLOOKUP(B90,Projects!$B:$C,2,FALSE()))</f>
        <v/>
      </c>
      <c r="D90" s="1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 t="str">
        <f t="shared" si="1"/>
        <v/>
      </c>
      <c r="B91" s="1"/>
      <c r="C91" s="1" t="str">
        <f>IF(B91="","",VLOOKUP(B91,Projects!$B:$C,2,FALSE()))</f>
        <v/>
      </c>
      <c r="D91" s="1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 t="str">
        <f t="shared" si="1"/>
        <v/>
      </c>
      <c r="B92" s="1"/>
      <c r="C92" s="1" t="str">
        <f>IF(B92="","",VLOOKUP(B92,Projects!$B:$C,2,FALSE()))</f>
        <v/>
      </c>
      <c r="D92" s="1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 t="str">
        <f t="shared" si="1"/>
        <v/>
      </c>
      <c r="B93" s="1"/>
      <c r="C93" s="1" t="str">
        <f>IF(B93="","",VLOOKUP(B93,Projects!$B:$C,2,FALSE()))</f>
        <v/>
      </c>
      <c r="D93" s="1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 t="str">
        <f t="shared" si="1"/>
        <v/>
      </c>
      <c r="B94" s="1"/>
      <c r="C94" s="1" t="str">
        <f>IF(B94="","",VLOOKUP(B94,Projects!$B:$C,2,FALSE()))</f>
        <v/>
      </c>
      <c r="D94" s="1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 t="str">
        <f t="shared" si="1"/>
        <v/>
      </c>
      <c r="B95" s="1"/>
      <c r="C95" s="1" t="str">
        <f>IF(B95="","",VLOOKUP(B95,Projects!$B:$C,2,FALSE()))</f>
        <v/>
      </c>
      <c r="D95" s="1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 t="str">
        <f t="shared" si="1"/>
        <v/>
      </c>
      <c r="B96" s="1"/>
      <c r="C96" s="1" t="str">
        <f>IF(B96="","",VLOOKUP(B96,Projects!$B:$C,2,FALSE()))</f>
        <v/>
      </c>
      <c r="D96" s="1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 t="str">
        <f t="shared" si="1"/>
        <v/>
      </c>
      <c r="B97" s="1"/>
      <c r="C97" s="1" t="str">
        <f>IF(B97="","",VLOOKUP(B97,Projects!$B:$C,2,FALSE()))</f>
        <v/>
      </c>
      <c r="D97" s="1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 t="str">
        <f t="shared" si="1"/>
        <v/>
      </c>
      <c r="B98" s="1"/>
      <c r="C98" s="1" t="str">
        <f>IF(B98="","",VLOOKUP(B98,Projects!$B:$C,2,FALSE()))</f>
        <v/>
      </c>
      <c r="D98" s="1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 t="str">
        <f t="shared" si="1"/>
        <v/>
      </c>
      <c r="B99" s="1"/>
      <c r="C99" s="1" t="str">
        <f>IF(B99="","",VLOOKUP(B99,Projects!$B:$C,2,FALSE()))</f>
        <v/>
      </c>
      <c r="D99" s="1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 t="str">
        <f t="shared" si="1"/>
        <v/>
      </c>
      <c r="B100" s="1"/>
      <c r="C100" s="1" t="str">
        <f>IF(B100="","",VLOOKUP(B100,Projects!$B:$C,2,FALSE()))</f>
        <v/>
      </c>
      <c r="D100" s="1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 t="str">
        <f t="shared" si="1"/>
        <v/>
      </c>
      <c r="B101" s="1"/>
      <c r="C101" s="1" t="str">
        <f>IF(B101="","",VLOOKUP(B101,Projects!$B:$C,2,FALSE()))</f>
        <v/>
      </c>
      <c r="D101" s="1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 t="str">
        <f t="shared" si="1"/>
        <v/>
      </c>
      <c r="B102" s="1"/>
      <c r="C102" s="1" t="str">
        <f>IF(B102="","",VLOOKUP(B102,Projects!$B:$C,2,FALSE()))</f>
        <v/>
      </c>
      <c r="D102" s="1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 t="str">
        <f t="shared" si="1"/>
        <v/>
      </c>
      <c r="B103" s="1"/>
      <c r="C103" s="1" t="str">
        <f>IF(B103="","",VLOOKUP(B103,Projects!$B:$C,2,FALSE()))</f>
        <v/>
      </c>
      <c r="D103" s="1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 t="str">
        <f t="shared" si="1"/>
        <v/>
      </c>
      <c r="B104" s="1"/>
      <c r="C104" s="1" t="str">
        <f>IF(B104="","",VLOOKUP(B104,Projects!$B:$C,2,FALSE()))</f>
        <v/>
      </c>
      <c r="D104" s="1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 t="str">
        <f t="shared" si="1"/>
        <v/>
      </c>
      <c r="B105" s="1"/>
      <c r="C105" s="1" t="str">
        <f>IF(B105="","",VLOOKUP(B105,Projects!$B:$C,2,FALSE()))</f>
        <v/>
      </c>
      <c r="D105" s="1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 t="str">
        <f t="shared" si="1"/>
        <v/>
      </c>
      <c r="B106" s="1"/>
      <c r="C106" s="1" t="str">
        <f>IF(B106="","",VLOOKUP(B106,Projects!$B:$C,2,FALSE()))</f>
        <v/>
      </c>
      <c r="D106" s="1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 t="str">
        <f t="shared" si="1"/>
        <v/>
      </c>
      <c r="B107" s="1"/>
      <c r="C107" s="1" t="str">
        <f>IF(B107="","",VLOOKUP(B107,Projects!$B:$C,2,FALSE()))</f>
        <v/>
      </c>
      <c r="D107" s="1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 t="str">
        <f t="shared" si="1"/>
        <v/>
      </c>
      <c r="B108" s="1"/>
      <c r="C108" s="1" t="str">
        <f>IF(B108="","",VLOOKUP(B108,Projects!$B:$C,2,FALSE()))</f>
        <v/>
      </c>
      <c r="D108" s="1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 t="str">
        <f t="shared" si="1"/>
        <v/>
      </c>
      <c r="B109" s="1"/>
      <c r="C109" s="1" t="str">
        <f>IF(B109="","",VLOOKUP(B109,Projects!$B:$C,2,FALSE()))</f>
        <v/>
      </c>
      <c r="D109" s="1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 t="str">
        <f t="shared" si="1"/>
        <v/>
      </c>
      <c r="B110" s="1"/>
      <c r="C110" s="1" t="str">
        <f>IF(B110="","",VLOOKUP(B110,Projects!$B:$C,2,FALSE()))</f>
        <v/>
      </c>
      <c r="D110" s="1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 t="str">
        <f t="shared" si="1"/>
        <v/>
      </c>
      <c r="B111" s="1"/>
      <c r="C111" s="1" t="str">
        <f>IF(B111="","",VLOOKUP(B111,Projects!$B:$C,2,FALSE()))</f>
        <v/>
      </c>
      <c r="D111" s="1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 t="str">
        <f t="shared" si="1"/>
        <v/>
      </c>
      <c r="B112" s="1"/>
      <c r="C112" s="1" t="str">
        <f>IF(B112="","",VLOOKUP(B112,Projects!$B:$C,2,FALSE()))</f>
        <v/>
      </c>
      <c r="D112" s="1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 t="str">
        <f t="shared" si="1"/>
        <v/>
      </c>
      <c r="B113" s="1"/>
      <c r="C113" s="1" t="str">
        <f>IF(B113="","",VLOOKUP(B113,Projects!$B:$C,2,FALSE()))</f>
        <v/>
      </c>
      <c r="D113" s="1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 t="str">
        <f t="shared" si="1"/>
        <v/>
      </c>
      <c r="B114" s="1"/>
      <c r="C114" s="1" t="str">
        <f>IF(B114="","",VLOOKUP(B114,Projects!$B:$C,2,FALSE()))</f>
        <v/>
      </c>
      <c r="D114" s="1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 t="str">
        <f t="shared" si="1"/>
        <v/>
      </c>
      <c r="B115" s="1"/>
      <c r="C115" s="1" t="str">
        <f>IF(B115="","",VLOOKUP(B115,Projects!$B:$C,2,FALSE()))</f>
        <v/>
      </c>
      <c r="D115" s="1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 t="str">
        <f t="shared" si="1"/>
        <v/>
      </c>
      <c r="B116" s="1"/>
      <c r="C116" s="1" t="str">
        <f>IF(B116="","",VLOOKUP(B116,Projects!$B:$C,2,FALSE()))</f>
        <v/>
      </c>
      <c r="D116" s="1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 t="str">
        <f t="shared" si="1"/>
        <v/>
      </c>
      <c r="B117" s="1"/>
      <c r="C117" s="1" t="str">
        <f>IF(B117="","",VLOOKUP(B117,Projects!$B:$C,2,FALSE()))</f>
        <v/>
      </c>
      <c r="D117" s="1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 t="str">
        <f t="shared" si="1"/>
        <v/>
      </c>
      <c r="B118" s="1"/>
      <c r="C118" s="1" t="str">
        <f>IF(B118="","",VLOOKUP(B118,Projects!$B:$C,2,FALSE()))</f>
        <v/>
      </c>
      <c r="D118" s="1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 t="str">
        <f t="shared" si="1"/>
        <v/>
      </c>
      <c r="B119" s="1"/>
      <c r="C119" s="1" t="str">
        <f>IF(B119="","",VLOOKUP(B119,Projects!$B:$C,2,FALSE()))</f>
        <v/>
      </c>
      <c r="D119" s="1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 t="str">
        <f t="shared" si="1"/>
        <v/>
      </c>
      <c r="B120" s="1"/>
      <c r="C120" s="1" t="str">
        <f>IF(B120="","",VLOOKUP(B120,Projects!$B:$C,2,FALSE()))</f>
        <v/>
      </c>
      <c r="D120" s="1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 t="str">
        <f t="shared" si="1"/>
        <v/>
      </c>
      <c r="B121" s="1"/>
      <c r="C121" s="1" t="str">
        <f>IF(B121="","",VLOOKUP(B121,Projects!$B:$C,2,FALSE()))</f>
        <v/>
      </c>
      <c r="D121" s="1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 t="str">
        <f t="shared" si="1"/>
        <v/>
      </c>
      <c r="B122" s="1"/>
      <c r="C122" s="1" t="str">
        <f>IF(B122="","",VLOOKUP(B122,Projects!$B:$C,2,FALSE()))</f>
        <v/>
      </c>
      <c r="D122" s="1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 t="str">
        <f t="shared" si="1"/>
        <v/>
      </c>
      <c r="B123" s="1"/>
      <c r="C123" s="1" t="str">
        <f>IF(B123="","",VLOOKUP(B123,Projects!$B:$C,2,FALSE()))</f>
        <v/>
      </c>
      <c r="D123" s="1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 t="str">
        <f t="shared" si="1"/>
        <v/>
      </c>
      <c r="B124" s="1"/>
      <c r="C124" s="1" t="str">
        <f>IF(B124="","",VLOOKUP(B124,Projects!$B:$C,2,FALSE()))</f>
        <v/>
      </c>
      <c r="D124" s="1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 t="str">
        <f t="shared" si="1"/>
        <v/>
      </c>
      <c r="B125" s="1"/>
      <c r="C125" s="1" t="str">
        <f>IF(B125="","",VLOOKUP(B125,Projects!$B:$C,2,FALSE()))</f>
        <v/>
      </c>
      <c r="D125" s="1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 t="str">
        <f t="shared" si="1"/>
        <v/>
      </c>
      <c r="B126" s="1"/>
      <c r="C126" s="1" t="str">
        <f>IF(B126="","",VLOOKUP(B126,Projects!$B:$C,2,FALSE()))</f>
        <v/>
      </c>
      <c r="D126" s="1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 t="str">
        <f t="shared" si="1"/>
        <v/>
      </c>
      <c r="B127" s="1"/>
      <c r="C127" s="1" t="str">
        <f>IF(B127="","",VLOOKUP(B127,Projects!$B:$C,2,FALSE()))</f>
        <v/>
      </c>
      <c r="D127" s="1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 t="str">
        <f t="shared" si="1"/>
        <v/>
      </c>
      <c r="B128" s="1"/>
      <c r="C128" s="1" t="str">
        <f>IF(B128="","",VLOOKUP(B128,Projects!$B:$C,2,FALSE()))</f>
        <v/>
      </c>
      <c r="D128" s="1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 t="str">
        <f t="shared" si="1"/>
        <v/>
      </c>
      <c r="B129" s="1"/>
      <c r="C129" s="1" t="str">
        <f>IF(B129="","",VLOOKUP(B129,Projects!$B:$C,2,FALSE()))</f>
        <v/>
      </c>
      <c r="D129" s="1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 t="str">
        <f t="shared" si="1"/>
        <v/>
      </c>
      <c r="B130" s="1"/>
      <c r="C130" s="1" t="str">
        <f>IF(B130="","",VLOOKUP(B130,Projects!$B:$C,2,FALSE()))</f>
        <v/>
      </c>
      <c r="D130" s="1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 t="str">
        <f t="shared" si="1"/>
        <v/>
      </c>
      <c r="B131" s="1"/>
      <c r="C131" s="1" t="str">
        <f>IF(B131="","",VLOOKUP(B131,Projects!$B:$C,2,FALSE()))</f>
        <v/>
      </c>
      <c r="D131" s="1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 t="str">
        <f t="shared" si="1"/>
        <v/>
      </c>
      <c r="B132" s="1"/>
      <c r="C132" s="1" t="str">
        <f>IF(B132="","",VLOOKUP(B132,Projects!$B:$C,2,FALSE()))</f>
        <v/>
      </c>
      <c r="D132" s="1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 t="str">
        <f t="shared" si="1"/>
        <v/>
      </c>
      <c r="B133" s="1"/>
      <c r="C133" s="1" t="str">
        <f>IF(B133="","",VLOOKUP(B133,Projects!$B:$C,2,FALSE()))</f>
        <v/>
      </c>
      <c r="D133" s="1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 t="str">
        <f t="shared" si="1"/>
        <v/>
      </c>
      <c r="B134" s="1"/>
      <c r="C134" s="1" t="str">
        <f>IF(B134="","",VLOOKUP(B134,Projects!$B:$C,2,FALSE()))</f>
        <v/>
      </c>
      <c r="D134" s="1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 t="str">
        <f t="shared" si="1"/>
        <v/>
      </c>
      <c r="B135" s="1"/>
      <c r="C135" s="1" t="str">
        <f>IF(B135="","",VLOOKUP(B135,Projects!$B:$C,2,FALSE()))</f>
        <v/>
      </c>
      <c r="D135" s="1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 t="str">
        <f t="shared" si="1"/>
        <v/>
      </c>
      <c r="B136" s="1"/>
      <c r="C136" s="1" t="str">
        <f>IF(B136="","",VLOOKUP(B136,Projects!$B:$C,2,FALSE()))</f>
        <v/>
      </c>
      <c r="D136" s="1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 t="str">
        <f t="shared" si="1"/>
        <v/>
      </c>
      <c r="B137" s="1"/>
      <c r="C137" s="1" t="str">
        <f>IF(B137="","",VLOOKUP(B137,Projects!$B:$C,2,FALSE()))</f>
        <v/>
      </c>
      <c r="D137" s="1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 t="str">
        <f t="shared" si="1"/>
        <v/>
      </c>
      <c r="B138" s="1"/>
      <c r="C138" s="1" t="str">
        <f>IF(B138="","",VLOOKUP(B138,Projects!$B:$C,2,FALSE()))</f>
        <v/>
      </c>
      <c r="D138" s="1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 t="str">
        <f t="shared" si="1"/>
        <v/>
      </c>
      <c r="B139" s="1"/>
      <c r="C139" s="1" t="str">
        <f>IF(B139="","",VLOOKUP(B139,Projects!$B:$C,2,FALSE()))</f>
        <v/>
      </c>
      <c r="D139" s="1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 t="str">
        <f t="shared" si="1"/>
        <v/>
      </c>
      <c r="B140" s="1"/>
      <c r="C140" s="1" t="str">
        <f>IF(B140="","",VLOOKUP(B140,Projects!$B:$C,2,FALSE()))</f>
        <v/>
      </c>
      <c r="D140" s="1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 t="str">
        <f t="shared" si="1"/>
        <v/>
      </c>
      <c r="B141" s="1"/>
      <c r="C141" s="1" t="str">
        <f>IF(B141="","",VLOOKUP(B141,Projects!$B:$C,2,FALSE()))</f>
        <v/>
      </c>
      <c r="D141" s="1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 t="str">
        <f t="shared" si="1"/>
        <v/>
      </c>
      <c r="B142" s="1"/>
      <c r="C142" s="1" t="str">
        <f>IF(B142="","",VLOOKUP(B142,Projects!$B:$C,2,FALSE()))</f>
        <v/>
      </c>
      <c r="D142" s="1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 t="str">
        <f t="shared" si="1"/>
        <v/>
      </c>
      <c r="B143" s="1"/>
      <c r="C143" s="1" t="str">
        <f>IF(B143="","",VLOOKUP(B143,Projects!$B:$C,2,FALSE()))</f>
        <v/>
      </c>
      <c r="D143" s="1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 t="str">
        <f t="shared" si="1"/>
        <v/>
      </c>
      <c r="B144" s="1"/>
      <c r="C144" s="1" t="str">
        <f>IF(B144="","",VLOOKUP(B144,Projects!$B:$C,2,FALSE()))</f>
        <v/>
      </c>
      <c r="D144" s="1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 t="str">
        <f t="shared" si="1"/>
        <v/>
      </c>
      <c r="B145" s="1"/>
      <c r="C145" s="1" t="str">
        <f>IF(B145="","",VLOOKUP(B145,Projects!$B:$C,2,FALSE()))</f>
        <v/>
      </c>
      <c r="D145" s="1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 t="str">
        <f t="shared" si="1"/>
        <v/>
      </c>
      <c r="B146" s="1"/>
      <c r="C146" s="1" t="str">
        <f>IF(B146="","",VLOOKUP(B146,Projects!$B:$C,2,FALSE()))</f>
        <v/>
      </c>
      <c r="D146" s="1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 t="str">
        <f t="shared" si="1"/>
        <v/>
      </c>
      <c r="B147" s="1"/>
      <c r="C147" s="1" t="str">
        <f>IF(B147="","",VLOOKUP(B147,Projects!$B:$C,2,FALSE()))</f>
        <v/>
      </c>
      <c r="D147" s="1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 t="str">
        <f t="shared" si="1"/>
        <v/>
      </c>
      <c r="B148" s="1"/>
      <c r="C148" s="1" t="str">
        <f>IF(B148="","",VLOOKUP(B148,Projects!$B:$C,2,FALSE()))</f>
        <v/>
      </c>
      <c r="D148" s="1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 t="str">
        <f t="shared" si="1"/>
        <v/>
      </c>
      <c r="B149" s="1"/>
      <c r="C149" s="1" t="str">
        <f>IF(B149="","",VLOOKUP(B149,Projects!$B:$C,2,FALSE()))</f>
        <v/>
      </c>
      <c r="D149" s="1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 t="str">
        <f t="shared" si="1"/>
        <v/>
      </c>
      <c r="B150" s="1"/>
      <c r="C150" s="1" t="str">
        <f>IF(B150="","",VLOOKUP(B150,Projects!$B:$C,2,FALSE()))</f>
        <v/>
      </c>
      <c r="D150" s="1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 t="str">
        <f t="shared" si="1"/>
        <v/>
      </c>
      <c r="B151" s="1"/>
      <c r="C151" s="1" t="str">
        <f>IF(B151="","",VLOOKUP(B151,Projects!$B:$C,2,FALSE()))</f>
        <v/>
      </c>
      <c r="D151" s="1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 t="str">
        <f t="shared" si="1"/>
        <v/>
      </c>
      <c r="B152" s="1"/>
      <c r="C152" s="1" t="str">
        <f>IF(B152="","",VLOOKUP(B152,Projects!$B:$C,2,FALSE()))</f>
        <v/>
      </c>
      <c r="D152" s="1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 t="str">
        <f t="shared" si="1"/>
        <v/>
      </c>
      <c r="B153" s="1"/>
      <c r="C153" s="1" t="str">
        <f>IF(B153="","",VLOOKUP(B153,Projects!$B:$C,2,FALSE()))</f>
        <v/>
      </c>
      <c r="D153" s="1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 t="str">
        <f t="shared" si="1"/>
        <v/>
      </c>
      <c r="B154" s="1"/>
      <c r="C154" s="1" t="str">
        <f>IF(B154="","",VLOOKUP(B154,Projects!$B:$C,2,FALSE()))</f>
        <v/>
      </c>
      <c r="D154" s="1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 t="str">
        <f t="shared" si="1"/>
        <v/>
      </c>
      <c r="B155" s="1"/>
      <c r="C155" s="1" t="str">
        <f>IF(B155="","",VLOOKUP(B155,Projects!$B:$C,2,FALSE()))</f>
        <v/>
      </c>
      <c r="D155" s="1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 t="str">
        <f t="shared" si="1"/>
        <v/>
      </c>
      <c r="B156" s="1"/>
      <c r="C156" s="1" t="str">
        <f>IF(B156="","",VLOOKUP(B156,Projects!$B:$C,2,FALSE()))</f>
        <v/>
      </c>
      <c r="D156" s="1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 t="str">
        <f t="shared" si="1"/>
        <v/>
      </c>
      <c r="B157" s="1"/>
      <c r="C157" s="1" t="str">
        <f>IF(B157="","",VLOOKUP(B157,Projects!$B:$C,2,FALSE()))</f>
        <v/>
      </c>
      <c r="D157" s="1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 t="str">
        <f t="shared" si="1"/>
        <v/>
      </c>
      <c r="B158" s="1"/>
      <c r="C158" s="1" t="str">
        <f>IF(B158="","",VLOOKUP(B158,Projects!$B:$C,2,FALSE()))</f>
        <v/>
      </c>
      <c r="D158" s="1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 t="str">
        <f t="shared" si="1"/>
        <v/>
      </c>
      <c r="B159" s="1"/>
      <c r="C159" s="1" t="str">
        <f>IF(B159="","",VLOOKUP(B159,Projects!$B:$C,2,FALSE()))</f>
        <v/>
      </c>
      <c r="D159" s="1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 t="str">
        <f t="shared" si="1"/>
        <v/>
      </c>
      <c r="B160" s="1"/>
      <c r="C160" s="1" t="str">
        <f>IF(B160="","",VLOOKUP(B160,Projects!$B:$C,2,FALSE()))</f>
        <v/>
      </c>
      <c r="D160" s="1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 t="str">
        <f t="shared" si="1"/>
        <v/>
      </c>
      <c r="B161" s="1"/>
      <c r="C161" s="1" t="str">
        <f>IF(B161="","",VLOOKUP(B161,Projects!$B:$C,2,FALSE()))</f>
        <v/>
      </c>
      <c r="D161" s="1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 t="str">
        <f t="shared" si="1"/>
        <v/>
      </c>
      <c r="B162" s="1"/>
      <c r="C162" s="1" t="str">
        <f>IF(B162="","",VLOOKUP(B162,Projects!$B:$C,2,FALSE()))</f>
        <v/>
      </c>
      <c r="D162" s="1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 t="str">
        <f t="shared" si="1"/>
        <v/>
      </c>
      <c r="B163" s="1"/>
      <c r="C163" s="1" t="str">
        <f>IF(B163="","",VLOOKUP(B163,Projects!$B:$C,2,FALSE()))</f>
        <v/>
      </c>
      <c r="D163" s="1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 t="str">
        <f t="shared" si="1"/>
        <v/>
      </c>
      <c r="B164" s="1"/>
      <c r="C164" s="1" t="str">
        <f>IF(B164="","",VLOOKUP(B164,Projects!$B:$C,2,FALSE()))</f>
        <v/>
      </c>
      <c r="D164" s="1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 t="str">
        <f t="shared" si="1"/>
        <v/>
      </c>
      <c r="B165" s="1"/>
      <c r="C165" s="1" t="str">
        <f>IF(B165="","",VLOOKUP(B165,Projects!$B:$C,2,FALSE()))</f>
        <v/>
      </c>
      <c r="D165" s="1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 t="str">
        <f t="shared" si="1"/>
        <v/>
      </c>
      <c r="B166" s="1"/>
      <c r="C166" s="1" t="str">
        <f>IF(B166="","",VLOOKUP(B166,Projects!$B:$C,2,FALSE()))</f>
        <v/>
      </c>
      <c r="D166" s="1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 t="str">
        <f t="shared" si="1"/>
        <v/>
      </c>
      <c r="B167" s="1"/>
      <c r="C167" s="1" t="str">
        <f>IF(B167="","",VLOOKUP(B167,Projects!$B:$C,2,FALSE()))</f>
        <v/>
      </c>
      <c r="D167" s="1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 t="str">
        <f t="shared" si="1"/>
        <v/>
      </c>
      <c r="B168" s="1"/>
      <c r="C168" s="1" t="str">
        <f>IF(B168="","",VLOOKUP(B168,Projects!$B:$C,2,FALSE()))</f>
        <v/>
      </c>
      <c r="D168" s="1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 t="str">
        <f t="shared" si="1"/>
        <v/>
      </c>
      <c r="B169" s="1"/>
      <c r="C169" s="1" t="str">
        <f>IF(B169="","",VLOOKUP(B169,Projects!$B:$C,2,FALSE()))</f>
        <v/>
      </c>
      <c r="D169" s="1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 t="str">
        <f t="shared" si="1"/>
        <v/>
      </c>
      <c r="B170" s="1"/>
      <c r="C170" s="1" t="str">
        <f>IF(B170="","",VLOOKUP(B170,Projects!$B:$C,2,FALSE()))</f>
        <v/>
      </c>
      <c r="D170" s="1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 t="str">
        <f t="shared" si="1"/>
        <v/>
      </c>
      <c r="B171" s="1"/>
      <c r="C171" s="1" t="str">
        <f>IF(B171="","",VLOOKUP(B171,Projects!$B:$C,2,FALSE()))</f>
        <v/>
      </c>
      <c r="D171" s="1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 t="str">
        <f t="shared" si="1"/>
        <v/>
      </c>
      <c r="B172" s="1"/>
      <c r="C172" s="1" t="str">
        <f>IF(B172="","",VLOOKUP(B172,Projects!$B:$C,2,FALSE()))</f>
        <v/>
      </c>
      <c r="D172" s="1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 t="str">
        <f t="shared" si="1"/>
        <v/>
      </c>
      <c r="B173" s="1"/>
      <c r="C173" s="1" t="str">
        <f>IF(B173="","",VLOOKUP(B173,Projects!$B:$C,2,FALSE()))</f>
        <v/>
      </c>
      <c r="D173" s="1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 t="str">
        <f t="shared" si="1"/>
        <v/>
      </c>
      <c r="B174" s="1"/>
      <c r="C174" s="1" t="str">
        <f>IF(B174="","",VLOOKUP(B174,Projects!$B:$C,2,FALSE()))</f>
        <v/>
      </c>
      <c r="D174" s="1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 t="str">
        <f t="shared" si="1"/>
        <v/>
      </c>
      <c r="B175" s="1"/>
      <c r="C175" s="1" t="str">
        <f>IF(B175="","",VLOOKUP(B175,Projects!$B:$C,2,FALSE()))</f>
        <v/>
      </c>
      <c r="D175" s="1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 t="str">
        <f t="shared" si="1"/>
        <v/>
      </c>
      <c r="B176" s="1"/>
      <c r="C176" s="1" t="str">
        <f>IF(B176="","",VLOOKUP(B176,Projects!$B:$C,2,FALSE()))</f>
        <v/>
      </c>
      <c r="D176" s="1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 t="str">
        <f t="shared" si="1"/>
        <v/>
      </c>
      <c r="B177" s="1"/>
      <c r="C177" s="1" t="str">
        <f>IF(B177="","",VLOOKUP(B177,Projects!$B:$C,2,FALSE()))</f>
        <v/>
      </c>
      <c r="D177" s="1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 t="str">
        <f t="shared" si="1"/>
        <v/>
      </c>
      <c r="B178" s="1"/>
      <c r="C178" s="1" t="str">
        <f>IF(B178="","",VLOOKUP(B178,Projects!$B:$C,2,FALSE()))</f>
        <v/>
      </c>
      <c r="D178" s="1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 t="str">
        <f t="shared" si="1"/>
        <v/>
      </c>
      <c r="B179" s="1"/>
      <c r="C179" s="1" t="str">
        <f>IF(B179="","",VLOOKUP(B179,Projects!$B:$C,2,FALSE()))</f>
        <v/>
      </c>
      <c r="D179" s="1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 t="str">
        <f t="shared" si="1"/>
        <v/>
      </c>
      <c r="B180" s="1"/>
      <c r="C180" s="1" t="str">
        <f>IF(B180="","",VLOOKUP(B180,Projects!$B:$C,2,FALSE()))</f>
        <v/>
      </c>
      <c r="D180" s="1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 t="str">
        <f t="shared" si="1"/>
        <v/>
      </c>
      <c r="B181" s="1"/>
      <c r="C181" s="1" t="str">
        <f>IF(B181="","",VLOOKUP(B181,Projects!$B:$C,2,FALSE()))</f>
        <v/>
      </c>
      <c r="D181" s="1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 t="str">
        <f t="shared" si="1"/>
        <v/>
      </c>
      <c r="B182" s="1"/>
      <c r="C182" s="1" t="str">
        <f>IF(B182="","",VLOOKUP(B182,Projects!$B:$C,2,FALSE()))</f>
        <v/>
      </c>
      <c r="D182" s="1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 t="str">
        <f t="shared" si="1"/>
        <v/>
      </c>
      <c r="B183" s="1"/>
      <c r="C183" s="1" t="str">
        <f>IF(B183="","",VLOOKUP(B183,Projects!$B:$C,2,FALSE()))</f>
        <v/>
      </c>
      <c r="D183" s="1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 t="str">
        <f t="shared" si="1"/>
        <v/>
      </c>
      <c r="B184" s="1"/>
      <c r="C184" s="1" t="str">
        <f>IF(B184="","",VLOOKUP(B184,Projects!$B:$C,2,FALSE()))</f>
        <v/>
      </c>
      <c r="D184" s="1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 t="str">
        <f t="shared" si="1"/>
        <v/>
      </c>
      <c r="B185" s="1"/>
      <c r="C185" s="1" t="str">
        <f>IF(B185="","",VLOOKUP(B185,Projects!$B:$C,2,FALSE()))</f>
        <v/>
      </c>
      <c r="D185" s="1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 t="str">
        <f t="shared" si="1"/>
        <v/>
      </c>
      <c r="B186" s="1"/>
      <c r="C186" s="1" t="str">
        <f>IF(B186="","",VLOOKUP(B186,Projects!$B:$C,2,FALSE()))</f>
        <v/>
      </c>
      <c r="D186" s="1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 t="str">
        <f t="shared" si="1"/>
        <v/>
      </c>
      <c r="B187" s="1"/>
      <c r="C187" s="1" t="str">
        <f>IF(B187="","",VLOOKUP(B187,Projects!$B:$C,2,FALSE()))</f>
        <v/>
      </c>
      <c r="D187" s="1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 t="str">
        <f t="shared" si="1"/>
        <v/>
      </c>
      <c r="B188" s="1"/>
      <c r="C188" s="1" t="str">
        <f>IF(B188="","",VLOOKUP(B188,Projects!$B:$C,2,FALSE()))</f>
        <v/>
      </c>
      <c r="D188" s="1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 t="str">
        <f t="shared" si="1"/>
        <v/>
      </c>
      <c r="B189" s="1"/>
      <c r="C189" s="1" t="str">
        <f>IF(B189="","",VLOOKUP(B189,Projects!$B:$C,2,FALSE()))</f>
        <v/>
      </c>
      <c r="D189" s="1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 t="str">
        <f t="shared" si="1"/>
        <v/>
      </c>
      <c r="B190" s="1"/>
      <c r="C190" s="1" t="str">
        <f>IF(B190="","",VLOOKUP(B190,Projects!$B:$C,2,FALSE()))</f>
        <v/>
      </c>
      <c r="D190" s="1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 t="str">
        <f t="shared" si="1"/>
        <v/>
      </c>
      <c r="B191" s="1"/>
      <c r="C191" s="1" t="str">
        <f>IF(B191="","",VLOOKUP(B191,Projects!$B:$C,2,FALSE()))</f>
        <v/>
      </c>
      <c r="D191" s="1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 t="str">
        <f t="shared" si="1"/>
        <v/>
      </c>
      <c r="B192" s="1"/>
      <c r="C192" s="1" t="str">
        <f>IF(B192="","",VLOOKUP(B192,Projects!$B:$C,2,FALSE()))</f>
        <v/>
      </c>
      <c r="D192" s="1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 t="str">
        <f t="shared" si="1"/>
        <v/>
      </c>
      <c r="B193" s="1"/>
      <c r="C193" s="1" t="str">
        <f>IF(B193="","",VLOOKUP(B193,Projects!$B:$C,2,FALSE()))</f>
        <v/>
      </c>
      <c r="D193" s="1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 t="str">
        <f t="shared" si="1"/>
        <v/>
      </c>
      <c r="B194" s="1"/>
      <c r="C194" s="1" t="str">
        <f>IF(B194="","",VLOOKUP(B194,Projects!$B:$C,2,FALSE()))</f>
        <v/>
      </c>
      <c r="D194" s="1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 t="str">
        <f t="shared" si="1"/>
        <v/>
      </c>
      <c r="B195" s="1"/>
      <c r="C195" s="1" t="str">
        <f>IF(B195="","",VLOOKUP(B195,Projects!$B:$C,2,FALSE()))</f>
        <v/>
      </c>
      <c r="D195" s="1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 t="str">
        <f t="shared" si="1"/>
        <v/>
      </c>
      <c r="B196" s="1"/>
      <c r="C196" s="1" t="str">
        <f>IF(B196="","",VLOOKUP(B196,Projects!$B:$C,2,FALSE()))</f>
        <v/>
      </c>
      <c r="D196" s="1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 t="str">
        <f t="shared" si="1"/>
        <v/>
      </c>
      <c r="B197" s="1"/>
      <c r="C197" s="1" t="str">
        <f>IF(B197="","",VLOOKUP(B197,Projects!$B:$C,2,FALSE()))</f>
        <v/>
      </c>
      <c r="D197" s="1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 t="str">
        <f t="shared" si="1"/>
        <v/>
      </c>
      <c r="B198" s="1"/>
      <c r="C198" s="1" t="str">
        <f>IF(B198="","",VLOOKUP(B198,Projects!$B:$C,2,FALSE()))</f>
        <v/>
      </c>
      <c r="D198" s="1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 t="str">
        <f t="shared" si="1"/>
        <v/>
      </c>
      <c r="B199" s="1"/>
      <c r="C199" s="1" t="str">
        <f>IF(B199="","",VLOOKUP(B199,Projects!$B:$C,2,FALSE()))</f>
        <v/>
      </c>
      <c r="D199" s="1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 t="str">
        <f t="shared" si="1"/>
        <v/>
      </c>
      <c r="B200" s="1"/>
      <c r="C200" s="1" t="str">
        <f>IF(B200="","",VLOOKUP(B200,Projects!$B:$C,2,FALSE()))</f>
        <v/>
      </c>
      <c r="D200" s="1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 t="str">
        <f t="shared" si="1"/>
        <v/>
      </c>
      <c r="B201" s="1"/>
      <c r="C201" s="1" t="str">
        <f>IF(B201="","",VLOOKUP(B201,Projects!$B:$C,2,FALSE()))</f>
        <v/>
      </c>
      <c r="D201" s="1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 t="str">
        <f t="shared" si="1"/>
        <v/>
      </c>
      <c r="B202" s="1"/>
      <c r="C202" s="1" t="str">
        <f>IF(B202="","",VLOOKUP(B202,Projects!$B:$C,2,FALSE()))</f>
        <v/>
      </c>
      <c r="D202" s="1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 t="str">
        <f t="shared" si="1"/>
        <v/>
      </c>
      <c r="B203" s="1"/>
      <c r="C203" s="1" t="str">
        <f>IF(B203="","",VLOOKUP(B203,Projects!$B:$C,2,FALSE()))</f>
        <v/>
      </c>
      <c r="D203" s="1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 t="str">
        <f t="shared" si="1"/>
        <v/>
      </c>
      <c r="B204" s="1"/>
      <c r="C204" s="1" t="str">
        <f>IF(B204="","",VLOOKUP(B204,Projects!$B:$C,2,FALSE()))</f>
        <v/>
      </c>
      <c r="D204" s="1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 t="str">
        <f t="shared" si="1"/>
        <v/>
      </c>
      <c r="B205" s="1"/>
      <c r="C205" s="1" t="str">
        <f>IF(B205="","",VLOOKUP(B205,Projects!$B:$C,2,FALSE()))</f>
        <v/>
      </c>
      <c r="D205" s="1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 t="str">
        <f t="shared" si="1"/>
        <v/>
      </c>
      <c r="B206" s="1"/>
      <c r="C206" s="1" t="str">
        <f>IF(B206="","",VLOOKUP(B206,Projects!$B:$C,2,FALSE()))</f>
        <v/>
      </c>
      <c r="D206" s="1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 t="str">
        <f t="shared" si="1"/>
        <v/>
      </c>
      <c r="B207" s="1"/>
      <c r="C207" s="1" t="str">
        <f>IF(B207="","",VLOOKUP(B207,Projects!$B:$C,2,FALSE()))</f>
        <v/>
      </c>
      <c r="D207" s="1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 t="str">
        <f t="shared" si="1"/>
        <v/>
      </c>
      <c r="B208" s="1"/>
      <c r="C208" s="1" t="str">
        <f>IF(B208="","",VLOOKUP(B208,Projects!$B:$C,2,FALSE()))</f>
        <v/>
      </c>
      <c r="D208" s="1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 t="str">
        <f t="shared" si="1"/>
        <v/>
      </c>
      <c r="B209" s="1"/>
      <c r="C209" s="1" t="str">
        <f>IF(B209="","",VLOOKUP(B209,Projects!$B:$C,2,FALSE()))</f>
        <v/>
      </c>
      <c r="D209" s="1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 t="str">
        <f t="shared" si="1"/>
        <v/>
      </c>
      <c r="B210" s="1"/>
      <c r="C210" s="1" t="str">
        <f>IF(B210="","",VLOOKUP(B210,Projects!$B:$C,2,FALSE()))</f>
        <v/>
      </c>
      <c r="D210" s="1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 t="str">
        <f t="shared" si="1"/>
        <v/>
      </c>
      <c r="B211" s="1"/>
      <c r="C211" s="1" t="str">
        <f>IF(B211="","",VLOOKUP(B211,Projects!$B:$C,2,FALSE()))</f>
        <v/>
      </c>
      <c r="D211" s="1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 t="str">
        <f t="shared" si="1"/>
        <v/>
      </c>
      <c r="B212" s="1"/>
      <c r="C212" s="1" t="str">
        <f>IF(B212="","",VLOOKUP(B212,Projects!$B:$C,2,FALSE()))</f>
        <v/>
      </c>
      <c r="D212" s="1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 t="str">
        <f t="shared" si="1"/>
        <v/>
      </c>
      <c r="B213" s="1"/>
      <c r="C213" s="1" t="str">
        <f>IF(B213="","",VLOOKUP(B213,Projects!$B:$C,2,FALSE()))</f>
        <v/>
      </c>
      <c r="D213" s="1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 t="str">
        <f t="shared" si="1"/>
        <v/>
      </c>
      <c r="B214" s="1"/>
      <c r="C214" s="1" t="str">
        <f>IF(B214="","",VLOOKUP(B214,Projects!$B:$C,2,FALSE()))</f>
        <v/>
      </c>
      <c r="D214" s="1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 t="str">
        <f t="shared" si="1"/>
        <v/>
      </c>
      <c r="B215" s="1"/>
      <c r="C215" s="1" t="str">
        <f>IF(B215="","",VLOOKUP(B215,Projects!$B:$C,2,FALSE()))</f>
        <v/>
      </c>
      <c r="D215" s="1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 t="str">
        <f t="shared" si="1"/>
        <v/>
      </c>
      <c r="B216" s="1"/>
      <c r="C216" s="1" t="str">
        <f>IF(B216="","",VLOOKUP(B216,Projects!$B:$C,2,FALSE()))</f>
        <v/>
      </c>
      <c r="D216" s="1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 t="str">
        <f t="shared" si="1"/>
        <v/>
      </c>
      <c r="B217" s="1"/>
      <c r="C217" s="1" t="str">
        <f>IF(B217="","",VLOOKUP(B217,Projects!$B:$C,2,FALSE()))</f>
        <v/>
      </c>
      <c r="D217" s="1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 t="str">
        <f t="shared" si="1"/>
        <v/>
      </c>
      <c r="B218" s="1"/>
      <c r="C218" s="1" t="str">
        <f>IF(B218="","",VLOOKUP(B218,Projects!$B:$C,2,FALSE()))</f>
        <v/>
      </c>
      <c r="D218" s="1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 t="str">
        <f t="shared" si="1"/>
        <v/>
      </c>
      <c r="B219" s="1"/>
      <c r="C219" s="1" t="str">
        <f>IF(B219="","",VLOOKUP(B219,Projects!$B:$C,2,FALSE()))</f>
        <v/>
      </c>
      <c r="D219" s="1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 t="str">
        <f t="shared" si="1"/>
        <v/>
      </c>
      <c r="B220" s="1"/>
      <c r="C220" s="1" t="str">
        <f>IF(B220="","",VLOOKUP(B220,Projects!$B:$C,2,FALSE()))</f>
        <v/>
      </c>
      <c r="D220" s="1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 t="str">
        <f t="shared" si="1"/>
        <v/>
      </c>
      <c r="B221" s="1"/>
      <c r="C221" s="1" t="str">
        <f>IF(B221="","",VLOOKUP(B221,Projects!$B:$C,2,FALSE()))</f>
        <v/>
      </c>
      <c r="D221" s="1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 t="str">
        <f t="shared" si="1"/>
        <v/>
      </c>
      <c r="B222" s="1"/>
      <c r="C222" s="1" t="str">
        <f>IF(B222="","",VLOOKUP(B222,Projects!$B:$C,2,FALSE()))</f>
        <v/>
      </c>
      <c r="D222" s="1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 t="str">
        <f t="shared" si="1"/>
        <v/>
      </c>
      <c r="B223" s="1"/>
      <c r="C223" s="1" t="str">
        <f>IF(B223="","",VLOOKUP(B223,Projects!$B:$C,2,FALSE()))</f>
        <v/>
      </c>
      <c r="D223" s="1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 t="str">
        <f t="shared" si="1"/>
        <v/>
      </c>
      <c r="B224" s="1"/>
      <c r="C224" s="1" t="str">
        <f>IF(B224="","",VLOOKUP(B224,Projects!$B:$C,2,FALSE()))</f>
        <v/>
      </c>
      <c r="D224" s="1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 t="str">
        <f t="shared" si="1"/>
        <v/>
      </c>
      <c r="B225" s="1"/>
      <c r="C225" s="1" t="str">
        <f>IF(B225="","",VLOOKUP(B225,Projects!$B:$C,2,FALSE()))</f>
        <v/>
      </c>
      <c r="D225" s="1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 t="str">
        <f t="shared" si="1"/>
        <v/>
      </c>
      <c r="B226" s="1"/>
      <c r="C226" s="1" t="str">
        <f>IF(B226="","",VLOOKUP(B226,Projects!$B:$C,2,FALSE()))</f>
        <v/>
      </c>
      <c r="D226" s="1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 t="str">
        <f t="shared" si="1"/>
        <v/>
      </c>
      <c r="B227" s="1"/>
      <c r="C227" s="1" t="str">
        <f>IF(B227="","",VLOOKUP(B227,Projects!$B:$C,2,FALSE()))</f>
        <v/>
      </c>
      <c r="D227" s="1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 t="str">
        <f t="shared" si="1"/>
        <v/>
      </c>
      <c r="B228" s="1"/>
      <c r="C228" s="1" t="str">
        <f>IF(B228="","",VLOOKUP(B228,Projects!$B:$C,2,FALSE()))</f>
        <v/>
      </c>
      <c r="D228" s="1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 t="str">
        <f t="shared" si="1"/>
        <v/>
      </c>
      <c r="B229" s="1"/>
      <c r="C229" s="1" t="str">
        <f>IF(B229="","",VLOOKUP(B229,Projects!$B:$C,2,FALSE()))</f>
        <v/>
      </c>
      <c r="D229" s="1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 t="str">
        <f t="shared" si="1"/>
        <v/>
      </c>
      <c r="B230" s="1"/>
      <c r="C230" s="1" t="str">
        <f>IF(B230="","",VLOOKUP(B230,Projects!$B:$C,2,FALSE()))</f>
        <v/>
      </c>
      <c r="D230" s="1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 t="str">
        <f t="shared" si="1"/>
        <v/>
      </c>
      <c r="B231" s="1"/>
      <c r="C231" s="1" t="str">
        <f>IF(B231="","",VLOOKUP(B231,Projects!$B:$C,2,FALSE()))</f>
        <v/>
      </c>
      <c r="D231" s="1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 t="str">
        <f t="shared" si="1"/>
        <v/>
      </c>
      <c r="B232" s="1"/>
      <c r="C232" s="1" t="str">
        <f>IF(B232="","",VLOOKUP(B232,Projects!$B:$C,2,FALSE()))</f>
        <v/>
      </c>
      <c r="D232" s="1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 t="str">
        <f t="shared" si="1"/>
        <v/>
      </c>
      <c r="B233" s="1"/>
      <c r="C233" s="1" t="str">
        <f>IF(B233="","",VLOOKUP(B233,Projects!$B:$C,2,FALSE()))</f>
        <v/>
      </c>
      <c r="D233" s="1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 t="str">
        <f t="shared" si="1"/>
        <v/>
      </c>
      <c r="B234" s="1"/>
      <c r="C234" s="1" t="str">
        <f>IF(B234="","",VLOOKUP(B234,Projects!$B:$C,2,FALSE()))</f>
        <v/>
      </c>
      <c r="D234" s="1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 t="str">
        <f t="shared" si="1"/>
        <v/>
      </c>
      <c r="B235" s="1"/>
      <c r="C235" s="1" t="str">
        <f>IF(B235="","",VLOOKUP(B235,Projects!$B:$C,2,FALSE()))</f>
        <v/>
      </c>
      <c r="D235" s="1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 t="str">
        <f t="shared" si="1"/>
        <v/>
      </c>
      <c r="B236" s="1"/>
      <c r="C236" s="1" t="str">
        <f>IF(B236="","",VLOOKUP(B236,Projects!$B:$C,2,FALSE()))</f>
        <v/>
      </c>
      <c r="D236" s="1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 t="str">
        <f t="shared" si="1"/>
        <v/>
      </c>
      <c r="B237" s="1"/>
      <c r="C237" s="1" t="str">
        <f>IF(B237="","",VLOOKUP(B237,Projects!$B:$C,2,FALSE()))</f>
        <v/>
      </c>
      <c r="D237" s="1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 t="str">
        <f t="shared" si="1"/>
        <v/>
      </c>
      <c r="B238" s="1"/>
      <c r="C238" s="1" t="str">
        <f>IF(B238="","",VLOOKUP(B238,Projects!$B:$C,2,FALSE()))</f>
        <v/>
      </c>
      <c r="D238" s="1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 t="str">
        <f t="shared" si="1"/>
        <v/>
      </c>
      <c r="B239" s="1"/>
      <c r="C239" s="1" t="str">
        <f>IF(B239="","",VLOOKUP(B239,Projects!$B:$C,2,FALSE()))</f>
        <v/>
      </c>
      <c r="D239" s="1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 t="str">
        <f t="shared" si="1"/>
        <v/>
      </c>
      <c r="B240" s="1"/>
      <c r="C240" s="1" t="str">
        <f>IF(B240="","",VLOOKUP(B240,Projects!$B:$C,2,FALSE()))</f>
        <v/>
      </c>
      <c r="D240" s="1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 t="str">
        <f t="shared" si="1"/>
        <v/>
      </c>
      <c r="B241" s="1"/>
      <c r="C241" s="1" t="str">
        <f>IF(B241="","",VLOOKUP(B241,Projects!$B:$C,2,FALSE()))</f>
        <v/>
      </c>
      <c r="D241" s="1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 t="str">
        <f t="shared" si="1"/>
        <v/>
      </c>
      <c r="B242" s="1"/>
      <c r="C242" s="1" t="str">
        <f>IF(B242="","",VLOOKUP(B242,Projects!$B:$C,2,FALSE()))</f>
        <v/>
      </c>
      <c r="D242" s="1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 t="str">
        <f t="shared" si="1"/>
        <v/>
      </c>
      <c r="B243" s="1"/>
      <c r="C243" s="1" t="str">
        <f>IF(B243="","",VLOOKUP(B243,Projects!$B:$C,2,FALSE()))</f>
        <v/>
      </c>
      <c r="D243" s="1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 t="str">
        <f t="shared" si="1"/>
        <v/>
      </c>
      <c r="B244" s="1"/>
      <c r="C244" s="1" t="str">
        <f>IF(B244="","",VLOOKUP(B244,Projects!$B:$C,2,FALSE()))</f>
        <v/>
      </c>
      <c r="D244" s="1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 t="str">
        <f t="shared" si="1"/>
        <v/>
      </c>
      <c r="B245" s="1"/>
      <c r="C245" s="1" t="str">
        <f>IF(B245="","",VLOOKUP(B245,Projects!$B:$C,2,FALSE()))</f>
        <v/>
      </c>
      <c r="D245" s="1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 t="str">
        <f t="shared" si="1"/>
        <v/>
      </c>
      <c r="B246" s="1"/>
      <c r="C246" s="1" t="str">
        <f>IF(B246="","",VLOOKUP(B246,Projects!$B:$C,2,FALSE()))</f>
        <v/>
      </c>
      <c r="D246" s="1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 t="str">
        <f t="shared" si="1"/>
        <v/>
      </c>
      <c r="B247" s="1"/>
      <c r="C247" s="1" t="str">
        <f>IF(B247="","",VLOOKUP(B247,Projects!$B:$C,2,FALSE()))</f>
        <v/>
      </c>
      <c r="D247" s="1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 t="str">
        <f t="shared" si="1"/>
        <v/>
      </c>
      <c r="B248" s="1"/>
      <c r="C248" s="1" t="str">
        <f>IF(B248="","",VLOOKUP(B248,Projects!$B:$C,2,FALSE()))</f>
        <v/>
      </c>
      <c r="D248" s="1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 t="str">
        <f t="shared" si="1"/>
        <v/>
      </c>
      <c r="B249" s="1"/>
      <c r="C249" s="1" t="str">
        <f>IF(B249="","",VLOOKUP(B249,Projects!$B:$C,2,FALSE()))</f>
        <v/>
      </c>
      <c r="D249" s="1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 t="str">
        <f t="shared" si="1"/>
        <v/>
      </c>
      <c r="B250" s="1"/>
      <c r="C250" s="1" t="str">
        <f>IF(B250="","",VLOOKUP(B250,Projects!$B:$C,2,FALSE()))</f>
        <v/>
      </c>
      <c r="D250" s="1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 t="str">
        <f t="shared" si="1"/>
        <v/>
      </c>
      <c r="B251" s="1"/>
      <c r="C251" s="1" t="str">
        <f>IF(B251="","",VLOOKUP(B251,Projects!$B:$C,2,FALSE()))</f>
        <v/>
      </c>
      <c r="D251" s="1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 t="str">
        <f t="shared" si="1"/>
        <v/>
      </c>
      <c r="B252" s="1"/>
      <c r="C252" s="1" t="str">
        <f>IF(B252="","",VLOOKUP(B252,Projects!$B:$C,2,FALSE()))</f>
        <v/>
      </c>
      <c r="D252" s="1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 t="str">
        <f t="shared" si="1"/>
        <v/>
      </c>
      <c r="B253" s="1"/>
      <c r="C253" s="1" t="str">
        <f>IF(B253="","",VLOOKUP(B253,Projects!$B:$C,2,FALSE()))</f>
        <v/>
      </c>
      <c r="D253" s="1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 t="str">
        <f t="shared" si="1"/>
        <v/>
      </c>
      <c r="B254" s="1"/>
      <c r="C254" s="1" t="str">
        <f>IF(B254="","",VLOOKUP(B254,Projects!$B:$C,2,FALSE()))</f>
        <v/>
      </c>
      <c r="D254" s="1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 t="str">
        <f t="shared" si="1"/>
        <v/>
      </c>
      <c r="B255" s="1"/>
      <c r="C255" s="1" t="str">
        <f>IF(B255="","",VLOOKUP(B255,Projects!$B:$C,2,FALSE()))</f>
        <v/>
      </c>
      <c r="D255" s="1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 t="str">
        <f t="shared" si="1"/>
        <v/>
      </c>
      <c r="B256" s="1"/>
      <c r="C256" s="1" t="str">
        <f>IF(B256="","",VLOOKUP(B256,Projects!$B:$C,2,FALSE()))</f>
        <v/>
      </c>
      <c r="D256" s="1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 t="str">
        <f t="shared" si="1"/>
        <v/>
      </c>
      <c r="B257" s="1"/>
      <c r="C257" s="1" t="str">
        <f>IF(B257="","",VLOOKUP(B257,Projects!$B:$C,2,FALSE()))</f>
        <v/>
      </c>
      <c r="D257" s="1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 t="str">
        <f t="shared" si="1"/>
        <v/>
      </c>
      <c r="B258" s="1"/>
      <c r="C258" s="1" t="str">
        <f>IF(B258="","",VLOOKUP(B258,Projects!$B:$C,2,FALSE()))</f>
        <v/>
      </c>
      <c r="D258" s="1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 t="str">
        <f t="shared" si="1"/>
        <v/>
      </c>
      <c r="B259" s="1"/>
      <c r="C259" s="1" t="str">
        <f>IF(B259="","",VLOOKUP(B259,Projects!$B:$C,2,FALSE()))</f>
        <v/>
      </c>
      <c r="D259" s="1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 t="str">
        <f t="shared" si="1"/>
        <v/>
      </c>
      <c r="B260" s="1"/>
      <c r="C260" s="1" t="str">
        <f>IF(B260="","",VLOOKUP(B260,Projects!$B:$C,2,FALSE()))</f>
        <v/>
      </c>
      <c r="D260" s="1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 t="str">
        <f t="shared" si="1"/>
        <v/>
      </c>
      <c r="B261" s="1"/>
      <c r="C261" s="1" t="str">
        <f>IF(B261="","",VLOOKUP(B261,Projects!$B:$C,2,FALSE()))</f>
        <v/>
      </c>
      <c r="D261" s="1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 t="str">
        <f t="shared" si="1"/>
        <v/>
      </c>
      <c r="B262" s="1"/>
      <c r="C262" s="1" t="str">
        <f>IF(B262="","",VLOOKUP(B262,Projects!$B:$C,2,FALSE()))</f>
        <v/>
      </c>
      <c r="D262" s="1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 t="str">
        <f t="shared" si="1"/>
        <v/>
      </c>
      <c r="B263" s="1"/>
      <c r="C263" s="1" t="str">
        <f>IF(B263="","",VLOOKUP(B263,Projects!$B:$C,2,FALSE()))</f>
        <v/>
      </c>
      <c r="D263" s="1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 t="str">
        <f t="shared" si="1"/>
        <v/>
      </c>
      <c r="B264" s="1"/>
      <c r="C264" s="1" t="str">
        <f>IF(B264="","",VLOOKUP(B264,Projects!$B:$C,2,FALSE()))</f>
        <v/>
      </c>
      <c r="D264" s="1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 t="str">
        <f t="shared" si="1"/>
        <v/>
      </c>
      <c r="B265" s="1"/>
      <c r="C265" s="1" t="str">
        <f>IF(B265="","",VLOOKUP(B265,Projects!$B:$C,2,FALSE()))</f>
        <v/>
      </c>
      <c r="D265" s="1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 t="str">
        <f t="shared" si="1"/>
        <v/>
      </c>
      <c r="B266" s="1"/>
      <c r="C266" s="1" t="str">
        <f>IF(B266="","",VLOOKUP(B266,Projects!$B:$C,2,FALSE()))</f>
        <v/>
      </c>
      <c r="D266" s="1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 t="str">
        <f t="shared" si="1"/>
        <v/>
      </c>
      <c r="B267" s="1"/>
      <c r="C267" s="1" t="str">
        <f>IF(B267="","",VLOOKUP(B267,Projects!$B:$C,2,FALSE()))</f>
        <v/>
      </c>
      <c r="D267" s="1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 t="str">
        <f t="shared" si="1"/>
        <v/>
      </c>
      <c r="B268" s="1"/>
      <c r="C268" s="1" t="str">
        <f>IF(B268="","",VLOOKUP(B268,Projects!$B:$C,2,FALSE()))</f>
        <v/>
      </c>
      <c r="D268" s="1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 t="str">
        <f t="shared" si="1"/>
        <v/>
      </c>
      <c r="B269" s="1"/>
      <c r="C269" s="1" t="str">
        <f>IF(B269="","",VLOOKUP(B269,Projects!$B:$C,2,FALSE()))</f>
        <v/>
      </c>
      <c r="D269" s="1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 t="str">
        <f t="shared" si="1"/>
        <v/>
      </c>
      <c r="B270" s="1"/>
      <c r="C270" s="1" t="str">
        <f>IF(B270="","",VLOOKUP(B270,Projects!$B:$C,2,FALSE()))</f>
        <v/>
      </c>
      <c r="D270" s="1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 t="str">
        <f t="shared" si="1"/>
        <v/>
      </c>
      <c r="B271" s="1"/>
      <c r="C271" s="1" t="str">
        <f>IF(B271="","",VLOOKUP(B271,Projects!$B:$C,2,FALSE()))</f>
        <v/>
      </c>
      <c r="D271" s="1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 t="str">
        <f t="shared" si="1"/>
        <v/>
      </c>
      <c r="B272" s="1"/>
      <c r="C272" s="1" t="str">
        <f>IF(B272="","",VLOOKUP(B272,Projects!$B:$C,2,FALSE()))</f>
        <v/>
      </c>
      <c r="D272" s="1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 t="str">
        <f t="shared" si="1"/>
        <v/>
      </c>
      <c r="B273" s="1"/>
      <c r="C273" s="1" t="str">
        <f>IF(B273="","",VLOOKUP(B273,Projects!$B:$C,2,FALSE()))</f>
        <v/>
      </c>
      <c r="D273" s="1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 t="str">
        <f t="shared" si="1"/>
        <v/>
      </c>
      <c r="B274" s="1"/>
      <c r="C274" s="1" t="str">
        <f>IF(B274="","",VLOOKUP(B274,Projects!$B:$C,2,FALSE()))</f>
        <v/>
      </c>
      <c r="D274" s="1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 t="str">
        <f t="shared" si="1"/>
        <v/>
      </c>
      <c r="B275" s="1"/>
      <c r="C275" s="1" t="str">
        <f>IF(B275="","",VLOOKUP(B275,Projects!$B:$C,2,FALSE()))</f>
        <v/>
      </c>
      <c r="D275" s="1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 t="str">
        <f t="shared" si="1"/>
        <v/>
      </c>
      <c r="B276" s="1"/>
      <c r="C276" s="1" t="str">
        <f>IF(B276="","",VLOOKUP(B276,Projects!$B:$C,2,FALSE()))</f>
        <v/>
      </c>
      <c r="D276" s="1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 t="str">
        <f t="shared" si="1"/>
        <v/>
      </c>
      <c r="B277" s="1"/>
      <c r="C277" s="1" t="str">
        <f>IF(B277="","",VLOOKUP(B277,Projects!$B:$C,2,FALSE()))</f>
        <v/>
      </c>
      <c r="D277" s="1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 t="str">
        <f t="shared" si="1"/>
        <v/>
      </c>
      <c r="B278" s="1"/>
      <c r="C278" s="1" t="str">
        <f>IF(B278="","",VLOOKUP(B278,Projects!$B:$C,2,FALSE()))</f>
        <v/>
      </c>
      <c r="D278" s="1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 t="str">
        <f t="shared" si="1"/>
        <v/>
      </c>
      <c r="B279" s="1"/>
      <c r="C279" s="1" t="str">
        <f>IF(B279="","",VLOOKUP(B279,Projects!$B:$C,2,FALSE()))</f>
        <v/>
      </c>
      <c r="D279" s="1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 t="str">
        <f t="shared" si="1"/>
        <v/>
      </c>
      <c r="B280" s="1"/>
      <c r="C280" s="1" t="str">
        <f>IF(B280="","",VLOOKUP(B280,Projects!$B:$C,2,FALSE()))</f>
        <v/>
      </c>
      <c r="D280" s="1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 t="str">
        <f t="shared" si="1"/>
        <v/>
      </c>
      <c r="B281" s="1"/>
      <c r="C281" s="1" t="str">
        <f>IF(B281="","",VLOOKUP(B281,Projects!$B:$C,2,FALSE()))</f>
        <v/>
      </c>
      <c r="D281" s="1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 t="str">
        <f t="shared" si="1"/>
        <v/>
      </c>
      <c r="B282" s="1"/>
      <c r="C282" s="1" t="str">
        <f>IF(B282="","",VLOOKUP(B282,Projects!$B:$C,2,FALSE()))</f>
        <v/>
      </c>
      <c r="D282" s="1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 t="str">
        <f t="shared" si="1"/>
        <v/>
      </c>
      <c r="B283" s="1"/>
      <c r="C283" s="1" t="str">
        <f>IF(B283="","",VLOOKUP(B283,Projects!$B:$C,2,FALSE()))</f>
        <v/>
      </c>
      <c r="D283" s="1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 t="str">
        <f t="shared" si="1"/>
        <v/>
      </c>
      <c r="B284" s="1"/>
      <c r="C284" s="1" t="str">
        <f>IF(B284="","",VLOOKUP(B284,Projects!$B:$C,2,FALSE()))</f>
        <v/>
      </c>
      <c r="D284" s="1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 t="str">
        <f t="shared" si="1"/>
        <v/>
      </c>
      <c r="B285" s="1"/>
      <c r="C285" s="1" t="str">
        <f>IF(B285="","",VLOOKUP(B285,Projects!$B:$C,2,FALSE()))</f>
        <v/>
      </c>
      <c r="D285" s="1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 t="str">
        <f t="shared" si="1"/>
        <v/>
      </c>
      <c r="B286" s="1"/>
      <c r="C286" s="1" t="str">
        <f>IF(B286="","",VLOOKUP(B286,Projects!$B:$C,2,FALSE()))</f>
        <v/>
      </c>
      <c r="D286" s="1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 t="str">
        <f t="shared" si="1"/>
        <v/>
      </c>
      <c r="B287" s="1"/>
      <c r="C287" s="1" t="str">
        <f>IF(B287="","",VLOOKUP(B287,Projects!$B:$C,2,FALSE()))</f>
        <v/>
      </c>
      <c r="D287" s="1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 t="str">
        <f t="shared" si="1"/>
        <v/>
      </c>
      <c r="B288" s="1"/>
      <c r="C288" s="1" t="str">
        <f>IF(B288="","",VLOOKUP(B288,Projects!$B:$C,2,FALSE()))</f>
        <v/>
      </c>
      <c r="D288" s="1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 t="str">
        <f t="shared" si="1"/>
        <v/>
      </c>
      <c r="B289" s="1"/>
      <c r="C289" s="1" t="str">
        <f>IF(B289="","",VLOOKUP(B289,Projects!$B:$C,2,FALSE()))</f>
        <v/>
      </c>
      <c r="D289" s="1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 t="str">
        <f t="shared" si="1"/>
        <v/>
      </c>
      <c r="B290" s="1"/>
      <c r="C290" s="1" t="str">
        <f>IF(B290="","",VLOOKUP(B290,Projects!$B:$C,2,FALSE()))</f>
        <v/>
      </c>
      <c r="D290" s="1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 t="str">
        <f t="shared" si="1"/>
        <v/>
      </c>
      <c r="B291" s="1"/>
      <c r="C291" s="1" t="str">
        <f>IF(B291="","",VLOOKUP(B291,Projects!$B:$C,2,FALSE()))</f>
        <v/>
      </c>
      <c r="D291" s="1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 t="str">
        <f t="shared" si="1"/>
        <v/>
      </c>
      <c r="B292" s="1"/>
      <c r="C292" s="1" t="str">
        <f>IF(B292="","",VLOOKUP(B292,Projects!$B:$C,2,FALSE()))</f>
        <v/>
      </c>
      <c r="D292" s="1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 t="str">
        <f t="shared" si="1"/>
        <v/>
      </c>
      <c r="B293" s="1"/>
      <c r="C293" s="1" t="str">
        <f>IF(B293="","",VLOOKUP(B293,Projects!$B:$C,2,FALSE()))</f>
        <v/>
      </c>
      <c r="D293" s="1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 t="str">
        <f t="shared" si="1"/>
        <v/>
      </c>
      <c r="B294" s="1"/>
      <c r="C294" s="1" t="str">
        <f>IF(B294="","",VLOOKUP(B294,Projects!$B:$C,2,FALSE()))</f>
        <v/>
      </c>
      <c r="D294" s="1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 t="str">
        <f t="shared" si="1"/>
        <v/>
      </c>
      <c r="B295" s="1"/>
      <c r="C295" s="1" t="str">
        <f>IF(B295="","",VLOOKUP(B295,Projects!$B:$C,2,FALSE()))</f>
        <v/>
      </c>
      <c r="D295" s="1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 t="str">
        <f t="shared" si="1"/>
        <v/>
      </c>
      <c r="B296" s="1"/>
      <c r="C296" s="1" t="str">
        <f>IF(B296="","",VLOOKUP(B296,Projects!$B:$C,2,FALSE()))</f>
        <v/>
      </c>
      <c r="D296" s="1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 t="str">
        <f t="shared" si="1"/>
        <v/>
      </c>
      <c r="B297" s="1"/>
      <c r="C297" s="1" t="str">
        <f>IF(B297="","",VLOOKUP(B297,Projects!$B:$C,2,FALSE()))</f>
        <v/>
      </c>
      <c r="D297" s="1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 t="str">
        <f t="shared" si="1"/>
        <v/>
      </c>
      <c r="B298" s="1"/>
      <c r="C298" s="1" t="str">
        <f>IF(B298="","",VLOOKUP(B298,Projects!$B:$C,2,FALSE()))</f>
        <v/>
      </c>
      <c r="D298" s="1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 t="str">
        <f t="shared" si="1"/>
        <v/>
      </c>
      <c r="B299" s="1"/>
      <c r="C299" s="1" t="str">
        <f>IF(B299="","",VLOOKUP(B299,Projects!$B:$C,2,FALSE()))</f>
        <v/>
      </c>
      <c r="D299" s="1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 t="str">
        <f t="shared" si="1"/>
        <v/>
      </c>
      <c r="B300" s="1"/>
      <c r="C300" s="1" t="str">
        <f>IF(B300="","",VLOOKUP(B300,Projects!$B:$C,2,FALSE()))</f>
        <v/>
      </c>
      <c r="D300" s="1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 t="str">
        <f t="shared" si="1"/>
        <v/>
      </c>
      <c r="B301" s="1"/>
      <c r="C301" s="1" t="str">
        <f>IF(B301="","",VLOOKUP(B301,Projects!$B:$C,2,FALSE()))</f>
        <v/>
      </c>
      <c r="D301" s="1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 t="str">
        <f t="shared" si="1"/>
        <v/>
      </c>
      <c r="B302" s="1"/>
      <c r="C302" s="1" t="str">
        <f>IF(B302="","",VLOOKUP(B302,Projects!$B:$C,2,FALSE()))</f>
        <v/>
      </c>
      <c r="D302" s="1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 t="str">
        <f t="shared" si="1"/>
        <v/>
      </c>
      <c r="B303" s="1"/>
      <c r="C303" s="1" t="str">
        <f>IF(B303="","",VLOOKUP(B303,Projects!$B:$C,2,FALSE()))</f>
        <v/>
      </c>
      <c r="D303" s="1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 t="str">
        <f t="shared" si="1"/>
        <v/>
      </c>
      <c r="B304" s="1"/>
      <c r="C304" s="1" t="str">
        <f>IF(B304="","",VLOOKUP(B304,Projects!$B:$C,2,FALSE()))</f>
        <v/>
      </c>
      <c r="D304" s="1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 t="str">
        <f t="shared" si="1"/>
        <v/>
      </c>
      <c r="B305" s="1"/>
      <c r="C305" s="1" t="str">
        <f>IF(B305="","",VLOOKUP(B305,Projects!$B:$C,2,FALSE()))</f>
        <v/>
      </c>
      <c r="D305" s="1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 t="str">
        <f t="shared" si="1"/>
        <v/>
      </c>
      <c r="B306" s="1"/>
      <c r="C306" s="1" t="str">
        <f>IF(B306="","",VLOOKUP(B306,Projects!$B:$C,2,FALSE()))</f>
        <v/>
      </c>
      <c r="D306" s="1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 t="str">
        <f t="shared" si="1"/>
        <v/>
      </c>
      <c r="B307" s="1"/>
      <c r="C307" s="1" t="str">
        <f>IF(B307="","",VLOOKUP(B307,Projects!$B:$C,2,FALSE()))</f>
        <v/>
      </c>
      <c r="D307" s="1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 t="str">
        <f t="shared" si="1"/>
        <v/>
      </c>
      <c r="B308" s="1"/>
      <c r="C308" s="1" t="str">
        <f>IF(B308="","",VLOOKUP(B308,Projects!$B:$C,2,FALSE()))</f>
        <v/>
      </c>
      <c r="D308" s="1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 t="str">
        <f t="shared" si="1"/>
        <v/>
      </c>
      <c r="B309" s="1"/>
      <c r="C309" s="1" t="str">
        <f>IF(B309="","",VLOOKUP(B309,Projects!$B:$C,2,FALSE()))</f>
        <v/>
      </c>
      <c r="D309" s="1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 t="str">
        <f t="shared" si="1"/>
        <v/>
      </c>
      <c r="B310" s="1"/>
      <c r="C310" s="1" t="str">
        <f>IF(B310="","",VLOOKUP(B310,Projects!$B:$C,2,FALSE()))</f>
        <v/>
      </c>
      <c r="D310" s="1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 t="str">
        <f t="shared" si="1"/>
        <v/>
      </c>
      <c r="B311" s="1"/>
      <c r="C311" s="1" t="str">
        <f>IF(B311="","",VLOOKUP(B311,Projects!$B:$C,2,FALSE()))</f>
        <v/>
      </c>
      <c r="D311" s="1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 t="str">
        <f t="shared" si="1"/>
        <v/>
      </c>
      <c r="B312" s="1"/>
      <c r="C312" s="1" t="str">
        <f>IF(B312="","",VLOOKUP(B312,Projects!$B:$C,2,FALSE()))</f>
        <v/>
      </c>
      <c r="D312" s="1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 t="str">
        <f t="shared" si="1"/>
        <v/>
      </c>
      <c r="B313" s="1"/>
      <c r="C313" s="1" t="str">
        <f>IF(B313="","",VLOOKUP(B313,Projects!$B:$C,2,FALSE()))</f>
        <v/>
      </c>
      <c r="D313" s="1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 t="str">
        <f t="shared" si="1"/>
        <v/>
      </c>
      <c r="B314" s="1"/>
      <c r="C314" s="1" t="str">
        <f>IF(B314="","",VLOOKUP(B314,Projects!$B:$C,2,FALSE()))</f>
        <v/>
      </c>
      <c r="D314" s="1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 t="str">
        <f t="shared" si="1"/>
        <v/>
      </c>
      <c r="B315" s="1"/>
      <c r="C315" s="1" t="str">
        <f>IF(B315="","",VLOOKUP(B315,Projects!$B:$C,2,FALSE()))</f>
        <v/>
      </c>
      <c r="D315" s="1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 t="str">
        <f t="shared" si="1"/>
        <v/>
      </c>
      <c r="B316" s="1"/>
      <c r="C316" s="1" t="str">
        <f>IF(B316="","",VLOOKUP(B316,Projects!$B:$C,2,FALSE()))</f>
        <v/>
      </c>
      <c r="D316" s="1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 t="str">
        <f t="shared" si="1"/>
        <v/>
      </c>
      <c r="B317" s="1"/>
      <c r="C317" s="1" t="str">
        <f>IF(B317="","",VLOOKUP(B317,Projects!$B:$C,2,FALSE()))</f>
        <v/>
      </c>
      <c r="D317" s="1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 t="str">
        <f t="shared" si="1"/>
        <v/>
      </c>
      <c r="B318" s="1"/>
      <c r="C318" s="1" t="str">
        <f>IF(B318="","",VLOOKUP(B318,Projects!$B:$C,2,FALSE()))</f>
        <v/>
      </c>
      <c r="D318" s="1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 t="str">
        <f t="shared" si="1"/>
        <v/>
      </c>
      <c r="B319" s="1"/>
      <c r="C319" s="1" t="str">
        <f>IF(B319="","",VLOOKUP(B319,Projects!$B:$C,2,FALSE()))</f>
        <v/>
      </c>
      <c r="D319" s="1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 t="str">
        <f t="shared" si="1"/>
        <v/>
      </c>
      <c r="B320" s="1"/>
      <c r="C320" s="1" t="str">
        <f>IF(B320="","",VLOOKUP(B320,Projects!$B:$C,2,FALSE()))</f>
        <v/>
      </c>
      <c r="D320" s="1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 t="str">
        <f t="shared" si="1"/>
        <v/>
      </c>
      <c r="B321" s="1"/>
      <c r="C321" s="1" t="str">
        <f>IF(B321="","",VLOOKUP(B321,Projects!$B:$C,2,FALSE()))</f>
        <v/>
      </c>
      <c r="D321" s="1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 t="str">
        <f t="shared" si="1"/>
        <v/>
      </c>
      <c r="B322" s="1"/>
      <c r="C322" s="1" t="str">
        <f>IF(B322="","",VLOOKUP(B322,Projects!$B:$C,2,FALSE()))</f>
        <v/>
      </c>
      <c r="D322" s="1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 t="str">
        <f t="shared" si="1"/>
        <v/>
      </c>
      <c r="B323" s="1"/>
      <c r="C323" s="1" t="str">
        <f>IF(B323="","",VLOOKUP(B323,Projects!$B:$C,2,FALSE()))</f>
        <v/>
      </c>
      <c r="D323" s="1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 t="str">
        <f t="shared" si="1"/>
        <v/>
      </c>
      <c r="B324" s="1"/>
      <c r="C324" s="1" t="str">
        <f>IF(B324="","",VLOOKUP(B324,Projects!$B:$C,2,FALSE()))</f>
        <v/>
      </c>
      <c r="D324" s="1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 t="str">
        <f t="shared" si="1"/>
        <v/>
      </c>
      <c r="B325" s="1"/>
      <c r="C325" s="1" t="str">
        <f>IF(B325="","",VLOOKUP(B325,Projects!$B:$C,2,FALSE()))</f>
        <v/>
      </c>
      <c r="D325" s="1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 t="str">
        <f t="shared" si="1"/>
        <v/>
      </c>
      <c r="B326" s="1"/>
      <c r="C326" s="1" t="str">
        <f>IF(B326="","",VLOOKUP(B326,Projects!$B:$C,2,FALSE()))</f>
        <v/>
      </c>
      <c r="D326" s="1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 t="str">
        <f t="shared" si="1"/>
        <v/>
      </c>
      <c r="B327" s="1"/>
      <c r="C327" s="1" t="str">
        <f>IF(B327="","",VLOOKUP(B327,Projects!$B:$C,2,FALSE()))</f>
        <v/>
      </c>
      <c r="D327" s="1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 t="str">
        <f t="shared" si="1"/>
        <v/>
      </c>
      <c r="B328" s="1"/>
      <c r="C328" s="1" t="str">
        <f>IF(B328="","",VLOOKUP(B328,Projects!$B:$C,2,FALSE()))</f>
        <v/>
      </c>
      <c r="D328" s="1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 t="str">
        <f t="shared" si="1"/>
        <v/>
      </c>
      <c r="B329" s="1"/>
      <c r="C329" s="1" t="str">
        <f>IF(B329="","",VLOOKUP(B329,Projects!$B:$C,2,FALSE()))</f>
        <v/>
      </c>
      <c r="D329" s="1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 t="str">
        <f t="shared" si="1"/>
        <v/>
      </c>
      <c r="B330" s="1"/>
      <c r="C330" s="1" t="str">
        <f>IF(B330="","",VLOOKUP(B330,Projects!$B:$C,2,FALSE()))</f>
        <v/>
      </c>
      <c r="D330" s="1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 t="str">
        <f t="shared" si="1"/>
        <v/>
      </c>
      <c r="B331" s="1"/>
      <c r="C331" s="1" t="str">
        <f>IF(B331="","",VLOOKUP(B331,Projects!$B:$C,2,FALSE()))</f>
        <v/>
      </c>
      <c r="D331" s="1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 t="str">
        <f t="shared" si="1"/>
        <v/>
      </c>
      <c r="B332" s="1"/>
      <c r="C332" s="1" t="str">
        <f>IF(B332="","",VLOOKUP(B332,Projects!$B:$C,2,FALSE()))</f>
        <v/>
      </c>
      <c r="D332" s="1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 t="str">
        <f t="shared" si="1"/>
        <v/>
      </c>
      <c r="B333" s="1"/>
      <c r="C333" s="1" t="str">
        <f>IF(B333="","",VLOOKUP(B333,Projects!$B:$C,2,FALSE()))</f>
        <v/>
      </c>
      <c r="D333" s="1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 t="str">
        <f t="shared" si="1"/>
        <v/>
      </c>
      <c r="B334" s="1"/>
      <c r="C334" s="1" t="str">
        <f>IF(B334="","",VLOOKUP(B334,Projects!$B:$C,2,FALSE()))</f>
        <v/>
      </c>
      <c r="D334" s="1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 t="str">
        <f t="shared" si="1"/>
        <v/>
      </c>
      <c r="B335" s="1"/>
      <c r="C335" s="1" t="str">
        <f>IF(B335="","",VLOOKUP(B335,Projects!$B:$C,2,FALSE()))</f>
        <v/>
      </c>
      <c r="D335" s="1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 t="str">
        <f t="shared" si="1"/>
        <v/>
      </c>
      <c r="B336" s="1"/>
      <c r="C336" s="1" t="str">
        <f>IF(B336="","",VLOOKUP(B336,Projects!$B:$C,2,FALSE()))</f>
        <v/>
      </c>
      <c r="D336" s="1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 t="str">
        <f t="shared" si="1"/>
        <v/>
      </c>
      <c r="B337" s="1"/>
      <c r="C337" s="1" t="str">
        <f>IF(B337="","",VLOOKUP(B337,Projects!$B:$C,2,FALSE()))</f>
        <v/>
      </c>
      <c r="D337" s="1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 t="str">
        <f t="shared" si="1"/>
        <v/>
      </c>
      <c r="B338" s="1"/>
      <c r="C338" s="1" t="str">
        <f>IF(B338="","",VLOOKUP(B338,Projects!$B:$C,2,FALSE()))</f>
        <v/>
      </c>
      <c r="D338" s="1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 t="str">
        <f t="shared" si="1"/>
        <v/>
      </c>
      <c r="B339" s="1"/>
      <c r="C339" s="1" t="str">
        <f>IF(B339="","",VLOOKUP(B339,Projects!$B:$C,2,FALSE()))</f>
        <v/>
      </c>
      <c r="D339" s="1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 t="str">
        <f t="shared" si="1"/>
        <v/>
      </c>
      <c r="B340" s="1"/>
      <c r="C340" s="1" t="str">
        <f>IF(B340="","",VLOOKUP(B340,Projects!$B:$C,2,FALSE()))</f>
        <v/>
      </c>
      <c r="D340" s="1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 t="str">
        <f t="shared" si="1"/>
        <v/>
      </c>
      <c r="B341" s="1"/>
      <c r="C341" s="1" t="str">
        <f>IF(B341="","",VLOOKUP(B341,Projects!$B:$C,2,FALSE()))</f>
        <v/>
      </c>
      <c r="D341" s="1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 t="str">
        <f t="shared" si="1"/>
        <v/>
      </c>
      <c r="B342" s="1"/>
      <c r="C342" s="1" t="str">
        <f>IF(B342="","",VLOOKUP(B342,Projects!$B:$C,2,FALSE()))</f>
        <v/>
      </c>
      <c r="D342" s="1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 t="str">
        <f t="shared" si="1"/>
        <v/>
      </c>
      <c r="B343" s="1"/>
      <c r="C343" s="1" t="str">
        <f>IF(B343="","",VLOOKUP(B343,Projects!$B:$C,2,FALSE()))</f>
        <v/>
      </c>
      <c r="D343" s="1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 t="str">
        <f t="shared" si="1"/>
        <v/>
      </c>
      <c r="B344" s="1"/>
      <c r="C344" s="1" t="str">
        <f>IF(B344="","",VLOOKUP(B344,Projects!$B:$C,2,FALSE()))</f>
        <v/>
      </c>
      <c r="D344" s="1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 t="str">
        <f t="shared" si="1"/>
        <v/>
      </c>
      <c r="B345" s="1"/>
      <c r="C345" s="1" t="str">
        <f>IF(B345="","",VLOOKUP(B345,Projects!$B:$C,2,FALSE()))</f>
        <v/>
      </c>
      <c r="D345" s="1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 t="str">
        <f t="shared" si="1"/>
        <v/>
      </c>
      <c r="B346" s="1"/>
      <c r="C346" s="1" t="str">
        <f>IF(B346="","",VLOOKUP(B346,Projects!$B:$C,2,FALSE()))</f>
        <v/>
      </c>
      <c r="D346" s="1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 t="str">
        <f t="shared" si="1"/>
        <v/>
      </c>
      <c r="B347" s="1"/>
      <c r="C347" s="1" t="str">
        <f>IF(B347="","",VLOOKUP(B347,Projects!$B:$C,2,FALSE()))</f>
        <v/>
      </c>
      <c r="D347" s="1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 t="str">
        <f t="shared" si="1"/>
        <v/>
      </c>
      <c r="B348" s="1"/>
      <c r="C348" s="1" t="str">
        <f>IF(B348="","",VLOOKUP(B348,Projects!$B:$C,2,FALSE()))</f>
        <v/>
      </c>
      <c r="D348" s="1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 t="str">
        <f t="shared" si="1"/>
        <v/>
      </c>
      <c r="B349" s="1"/>
      <c r="C349" s="1" t="str">
        <f>IF(B349="","",VLOOKUP(B349,Projects!$B:$C,2,FALSE()))</f>
        <v/>
      </c>
      <c r="D349" s="1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 t="str">
        <f t="shared" si="1"/>
        <v/>
      </c>
      <c r="B350" s="1"/>
      <c r="C350" s="1" t="str">
        <f>IF(B350="","",VLOOKUP(B350,Projects!$B:$C,2,FALSE()))</f>
        <v/>
      </c>
      <c r="D350" s="1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 t="str">
        <f t="shared" si="1"/>
        <v/>
      </c>
      <c r="B351" s="1"/>
      <c r="C351" s="1" t="str">
        <f>IF(B351="","",VLOOKUP(B351,Projects!$B:$C,2,FALSE()))</f>
        <v/>
      </c>
      <c r="D351" s="1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 t="str">
        <f t="shared" si="1"/>
        <v/>
      </c>
      <c r="B352" s="1"/>
      <c r="C352" s="1" t="str">
        <f>IF(B352="","",VLOOKUP(B352,Projects!$B:$C,2,FALSE()))</f>
        <v/>
      </c>
      <c r="D352" s="1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 t="str">
        <f t="shared" si="1"/>
        <v/>
      </c>
      <c r="B353" s="1"/>
      <c r="C353" s="1" t="str">
        <f>IF(B353="","",VLOOKUP(B353,Projects!$B:$C,2,FALSE()))</f>
        <v/>
      </c>
      <c r="D353" s="1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 t="str">
        <f t="shared" si="1"/>
        <v/>
      </c>
      <c r="B354" s="1"/>
      <c r="C354" s="1" t="str">
        <f>IF(B354="","",VLOOKUP(B354,Projects!$B:$C,2,FALSE()))</f>
        <v/>
      </c>
      <c r="D354" s="1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 t="str">
        <f t="shared" si="1"/>
        <v/>
      </c>
      <c r="B355" s="1"/>
      <c r="C355" s="1" t="str">
        <f>IF(B355="","",VLOOKUP(B355,Projects!$B:$C,2,FALSE()))</f>
        <v/>
      </c>
      <c r="D355" s="1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 t="str">
        <f t="shared" si="1"/>
        <v/>
      </c>
      <c r="B356" s="1"/>
      <c r="C356" s="1" t="str">
        <f>IF(B356="","",VLOOKUP(B356,Projects!$B:$C,2,FALSE()))</f>
        <v/>
      </c>
      <c r="D356" s="1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 t="str">
        <f t="shared" si="1"/>
        <v/>
      </c>
      <c r="B357" s="1"/>
      <c r="C357" s="1" t="str">
        <f>IF(B357="","",VLOOKUP(B357,Projects!$B:$C,2,FALSE()))</f>
        <v/>
      </c>
      <c r="D357" s="1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 t="str">
        <f t="shared" si="1"/>
        <v/>
      </c>
      <c r="B358" s="1"/>
      <c r="C358" s="1" t="str">
        <f>IF(B358="","",VLOOKUP(B358,Projects!$B:$C,2,FALSE()))</f>
        <v/>
      </c>
      <c r="D358" s="1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 t="str">
        <f t="shared" si="1"/>
        <v/>
      </c>
      <c r="B359" s="1"/>
      <c r="C359" s="1" t="str">
        <f>IF(B359="","",VLOOKUP(B359,Projects!$B:$C,2,FALSE()))</f>
        <v/>
      </c>
      <c r="D359" s="1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 t="str">
        <f t="shared" si="1"/>
        <v/>
      </c>
      <c r="B360" s="1"/>
      <c r="C360" s="1" t="str">
        <f>IF(B360="","",VLOOKUP(B360,Projects!$B:$C,2,FALSE()))</f>
        <v/>
      </c>
      <c r="D360" s="1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 t="str">
        <f t="shared" si="1"/>
        <v/>
      </c>
      <c r="B361" s="1"/>
      <c r="C361" s="1" t="str">
        <f>IF(B361="","",VLOOKUP(B361,Projects!$B:$C,2,FALSE()))</f>
        <v/>
      </c>
      <c r="D361" s="1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 t="str">
        <f t="shared" si="1"/>
        <v/>
      </c>
      <c r="B362" s="1"/>
      <c r="C362" s="1" t="str">
        <f>IF(B362="","",VLOOKUP(B362,Projects!$B:$C,2,FALSE()))</f>
        <v/>
      </c>
      <c r="D362" s="1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 t="str">
        <f t="shared" si="1"/>
        <v/>
      </c>
      <c r="B363" s="1"/>
      <c r="C363" s="1" t="str">
        <f>IF(B363="","",VLOOKUP(B363,Projects!$B:$C,2,FALSE()))</f>
        <v/>
      </c>
      <c r="D363" s="1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 t="str">
        <f t="shared" si="1"/>
        <v/>
      </c>
      <c r="B364" s="1"/>
      <c r="C364" s="1" t="str">
        <f>IF(B364="","",VLOOKUP(B364,Projects!$B:$C,2,FALSE()))</f>
        <v/>
      </c>
      <c r="D364" s="1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 t="str">
        <f t="shared" si="1"/>
        <v/>
      </c>
      <c r="B365" s="1"/>
      <c r="C365" s="1" t="str">
        <f>IF(B365="","",VLOOKUP(B365,Projects!$B:$C,2,FALSE()))</f>
        <v/>
      </c>
      <c r="D365" s="1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 t="str">
        <f t="shared" si="1"/>
        <v/>
      </c>
      <c r="B366" s="1"/>
      <c r="C366" s="1" t="str">
        <f>IF(B366="","",VLOOKUP(B366,Projects!$B:$C,2,FALSE()))</f>
        <v/>
      </c>
      <c r="D366" s="1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 t="str">
        <f t="shared" si="1"/>
        <v/>
      </c>
      <c r="B367" s="1"/>
      <c r="C367" s="1" t="str">
        <f>IF(B367="","",VLOOKUP(B367,Projects!$B:$C,2,FALSE()))</f>
        <v/>
      </c>
      <c r="D367" s="1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 t="str">
        <f t="shared" si="1"/>
        <v/>
      </c>
      <c r="B368" s="1"/>
      <c r="C368" s="1" t="str">
        <f>IF(B368="","",VLOOKUP(B368,Projects!$B:$C,2,FALSE()))</f>
        <v/>
      </c>
      <c r="D368" s="1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 t="str">
        <f t="shared" si="1"/>
        <v/>
      </c>
      <c r="B369" s="1"/>
      <c r="C369" s="1" t="str">
        <f>IF(B369="","",VLOOKUP(B369,Projects!$B:$C,2,FALSE()))</f>
        <v/>
      </c>
      <c r="D369" s="1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 t="str">
        <f t="shared" si="1"/>
        <v/>
      </c>
      <c r="B370" s="1"/>
      <c r="C370" s="1" t="str">
        <f>IF(B370="","",VLOOKUP(B370,Projects!$B:$C,2,FALSE()))</f>
        <v/>
      </c>
      <c r="D370" s="1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 t="str">
        <f t="shared" si="1"/>
        <v/>
      </c>
      <c r="B371" s="1"/>
      <c r="C371" s="1" t="str">
        <f>IF(B371="","",VLOOKUP(B371,Projects!$B:$C,2,FALSE()))</f>
        <v/>
      </c>
      <c r="D371" s="1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 t="str">
        <f t="shared" si="1"/>
        <v/>
      </c>
      <c r="B372" s="1"/>
      <c r="C372" s="1" t="str">
        <f>IF(B372="","",VLOOKUP(B372,Projects!$B:$C,2,FALSE()))</f>
        <v/>
      </c>
      <c r="D372" s="1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 t="str">
        <f t="shared" si="1"/>
        <v/>
      </c>
      <c r="B373" s="1"/>
      <c r="C373" s="1" t="str">
        <f>IF(B373="","",VLOOKUP(B373,Projects!$B:$C,2,FALSE()))</f>
        <v/>
      </c>
      <c r="D373" s="1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 t="str">
        <f t="shared" si="1"/>
        <v/>
      </c>
      <c r="B374" s="1"/>
      <c r="C374" s="1" t="str">
        <f>IF(B374="","",VLOOKUP(B374,Projects!$B:$C,2,FALSE()))</f>
        <v/>
      </c>
      <c r="D374" s="1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 t="str">
        <f t="shared" si="1"/>
        <v/>
      </c>
      <c r="B375" s="1"/>
      <c r="C375" s="1" t="str">
        <f>IF(B375="","",VLOOKUP(B375,Projects!$B:$C,2,FALSE()))</f>
        <v/>
      </c>
      <c r="D375" s="1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 t="str">
        <f t="shared" si="1"/>
        <v/>
      </c>
      <c r="B376" s="1"/>
      <c r="C376" s="1" t="str">
        <f>IF(B376="","",VLOOKUP(B376,Projects!$B:$C,2,FALSE()))</f>
        <v/>
      </c>
      <c r="D376" s="1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 t="str">
        <f t="shared" si="1"/>
        <v/>
      </c>
      <c r="B377" s="1"/>
      <c r="C377" s="1" t="str">
        <f>IF(B377="","",VLOOKUP(B377,Projects!$B:$C,2,FALSE()))</f>
        <v/>
      </c>
      <c r="D377" s="1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 t="str">
        <f t="shared" si="1"/>
        <v/>
      </c>
      <c r="B378" s="1"/>
      <c r="C378" s="1" t="str">
        <f>IF(B378="","",VLOOKUP(B378,Projects!$B:$C,2,FALSE()))</f>
        <v/>
      </c>
      <c r="D378" s="1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 t="str">
        <f t="shared" si="1"/>
        <v/>
      </c>
      <c r="B379" s="1"/>
      <c r="C379" s="1" t="str">
        <f>IF(B379="","",VLOOKUP(B379,Projects!$B:$C,2,FALSE()))</f>
        <v/>
      </c>
      <c r="D379" s="1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 t="str">
        <f t="shared" si="1"/>
        <v/>
      </c>
      <c r="B380" s="1"/>
      <c r="C380" s="1" t="str">
        <f>IF(B380="","",VLOOKUP(B380,Projects!$B:$C,2,FALSE()))</f>
        <v/>
      </c>
      <c r="D380" s="1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 t="str">
        <f t="shared" si="1"/>
        <v/>
      </c>
      <c r="B381" s="1"/>
      <c r="C381" s="1" t="str">
        <f>IF(B381="","",VLOOKUP(B381,Projects!$B:$C,2,FALSE()))</f>
        <v/>
      </c>
      <c r="D381" s="1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 t="str">
        <f t="shared" si="1"/>
        <v/>
      </c>
      <c r="B382" s="1"/>
      <c r="C382" s="1" t="str">
        <f>IF(B382="","",VLOOKUP(B382,Projects!$B:$C,2,FALSE()))</f>
        <v/>
      </c>
      <c r="D382" s="1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 t="str">
        <f t="shared" si="1"/>
        <v/>
      </c>
      <c r="B383" s="1"/>
      <c r="C383" s="1" t="str">
        <f>IF(B383="","",VLOOKUP(B383,Projects!$B:$C,2,FALSE()))</f>
        <v/>
      </c>
      <c r="D383" s="1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 t="str">
        <f t="shared" si="1"/>
        <v/>
      </c>
      <c r="B384" s="1"/>
      <c r="C384" s="1" t="str">
        <f>IF(B384="","",VLOOKUP(B384,Projects!$B:$C,2,FALSE()))</f>
        <v/>
      </c>
      <c r="D384" s="1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 t="str">
        <f t="shared" si="1"/>
        <v/>
      </c>
      <c r="B385" s="1"/>
      <c r="C385" s="1" t="str">
        <f>IF(B385="","",VLOOKUP(B385,Projects!$B:$C,2,FALSE()))</f>
        <v/>
      </c>
      <c r="D385" s="1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 t="str">
        <f t="shared" si="1"/>
        <v/>
      </c>
      <c r="B386" s="1"/>
      <c r="C386" s="1" t="str">
        <f>IF(B386="","",VLOOKUP(B386,Projects!$B:$C,2,FALSE()))</f>
        <v/>
      </c>
      <c r="D386" s="1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 t="str">
        <f t="shared" si="1"/>
        <v/>
      </c>
      <c r="B387" s="1"/>
      <c r="C387" s="1" t="str">
        <f>IF(B387="","",VLOOKUP(B387,Projects!$B:$C,2,FALSE()))</f>
        <v/>
      </c>
      <c r="D387" s="1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 t="str">
        <f t="shared" si="1"/>
        <v/>
      </c>
      <c r="B388" s="1"/>
      <c r="C388" s="1" t="str">
        <f>IF(B388="","",VLOOKUP(B388,Projects!$B:$C,2,FALSE()))</f>
        <v/>
      </c>
      <c r="D388" s="1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 t="str">
        <f t="shared" si="1"/>
        <v/>
      </c>
      <c r="B389" s="1"/>
      <c r="C389" s="1" t="str">
        <f>IF(B389="","",VLOOKUP(B389,Projects!$B:$C,2,FALSE()))</f>
        <v/>
      </c>
      <c r="D389" s="1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 t="str">
        <f t="shared" si="1"/>
        <v/>
      </c>
      <c r="B390" s="1"/>
      <c r="C390" s="1" t="str">
        <f>IF(B390="","",VLOOKUP(B390,Projects!$B:$C,2,FALSE()))</f>
        <v/>
      </c>
      <c r="D390" s="1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 t="str">
        <f t="shared" si="1"/>
        <v/>
      </c>
      <c r="B391" s="1"/>
      <c r="C391" s="1" t="str">
        <f>IF(B391="","",VLOOKUP(B391,Projects!$B:$C,2,FALSE()))</f>
        <v/>
      </c>
      <c r="D391" s="1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 t="str">
        <f t="shared" si="1"/>
        <v/>
      </c>
      <c r="B392" s="1"/>
      <c r="C392" s="1" t="str">
        <f>IF(B392="","",VLOOKUP(B392,Projects!$B:$C,2,FALSE()))</f>
        <v/>
      </c>
      <c r="D392" s="1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 t="str">
        <f t="shared" si="1"/>
        <v/>
      </c>
      <c r="B393" s="1"/>
      <c r="C393" s="1" t="str">
        <f>IF(B393="","",VLOOKUP(B393,Projects!$B:$C,2,FALSE()))</f>
        <v/>
      </c>
      <c r="D393" s="1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 t="str">
        <f t="shared" si="1"/>
        <v/>
      </c>
      <c r="B394" s="1"/>
      <c r="C394" s="1" t="str">
        <f>IF(B394="","",VLOOKUP(B394,Projects!$B:$C,2,FALSE()))</f>
        <v/>
      </c>
      <c r="D394" s="1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 t="str">
        <f t="shared" si="1"/>
        <v/>
      </c>
      <c r="B395" s="1"/>
      <c r="C395" s="1" t="str">
        <f>IF(B395="","",VLOOKUP(B395,Projects!$B:$C,2,FALSE()))</f>
        <v/>
      </c>
      <c r="D395" s="1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 t="str">
        <f t="shared" si="1"/>
        <v/>
      </c>
      <c r="B396" s="1"/>
      <c r="C396" s="1" t="str">
        <f>IF(B396="","",VLOOKUP(B396,Projects!$B:$C,2,FALSE()))</f>
        <v/>
      </c>
      <c r="D396" s="1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 t="str">
        <f t="shared" si="1"/>
        <v/>
      </c>
      <c r="B397" s="1"/>
      <c r="C397" s="1" t="str">
        <f>IF(B397="","",VLOOKUP(B397,Projects!$B:$C,2,FALSE()))</f>
        <v/>
      </c>
      <c r="D397" s="1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 t="str">
        <f t="shared" si="1"/>
        <v/>
      </c>
      <c r="B398" s="1"/>
      <c r="C398" s="1" t="str">
        <f>IF(B398="","",VLOOKUP(B398,Projects!$B:$C,2,FALSE()))</f>
        <v/>
      </c>
      <c r="D398" s="1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 t="str">
        <f t="shared" si="1"/>
        <v/>
      </c>
      <c r="B399" s="1"/>
      <c r="C399" s="1" t="str">
        <f>IF(B399="","",VLOOKUP(B399,Projects!$B:$C,2,FALSE()))</f>
        <v/>
      </c>
      <c r="D399" s="1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 t="str">
        <f t="shared" si="1"/>
        <v/>
      </c>
      <c r="B400" s="1"/>
      <c r="C400" s="1" t="str">
        <f>IF(B400="","",VLOOKUP(B400,Projects!$B:$C,2,FALSE()))</f>
        <v/>
      </c>
      <c r="D400" s="1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 t="str">
        <f t="shared" si="1"/>
        <v/>
      </c>
      <c r="B401" s="1"/>
      <c r="C401" s="1" t="str">
        <f>IF(B401="","",VLOOKUP(B401,Projects!$B:$C,2,FALSE()))</f>
        <v/>
      </c>
      <c r="D401" s="1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 t="str">
        <f t="shared" si="1"/>
        <v/>
      </c>
      <c r="B402" s="1"/>
      <c r="C402" s="1" t="str">
        <f>IF(B402="","",VLOOKUP(B402,Projects!$B:$C,2,FALSE()))</f>
        <v/>
      </c>
      <c r="D402" s="1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 t="str">
        <f t="shared" si="1"/>
        <v/>
      </c>
      <c r="B403" s="1"/>
      <c r="C403" s="1" t="str">
        <f>IF(B403="","",VLOOKUP(B403,Projects!$B:$C,2,FALSE()))</f>
        <v/>
      </c>
      <c r="D403" s="1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 t="str">
        <f t="shared" si="1"/>
        <v/>
      </c>
      <c r="B404" s="1"/>
      <c r="C404" s="1" t="str">
        <f>IF(B404="","",VLOOKUP(B404,Projects!$B:$C,2,FALSE()))</f>
        <v/>
      </c>
      <c r="D404" s="1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 t="str">
        <f t="shared" si="1"/>
        <v/>
      </c>
      <c r="B405" s="1"/>
      <c r="C405" s="1" t="str">
        <f>IF(B405="","",VLOOKUP(B405,Projects!$B:$C,2,FALSE()))</f>
        <v/>
      </c>
      <c r="D405" s="1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 t="str">
        <f t="shared" si="1"/>
        <v/>
      </c>
      <c r="B406" s="1"/>
      <c r="C406" s="1" t="str">
        <f>IF(B406="","",VLOOKUP(B406,Projects!$B:$C,2,FALSE()))</f>
        <v/>
      </c>
      <c r="D406" s="1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 t="str">
        <f t="shared" si="1"/>
        <v/>
      </c>
      <c r="B407" s="1"/>
      <c r="C407" s="1" t="str">
        <f>IF(B407="","",VLOOKUP(B407,Projects!$B:$C,2,FALSE()))</f>
        <v/>
      </c>
      <c r="D407" s="1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 t="str">
        <f t="shared" si="1"/>
        <v/>
      </c>
      <c r="B408" s="1"/>
      <c r="C408" s="1" t="str">
        <f>IF(B408="","",VLOOKUP(B408,Projects!$B:$C,2,FALSE()))</f>
        <v/>
      </c>
      <c r="D408" s="1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 t="str">
        <f t="shared" si="1"/>
        <v/>
      </c>
      <c r="B409" s="1"/>
      <c r="C409" s="1" t="str">
        <f>IF(B409="","",VLOOKUP(B409,Projects!$B:$C,2,FALSE()))</f>
        <v/>
      </c>
      <c r="D409" s="1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 t="str">
        <f t="shared" si="1"/>
        <v/>
      </c>
      <c r="B410" s="1"/>
      <c r="C410" s="1" t="str">
        <f>IF(B410="","",VLOOKUP(B410,Projects!$B:$C,2,FALSE()))</f>
        <v/>
      </c>
      <c r="D410" s="1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 t="str">
        <f t="shared" si="1"/>
        <v/>
      </c>
      <c r="B411" s="1"/>
      <c r="C411" s="1" t="str">
        <f>IF(B411="","",VLOOKUP(B411,Projects!$B:$C,2,FALSE()))</f>
        <v/>
      </c>
      <c r="D411" s="1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 t="str">
        <f t="shared" si="1"/>
        <v/>
      </c>
      <c r="B412" s="1"/>
      <c r="C412" s="1" t="str">
        <f>IF(B412="","",VLOOKUP(B412,Projects!$B:$C,2,FALSE()))</f>
        <v/>
      </c>
      <c r="D412" s="1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 t="str">
        <f t="shared" si="1"/>
        <v/>
      </c>
      <c r="B413" s="1"/>
      <c r="C413" s="1" t="str">
        <f>IF(B413="","",VLOOKUP(B413,Projects!$B:$C,2,FALSE()))</f>
        <v/>
      </c>
      <c r="D413" s="1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 t="str">
        <f t="shared" si="1"/>
        <v/>
      </c>
      <c r="B414" s="1"/>
      <c r="C414" s="1" t="str">
        <f>IF(B414="","",VLOOKUP(B414,Projects!$B:$C,2,FALSE()))</f>
        <v/>
      </c>
      <c r="D414" s="1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 t="str">
        <f t="shared" si="1"/>
        <v/>
      </c>
      <c r="B415" s="1"/>
      <c r="C415" s="1" t="str">
        <f>IF(B415="","",VLOOKUP(B415,Projects!$B:$C,2,FALSE()))</f>
        <v/>
      </c>
      <c r="D415" s="1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 t="str">
        <f t="shared" si="1"/>
        <v/>
      </c>
      <c r="B416" s="1"/>
      <c r="C416" s="1" t="str">
        <f>IF(B416="","",VLOOKUP(B416,Projects!$B:$C,2,FALSE()))</f>
        <v/>
      </c>
      <c r="D416" s="1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 t="str">
        <f t="shared" si="1"/>
        <v/>
      </c>
      <c r="B417" s="1"/>
      <c r="C417" s="1" t="str">
        <f>IF(B417="","",VLOOKUP(B417,Projects!$B:$C,2,FALSE()))</f>
        <v/>
      </c>
      <c r="D417" s="1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 t="str">
        <f t="shared" si="1"/>
        <v/>
      </c>
      <c r="B418" s="1"/>
      <c r="C418" s="1" t="str">
        <f>IF(B418="","",VLOOKUP(B418,Projects!$B:$C,2,FALSE()))</f>
        <v/>
      </c>
      <c r="D418" s="1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 t="str">
        <f t="shared" si="1"/>
        <v/>
      </c>
      <c r="B419" s="1"/>
      <c r="C419" s="1" t="str">
        <f>IF(B419="","",VLOOKUP(B419,Projects!$B:$C,2,FALSE()))</f>
        <v/>
      </c>
      <c r="D419" s="1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 t="str">
        <f t="shared" si="1"/>
        <v/>
      </c>
      <c r="B420" s="1"/>
      <c r="C420" s="1" t="str">
        <f>IF(B420="","",VLOOKUP(B420,Projects!$B:$C,2,FALSE()))</f>
        <v/>
      </c>
      <c r="D420" s="1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 t="str">
        <f t="shared" si="1"/>
        <v/>
      </c>
      <c r="B421" s="1"/>
      <c r="C421" s="1" t="str">
        <f>IF(B421="","",VLOOKUP(B421,Projects!$B:$C,2,FALSE()))</f>
        <v/>
      </c>
      <c r="D421" s="1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 t="str">
        <f t="shared" si="1"/>
        <v/>
      </c>
      <c r="B422" s="1"/>
      <c r="C422" s="1" t="str">
        <f>IF(B422="","",VLOOKUP(B422,Projects!$B:$C,2,FALSE()))</f>
        <v/>
      </c>
      <c r="D422" s="1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 t="str">
        <f t="shared" si="1"/>
        <v/>
      </c>
      <c r="B423" s="1"/>
      <c r="C423" s="1" t="str">
        <f>IF(B423="","",VLOOKUP(B423,Projects!$B:$C,2,FALSE()))</f>
        <v/>
      </c>
      <c r="D423" s="1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 t="str">
        <f t="shared" si="1"/>
        <v/>
      </c>
      <c r="B424" s="1"/>
      <c r="C424" s="1" t="str">
        <f>IF(B424="","",VLOOKUP(B424,Projects!$B:$C,2,FALSE()))</f>
        <v/>
      </c>
      <c r="D424" s="1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 t="str">
        <f t="shared" si="1"/>
        <v/>
      </c>
      <c r="B425" s="1"/>
      <c r="C425" s="1" t="str">
        <f>IF(B425="","",VLOOKUP(B425,Projects!$B:$C,2,FALSE()))</f>
        <v/>
      </c>
      <c r="D425" s="1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 t="str">
        <f t="shared" si="1"/>
        <v/>
      </c>
      <c r="B426" s="1"/>
      <c r="C426" s="1" t="str">
        <f>IF(B426="","",VLOOKUP(B426,Projects!$B:$C,2,FALSE()))</f>
        <v/>
      </c>
      <c r="D426" s="1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 t="str">
        <f t="shared" si="1"/>
        <v/>
      </c>
      <c r="B427" s="1"/>
      <c r="C427" s="1" t="str">
        <f>IF(B427="","",VLOOKUP(B427,Projects!$B:$C,2,FALSE()))</f>
        <v/>
      </c>
      <c r="D427" s="1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 t="str">
        <f t="shared" si="1"/>
        <v/>
      </c>
      <c r="B428" s="1"/>
      <c r="C428" s="1" t="str">
        <f>IF(B428="","",VLOOKUP(B428,Projects!$B:$C,2,FALSE()))</f>
        <v/>
      </c>
      <c r="D428" s="1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 t="str">
        <f t="shared" si="1"/>
        <v/>
      </c>
      <c r="B429" s="1"/>
      <c r="C429" s="1" t="str">
        <f>IF(B429="","",VLOOKUP(B429,Projects!$B:$C,2,FALSE()))</f>
        <v/>
      </c>
      <c r="D429" s="1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 t="str">
        <f t="shared" si="1"/>
        <v/>
      </c>
      <c r="B430" s="1"/>
      <c r="C430" s="1" t="str">
        <f>IF(B430="","",VLOOKUP(B430,Projects!$B:$C,2,FALSE()))</f>
        <v/>
      </c>
      <c r="D430" s="1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 t="str">
        <f t="shared" si="1"/>
        <v/>
      </c>
      <c r="B431" s="1"/>
      <c r="C431" s="1" t="str">
        <f>IF(B431="","",VLOOKUP(B431,Projects!$B:$C,2,FALSE()))</f>
        <v/>
      </c>
      <c r="D431" s="1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 t="str">
        <f t="shared" si="1"/>
        <v/>
      </c>
      <c r="B432" s="1"/>
      <c r="C432" s="1" t="str">
        <f>IF(B432="","",VLOOKUP(B432,Projects!$B:$C,2,FALSE()))</f>
        <v/>
      </c>
      <c r="D432" s="1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 t="str">
        <f t="shared" si="1"/>
        <v/>
      </c>
      <c r="B433" s="1"/>
      <c r="C433" s="1" t="str">
        <f>IF(B433="","",VLOOKUP(B433,Projects!$B:$C,2,FALSE()))</f>
        <v/>
      </c>
      <c r="D433" s="1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 t="str">
        <f t="shared" si="1"/>
        <v/>
      </c>
      <c r="B434" s="1"/>
      <c r="C434" s="1" t="str">
        <f>IF(B434="","",VLOOKUP(B434,Projects!$B:$C,2,FALSE()))</f>
        <v/>
      </c>
      <c r="D434" s="1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 t="str">
        <f t="shared" si="1"/>
        <v/>
      </c>
      <c r="B435" s="1"/>
      <c r="C435" s="1" t="str">
        <f>IF(B435="","",VLOOKUP(B435,Projects!$B:$C,2,FALSE()))</f>
        <v/>
      </c>
      <c r="D435" s="1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 t="str">
        <f t="shared" si="1"/>
        <v/>
      </c>
      <c r="B436" s="1"/>
      <c r="C436" s="1" t="str">
        <f>IF(B436="","",VLOOKUP(B436,Projects!$B:$C,2,FALSE()))</f>
        <v/>
      </c>
      <c r="D436" s="1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 t="str">
        <f t="shared" si="1"/>
        <v/>
      </c>
      <c r="B437" s="1"/>
      <c r="C437" s="1" t="str">
        <f>IF(B437="","",VLOOKUP(B437,Projects!$B:$C,2,FALSE()))</f>
        <v/>
      </c>
      <c r="D437" s="1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 t="str">
        <f t="shared" si="1"/>
        <v/>
      </c>
      <c r="B438" s="1"/>
      <c r="C438" s="1" t="str">
        <f>IF(B438="","",VLOOKUP(B438,Projects!$B:$C,2,FALSE()))</f>
        <v/>
      </c>
      <c r="D438" s="1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 t="str">
        <f t="shared" si="1"/>
        <v/>
      </c>
      <c r="B439" s="1"/>
      <c r="C439" s="1" t="str">
        <f>IF(B439="","",VLOOKUP(B439,Projects!$B:$C,2,FALSE()))</f>
        <v/>
      </c>
      <c r="D439" s="1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 t="str">
        <f t="shared" si="1"/>
        <v/>
      </c>
      <c r="B440" s="1"/>
      <c r="C440" s="1" t="str">
        <f>IF(B440="","",VLOOKUP(B440,Projects!$B:$C,2,FALSE()))</f>
        <v/>
      </c>
      <c r="D440" s="1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 t="str">
        <f t="shared" si="1"/>
        <v/>
      </c>
      <c r="B441" s="1"/>
      <c r="C441" s="1" t="str">
        <f>IF(B441="","",VLOOKUP(B441,Projects!$B:$C,2,FALSE()))</f>
        <v/>
      </c>
      <c r="D441" s="1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 t="str">
        <f t="shared" si="1"/>
        <v/>
      </c>
      <c r="B442" s="1"/>
      <c r="C442" s="1" t="str">
        <f>IF(B442="","",VLOOKUP(B442,Projects!$B:$C,2,FALSE()))</f>
        <v/>
      </c>
      <c r="D442" s="1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 t="str">
        <f t="shared" si="1"/>
        <v/>
      </c>
      <c r="B443" s="1"/>
      <c r="C443" s="1" t="str">
        <f>IF(B443="","",VLOOKUP(B443,Projects!$B:$C,2,FALSE()))</f>
        <v/>
      </c>
      <c r="D443" s="1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 t="str">
        <f t="shared" si="1"/>
        <v/>
      </c>
      <c r="B444" s="1"/>
      <c r="C444" s="1" t="str">
        <f>IF(B444="","",VLOOKUP(B444,Projects!$B:$C,2,FALSE()))</f>
        <v/>
      </c>
      <c r="D444" s="1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 t="str">
        <f t="shared" si="1"/>
        <v/>
      </c>
      <c r="B445" s="1"/>
      <c r="C445" s="1" t="str">
        <f>IF(B445="","",VLOOKUP(B445,Projects!$B:$C,2,FALSE()))</f>
        <v/>
      </c>
      <c r="D445" s="1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 t="str">
        <f t="shared" si="1"/>
        <v/>
      </c>
      <c r="B446" s="1"/>
      <c r="C446" s="1" t="str">
        <f>IF(B446="","",VLOOKUP(B446,Projects!$B:$C,2,FALSE()))</f>
        <v/>
      </c>
      <c r="D446" s="1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 t="str">
        <f t="shared" si="1"/>
        <v/>
      </c>
      <c r="B447" s="1"/>
      <c r="C447" s="1" t="str">
        <f>IF(B447="","",VLOOKUP(B447,Projects!$B:$C,2,FALSE()))</f>
        <v/>
      </c>
      <c r="D447" s="1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 t="str">
        <f t="shared" si="1"/>
        <v/>
      </c>
      <c r="B448" s="1"/>
      <c r="C448" s="1" t="str">
        <f>IF(B448="","",VLOOKUP(B448,Projects!$B:$C,2,FALSE()))</f>
        <v/>
      </c>
      <c r="D448" s="1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 t="str">
        <f t="shared" si="1"/>
        <v/>
      </c>
      <c r="B449" s="1"/>
      <c r="C449" s="1" t="str">
        <f>IF(B449="","",VLOOKUP(B449,Projects!$B:$C,2,FALSE()))</f>
        <v/>
      </c>
      <c r="D449" s="1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 t="str">
        <f t="shared" si="1"/>
        <v/>
      </c>
      <c r="B450" s="1"/>
      <c r="C450" s="1" t="str">
        <f>IF(B450="","",VLOOKUP(B450,Projects!$B:$C,2,FALSE()))</f>
        <v/>
      </c>
      <c r="D450" s="1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 t="str">
        <f t="shared" si="1"/>
        <v/>
      </c>
      <c r="B451" s="1"/>
      <c r="C451" s="1" t="str">
        <f>IF(B451="","",VLOOKUP(B451,Projects!$B:$C,2,FALSE()))</f>
        <v/>
      </c>
      <c r="D451" s="1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 t="str">
        <f t="shared" si="1"/>
        <v/>
      </c>
      <c r="B452" s="1"/>
      <c r="C452" s="1" t="str">
        <f>IF(B452="","",VLOOKUP(B452,Projects!$B:$C,2,FALSE()))</f>
        <v/>
      </c>
      <c r="D452" s="1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 t="str">
        <f t="shared" si="1"/>
        <v/>
      </c>
      <c r="B453" s="1"/>
      <c r="C453" s="1" t="str">
        <f>IF(B453="","",VLOOKUP(B453,Projects!$B:$C,2,FALSE()))</f>
        <v/>
      </c>
      <c r="D453" s="1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 t="str">
        <f t="shared" si="1"/>
        <v/>
      </c>
      <c r="B454" s="1"/>
      <c r="C454" s="1" t="str">
        <f>IF(B454="","",VLOOKUP(B454,Projects!$B:$C,2,FALSE()))</f>
        <v/>
      </c>
      <c r="D454" s="1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 t="str">
        <f t="shared" si="1"/>
        <v/>
      </c>
      <c r="B455" s="1"/>
      <c r="C455" s="1" t="str">
        <f>IF(B455="","",VLOOKUP(B455,Projects!$B:$C,2,FALSE()))</f>
        <v/>
      </c>
      <c r="D455" s="1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 t="str">
        <f t="shared" si="1"/>
        <v/>
      </c>
      <c r="B456" s="1"/>
      <c r="C456" s="1" t="str">
        <f>IF(B456="","",VLOOKUP(B456,Projects!$B:$C,2,FALSE()))</f>
        <v/>
      </c>
      <c r="D456" s="1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 t="str">
        <f t="shared" si="1"/>
        <v/>
      </c>
      <c r="B457" s="1"/>
      <c r="C457" s="1" t="str">
        <f>IF(B457="","",VLOOKUP(B457,Projects!$B:$C,2,FALSE()))</f>
        <v/>
      </c>
      <c r="D457" s="1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 t="str">
        <f t="shared" si="1"/>
        <v/>
      </c>
      <c r="B458" s="1"/>
      <c r="C458" s="1" t="str">
        <f>IF(B458="","",VLOOKUP(B458,Projects!$B:$C,2,FALSE()))</f>
        <v/>
      </c>
      <c r="D458" s="1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 t="str">
        <f t="shared" si="1"/>
        <v/>
      </c>
      <c r="B459" s="1"/>
      <c r="C459" s="1" t="str">
        <f>IF(B459="","",VLOOKUP(B459,Projects!$B:$C,2,FALSE()))</f>
        <v/>
      </c>
      <c r="D459" s="1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 t="str">
        <f t="shared" si="1"/>
        <v/>
      </c>
      <c r="B460" s="1"/>
      <c r="C460" s="1" t="str">
        <f>IF(B460="","",VLOOKUP(B460,Projects!$B:$C,2,FALSE()))</f>
        <v/>
      </c>
      <c r="D460" s="1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 t="str">
        <f t="shared" si="1"/>
        <v/>
      </c>
      <c r="B461" s="1"/>
      <c r="C461" s="1" t="str">
        <f>IF(B461="","",VLOOKUP(B461,Projects!$B:$C,2,FALSE()))</f>
        <v/>
      </c>
      <c r="D461" s="1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 t="str">
        <f t="shared" si="1"/>
        <v/>
      </c>
      <c r="B462" s="1"/>
      <c r="C462" s="1" t="str">
        <f>IF(B462="","",VLOOKUP(B462,Projects!$B:$C,2,FALSE()))</f>
        <v/>
      </c>
      <c r="D462" s="1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 t="str">
        <f t="shared" si="1"/>
        <v/>
      </c>
      <c r="B463" s="1"/>
      <c r="C463" s="1" t="str">
        <f>IF(B463="","",VLOOKUP(B463,Projects!$B:$C,2,FALSE()))</f>
        <v/>
      </c>
      <c r="D463" s="1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 t="str">
        <f t="shared" si="1"/>
        <v/>
      </c>
      <c r="B464" s="1"/>
      <c r="C464" s="1" t="str">
        <f>IF(B464="","",VLOOKUP(B464,Projects!$B:$C,2,FALSE()))</f>
        <v/>
      </c>
      <c r="D464" s="1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 t="str">
        <f t="shared" si="1"/>
        <v/>
      </c>
      <c r="B465" s="1"/>
      <c r="C465" s="1" t="str">
        <f>IF(B465="","",VLOOKUP(B465,Projects!$B:$C,2,FALSE()))</f>
        <v/>
      </c>
      <c r="D465" s="1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 t="str">
        <f t="shared" si="1"/>
        <v/>
      </c>
      <c r="B466" s="1"/>
      <c r="C466" s="1" t="str">
        <f>IF(B466="","",VLOOKUP(B466,Projects!$B:$C,2,FALSE()))</f>
        <v/>
      </c>
      <c r="D466" s="1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 t="str">
        <f t="shared" si="1"/>
        <v/>
      </c>
      <c r="B467" s="1"/>
      <c r="C467" s="1" t="str">
        <f>IF(B467="","",VLOOKUP(B467,Projects!$B:$C,2,FALSE()))</f>
        <v/>
      </c>
      <c r="D467" s="1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 t="str">
        <f t="shared" si="1"/>
        <v/>
      </c>
      <c r="B468" s="1"/>
      <c r="C468" s="1" t="str">
        <f>IF(B468="","",VLOOKUP(B468,Projects!$B:$C,2,FALSE()))</f>
        <v/>
      </c>
      <c r="D468" s="1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 t="str">
        <f t="shared" si="1"/>
        <v/>
      </c>
      <c r="B469" s="1"/>
      <c r="C469" s="1" t="str">
        <f>IF(B469="","",VLOOKUP(B469,Projects!$B:$C,2,FALSE()))</f>
        <v/>
      </c>
      <c r="D469" s="1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 t="str">
        <f t="shared" si="1"/>
        <v/>
      </c>
      <c r="B470" s="1"/>
      <c r="C470" s="1" t="str">
        <f>IF(B470="","",VLOOKUP(B470,Projects!$B:$C,2,FALSE()))</f>
        <v/>
      </c>
      <c r="D470" s="1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 t="str">
        <f t="shared" si="1"/>
        <v/>
      </c>
      <c r="B471" s="1"/>
      <c r="C471" s="1" t="str">
        <f>IF(B471="","",VLOOKUP(B471,Projects!$B:$C,2,FALSE()))</f>
        <v/>
      </c>
      <c r="D471" s="1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 t="str">
        <f t="shared" si="1"/>
        <v/>
      </c>
      <c r="B472" s="1"/>
      <c r="C472" s="1" t="str">
        <f>IF(B472="","",VLOOKUP(B472,Projects!$B:$C,2,FALSE()))</f>
        <v/>
      </c>
      <c r="D472" s="1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 t="str">
        <f t="shared" si="1"/>
        <v/>
      </c>
      <c r="B473" s="1"/>
      <c r="C473" s="1" t="str">
        <f>IF(B473="","",VLOOKUP(B473,Projects!$B:$C,2,FALSE()))</f>
        <v/>
      </c>
      <c r="D473" s="1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 t="str">
        <f t="shared" si="1"/>
        <v/>
      </c>
      <c r="B474" s="1"/>
      <c r="C474" s="1" t="str">
        <f>IF(B474="","",VLOOKUP(B474,Projects!$B:$C,2,FALSE()))</f>
        <v/>
      </c>
      <c r="D474" s="1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 t="str">
        <f t="shared" si="1"/>
        <v/>
      </c>
      <c r="B475" s="1"/>
      <c r="C475" s="1" t="str">
        <f>IF(B475="","",VLOOKUP(B475,Projects!$B:$C,2,FALSE()))</f>
        <v/>
      </c>
      <c r="D475" s="1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 t="str">
        <f t="shared" si="1"/>
        <v/>
      </c>
      <c r="B476" s="1"/>
      <c r="C476" s="1" t="str">
        <f>IF(B476="","",VLOOKUP(B476,Projects!$B:$C,2,FALSE()))</f>
        <v/>
      </c>
      <c r="D476" s="1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 t="str">
        <f t="shared" si="1"/>
        <v/>
      </c>
      <c r="B477" s="1"/>
      <c r="C477" s="1" t="str">
        <f>IF(B477="","",VLOOKUP(B477,Projects!$B:$C,2,FALSE()))</f>
        <v/>
      </c>
      <c r="D477" s="1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 t="str">
        <f t="shared" si="1"/>
        <v/>
      </c>
      <c r="B478" s="1"/>
      <c r="C478" s="1" t="str">
        <f>IF(B478="","",VLOOKUP(B478,Projects!$B:$C,2,FALSE()))</f>
        <v/>
      </c>
      <c r="D478" s="1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 t="str">
        <f t="shared" si="1"/>
        <v/>
      </c>
      <c r="B479" s="1"/>
      <c r="C479" s="1" t="str">
        <f>IF(B479="","",VLOOKUP(B479,Projects!$B:$C,2,FALSE()))</f>
        <v/>
      </c>
      <c r="D479" s="1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 t="str">
        <f t="shared" si="1"/>
        <v/>
      </c>
      <c r="B480" s="1"/>
      <c r="C480" s="1" t="str">
        <f>IF(B480="","",VLOOKUP(B480,Projects!$B:$C,2,FALSE()))</f>
        <v/>
      </c>
      <c r="D480" s="1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 t="str">
        <f t="shared" si="1"/>
        <v/>
      </c>
      <c r="B481" s="1"/>
      <c r="C481" s="1" t="str">
        <f>IF(B481="","",VLOOKUP(B481,Projects!$B:$C,2,FALSE()))</f>
        <v/>
      </c>
      <c r="D481" s="1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 t="str">
        <f t="shared" si="1"/>
        <v/>
      </c>
      <c r="B482" s="1"/>
      <c r="C482" s="1" t="str">
        <f>IF(B482="","",VLOOKUP(B482,Projects!$B:$C,2,FALSE()))</f>
        <v/>
      </c>
      <c r="D482" s="1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 t="str">
        <f t="shared" si="1"/>
        <v/>
      </c>
      <c r="B483" s="1"/>
      <c r="C483" s="1" t="str">
        <f>IF(B483="","",VLOOKUP(B483,Projects!$B:$C,2,FALSE()))</f>
        <v/>
      </c>
      <c r="D483" s="1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 t="str">
        <f t="shared" si="1"/>
        <v/>
      </c>
      <c r="B484" s="1"/>
      <c r="C484" s="1" t="str">
        <f>IF(B484="","",VLOOKUP(B484,Projects!$B:$C,2,FALSE()))</f>
        <v/>
      </c>
      <c r="D484" s="1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 t="str">
        <f t="shared" si="1"/>
        <v/>
      </c>
      <c r="B485" s="1"/>
      <c r="C485" s="1" t="str">
        <f>IF(B485="","",VLOOKUP(B485,Projects!$B:$C,2,FALSE()))</f>
        <v/>
      </c>
      <c r="D485" s="1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 t="str">
        <f t="shared" si="1"/>
        <v/>
      </c>
      <c r="B486" s="1"/>
      <c r="C486" s="1" t="str">
        <f>IF(B486="","",VLOOKUP(B486,Projects!$B:$C,2,FALSE()))</f>
        <v/>
      </c>
      <c r="D486" s="1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 t="str">
        <f t="shared" si="1"/>
        <v/>
      </c>
      <c r="B487" s="1"/>
      <c r="C487" s="1" t="str">
        <f>IF(B487="","",VLOOKUP(B487,Projects!$B:$C,2,FALSE()))</f>
        <v/>
      </c>
      <c r="D487" s="1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 t="str">
        <f t="shared" si="1"/>
        <v/>
      </c>
      <c r="B488" s="1"/>
      <c r="C488" s="1" t="str">
        <f>IF(B488="","",VLOOKUP(B488,Projects!$B:$C,2,FALSE()))</f>
        <v/>
      </c>
      <c r="D488" s="1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 t="str">
        <f t="shared" si="1"/>
        <v/>
      </c>
      <c r="B489" s="1"/>
      <c r="C489" s="1" t="str">
        <f>IF(B489="","",VLOOKUP(B489,Projects!$B:$C,2,FALSE()))</f>
        <v/>
      </c>
      <c r="D489" s="1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 t="str">
        <f t="shared" si="1"/>
        <v/>
      </c>
      <c r="B490" s="1"/>
      <c r="C490" s="1" t="str">
        <f>IF(B490="","",VLOOKUP(B490,Projects!$B:$C,2,FALSE()))</f>
        <v/>
      </c>
      <c r="D490" s="1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 t="str">
        <f t="shared" si="1"/>
        <v/>
      </c>
      <c r="B491" s="1"/>
      <c r="C491" s="1" t="str">
        <f>IF(B491="","",VLOOKUP(B491,Projects!$B:$C,2,FALSE()))</f>
        <v/>
      </c>
      <c r="D491" s="1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 t="str">
        <f t="shared" si="1"/>
        <v/>
      </c>
      <c r="B492" s="1"/>
      <c r="C492" s="1" t="str">
        <f>IF(B492="","",VLOOKUP(B492,Projects!$B:$C,2,FALSE()))</f>
        <v/>
      </c>
      <c r="D492" s="1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 t="str">
        <f t="shared" si="1"/>
        <v/>
      </c>
      <c r="B493" s="1"/>
      <c r="C493" s="1" t="str">
        <f>IF(B493="","",VLOOKUP(B493,Projects!$B:$C,2,FALSE()))</f>
        <v/>
      </c>
      <c r="D493" s="1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 t="str">
        <f t="shared" si="1"/>
        <v/>
      </c>
      <c r="B494" s="1"/>
      <c r="C494" s="1" t="str">
        <f>IF(B494="","",VLOOKUP(B494,Projects!$B:$C,2,FALSE()))</f>
        <v/>
      </c>
      <c r="D494" s="1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 t="str">
        <f t="shared" si="1"/>
        <v/>
      </c>
      <c r="B495" s="1"/>
      <c r="C495" s="1" t="str">
        <f>IF(B495="","",VLOOKUP(B495,Projects!$B:$C,2,FALSE()))</f>
        <v/>
      </c>
      <c r="D495" s="1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 t="str">
        <f t="shared" si="1"/>
        <v/>
      </c>
      <c r="B496" s="1"/>
      <c r="C496" s="1" t="str">
        <f>IF(B496="","",VLOOKUP(B496,Projects!$B:$C,2,FALSE()))</f>
        <v/>
      </c>
      <c r="D496" s="1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 t="str">
        <f t="shared" si="1"/>
        <v/>
      </c>
      <c r="B497" s="1"/>
      <c r="C497" s="1" t="str">
        <f>IF(B497="","",VLOOKUP(B497,Projects!$B:$C,2,FALSE()))</f>
        <v/>
      </c>
      <c r="D497" s="1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 t="str">
        <f t="shared" si="1"/>
        <v/>
      </c>
      <c r="B498" s="1"/>
      <c r="C498" s="1" t="str">
        <f>IF(B498="","",VLOOKUP(B498,Projects!$B:$C,2,FALSE()))</f>
        <v/>
      </c>
      <c r="D498" s="1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 t="str">
        <f t="shared" si="1"/>
        <v/>
      </c>
      <c r="B499" s="1"/>
      <c r="C499" s="1" t="str">
        <f>IF(B499="","",VLOOKUP(B499,Projects!$B:$C,2,FALSE()))</f>
        <v/>
      </c>
      <c r="D499" s="1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 t="str">
        <f t="shared" si="1"/>
        <v/>
      </c>
      <c r="B500" s="1"/>
      <c r="C500" s="1" t="str">
        <f>IF(B500="","",VLOOKUP(B500,Projects!$B:$C,2,FALSE()))</f>
        <v/>
      </c>
      <c r="D500" s="1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 t="str">
        <f t="shared" si="1"/>
        <v/>
      </c>
      <c r="B501" s="1"/>
      <c r="C501" s="1" t="str">
        <f>IF(B501="","",VLOOKUP(B501,Projects!$B:$C,2,FALSE()))</f>
        <v/>
      </c>
      <c r="D501" s="1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ataValidations>
    <dataValidation type="list" allowBlank="1" sqref="E2:E501">
      <formula1>HR!$C$2:$C$100</formula1>
    </dataValidation>
    <dataValidation type="list" allowBlank="1" sqref="B2:B501">
      <formula1>Projects!$B$2:$B$100</formula1>
    </dataValidation>
    <dataValidation type="list" allowBlank="1" sqref="G2:G501">
      <formula1>"Open,Doing,Pending,Bug,Done"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1.86"/>
    <col customWidth="1" min="3" max="3" width="54.71"/>
    <col customWidth="1" min="4" max="10" width="20.86"/>
    <col customWidth="1" min="11" max="53" width="18.0"/>
  </cols>
  <sheetData>
    <row r="1" ht="15.0" customHeight="1">
      <c r="A1" s="12" t="s">
        <v>0</v>
      </c>
      <c r="B1" s="12" t="s">
        <v>1</v>
      </c>
      <c r="C1" s="12" t="s">
        <v>2</v>
      </c>
      <c r="D1" s="13" t="str">
        <f t="array" ref="D1">IF(INDEX(HR!$B$2:$B$100,COLUMN()-3)="","",INDEX(HR!$B$2:$B$100,COLUMN()-3))</f>
        <v>Đinh Hoàng Phú</v>
      </c>
      <c r="E1" s="13" t="str">
        <f t="array" ref="E1">IF(INDEX(HR!$B$2:$B$100,COLUMN()-3)="","",INDEX(HR!$B$2:$B$100,COLUMN()-3))</f>
        <v>Lê Trí Kiên</v>
      </c>
      <c r="F1" s="13" t="str">
        <f t="array" ref="F1">IF(INDEX(HR!$B$2:$B$100,COLUMN()-3)="","",INDEX(HR!$B$2:$B$100,COLUMN()-3))</f>
        <v>Phạm Nam Hiền</v>
      </c>
      <c r="G1" s="13" t="str">
        <f t="array" ref="G1">IF(INDEX(HR!$B$2:$B$100,COLUMN()-3)="","",INDEX(HR!$B$2:$B$100,COLUMN()-3))</f>
        <v>Vũ Đăng Khoa</v>
      </c>
      <c r="H1" s="13" t="str">
        <f t="array" ref="H1">IF(INDEX(HR!$B$2:$B$100,COLUMN()-3)="","",INDEX(HR!$B$2:$B$100,COLUMN()-3))</f>
        <v>Lê Tiến Anh</v>
      </c>
      <c r="I1" s="13" t="str">
        <f t="array" ref="I1">IF(INDEX(HR!$B$2:$B$100,COLUMN()-3)="","",INDEX(HR!$B$2:$B$100,COLUMN()-3))</f>
        <v>Lê Dương Khánh Huy</v>
      </c>
      <c r="J1" s="13" t="str">
        <f t="array" ref="J1">IF(INDEX(HR!$B$2:$B$100,COLUMN()-3)="","",INDEX(HR!$B$2:$B$100,COLUMN()-3))</f>
        <v>Tôn Thất Phúc Khánh</v>
      </c>
      <c r="K1" s="13" t="str">
        <f t="array" ref="K1">IF(INDEX(HR!$B$2:$B$100,COLUMN()-3)="","",INDEX(HR!$B$2:$B$100,COLUMN()-3))</f>
        <v/>
      </c>
      <c r="L1" s="13" t="str">
        <f t="array" ref="L1">IF(INDEX(HR!$B$2:$B$100,COLUMN()-3)="","",INDEX(HR!$B$2:$B$100,COLUMN()-3))</f>
        <v/>
      </c>
      <c r="M1" s="13" t="str">
        <f t="array" ref="M1">IF(INDEX(HR!$B$2:$B$100,COLUMN()-3)="","",INDEX(HR!$B$2:$B$100,COLUMN()-3))</f>
        <v/>
      </c>
      <c r="N1" s="13" t="str">
        <f t="array" ref="N1">IF(INDEX(HR!$B$2:$B$100,COLUMN()-3)="","",INDEX(HR!$B$2:$B$100,COLUMN()-3))</f>
        <v/>
      </c>
      <c r="O1" s="13" t="str">
        <f t="array" ref="O1">IF(INDEX(HR!$B$2:$B$100,COLUMN()-3)="","",INDEX(HR!$B$2:$B$100,COLUMN()-3))</f>
        <v/>
      </c>
      <c r="P1" s="13" t="str">
        <f t="array" ref="P1">IF(INDEX(HR!$B$2:$B$100,COLUMN()-3)="","",INDEX(HR!$B$2:$B$100,COLUMN()-3))</f>
        <v/>
      </c>
      <c r="Q1" s="13" t="str">
        <f t="array" ref="Q1">IF(INDEX(HR!$B$2:$B$100,COLUMN()-3)="","",INDEX(HR!$B$2:$B$100,COLUMN()-3))</f>
        <v/>
      </c>
      <c r="R1" s="13" t="str">
        <f t="array" ref="R1">IF(INDEX(HR!$B$2:$B$100,COLUMN()-3)="","",INDEX(HR!$B$2:$B$100,COLUMN()-3))</f>
        <v/>
      </c>
      <c r="S1" s="13" t="str">
        <f t="array" ref="S1">IF(INDEX(HR!$B$2:$B$100,COLUMN()-3)="","",INDEX(HR!$B$2:$B$100,COLUMN()-3))</f>
        <v/>
      </c>
      <c r="T1" s="13" t="str">
        <f t="array" ref="T1">IF(INDEX(HR!$B$2:$B$100,COLUMN()-3)="","",INDEX(HR!$B$2:$B$100,COLUMN()-3))</f>
        <v/>
      </c>
      <c r="U1" s="13" t="str">
        <f t="array" ref="U1">IF(INDEX(HR!$B$2:$B$100,COLUMN()-3)="","",INDEX(HR!$B$2:$B$100,COLUMN()-3))</f>
        <v/>
      </c>
      <c r="V1" s="13" t="str">
        <f t="array" ref="V1">IF(INDEX(HR!$B$2:$B$100,COLUMN()-3)="","",INDEX(HR!$B$2:$B$100,COLUMN()-3))</f>
        <v/>
      </c>
      <c r="W1" s="13" t="str">
        <f t="array" ref="W1">IF(INDEX(HR!$B$2:$B$100,COLUMN()-3)="","",INDEX(HR!$B$2:$B$100,COLUMN()-3))</f>
        <v/>
      </c>
      <c r="X1" s="13" t="str">
        <f t="array" ref="X1">IF(INDEX(HR!$B$2:$B$100,COLUMN()-3)="","",INDEX(HR!$B$2:$B$100,COLUMN()-3))</f>
        <v/>
      </c>
      <c r="Y1" s="13" t="str">
        <f t="array" ref="Y1">IF(INDEX(HR!$B$2:$B$100,COLUMN()-3)="","",INDEX(HR!$B$2:$B$100,COLUMN()-3))</f>
        <v/>
      </c>
      <c r="Z1" s="13" t="str">
        <f t="array" ref="Z1">IF(INDEX(HR!$B$2:$B$100,COLUMN()-3)="","",INDEX(HR!$B$2:$B$100,COLUMN()-3))</f>
        <v/>
      </c>
      <c r="AA1" s="13" t="str">
        <f t="array" ref="AA1">IF(INDEX(HR!$B$2:$B$100,COLUMN()-3)="","",INDEX(HR!$B$2:$B$100,COLUMN()-3))</f>
        <v/>
      </c>
      <c r="AB1" s="13" t="str">
        <f t="array" ref="AB1">IF(INDEX(HR!$B$2:$B$100,COLUMN()-3)="","",INDEX(HR!$B$2:$B$100,COLUMN()-3))</f>
        <v/>
      </c>
      <c r="AC1" s="13" t="str">
        <f t="array" ref="AC1">IF(INDEX(HR!$B$2:$B$100,COLUMN()-3)="","",INDEX(HR!$B$2:$B$100,COLUMN()-3))</f>
        <v/>
      </c>
      <c r="AD1" s="13" t="str">
        <f t="array" ref="AD1">IF(INDEX(HR!$B$2:$B$100,COLUMN()-3)="","",INDEX(HR!$B$2:$B$100,COLUMN()-3))</f>
        <v/>
      </c>
      <c r="AE1" s="13" t="str">
        <f t="array" ref="AE1">IF(INDEX(HR!$B$2:$B$100,COLUMN()-3)="","",INDEX(HR!$B$2:$B$100,COLUMN()-3))</f>
        <v/>
      </c>
      <c r="AF1" s="13" t="str">
        <f t="array" ref="AF1">IF(INDEX(HR!$B$2:$B$100,COLUMN()-3)="","",INDEX(HR!$B$2:$B$100,COLUMN()-3))</f>
        <v/>
      </c>
      <c r="AG1" s="13" t="str">
        <f t="array" ref="AG1">IF(INDEX(HR!$B$2:$B$100,COLUMN()-3)="","",INDEX(HR!$B$2:$B$100,COLUMN()-3))</f>
        <v/>
      </c>
      <c r="AH1" s="13" t="str">
        <f t="array" ref="AH1">IF(INDEX(HR!$B$2:$B$100,COLUMN()-3)="","",INDEX(HR!$B$2:$B$100,COLUMN()-3))</f>
        <v/>
      </c>
      <c r="AI1" s="13" t="str">
        <f t="array" ref="AI1">IF(INDEX(HR!$B$2:$B$100,COLUMN()-3)="","",INDEX(HR!$B$2:$B$100,COLUMN()-3))</f>
        <v/>
      </c>
      <c r="AJ1" s="13" t="str">
        <f t="array" ref="AJ1">IF(INDEX(HR!$B$2:$B$100,COLUMN()-3)="","",INDEX(HR!$B$2:$B$100,COLUMN()-3))</f>
        <v/>
      </c>
      <c r="AK1" s="13" t="str">
        <f t="array" ref="AK1">IF(INDEX(HR!$B$2:$B$100,COLUMN()-3)="","",INDEX(HR!$B$2:$B$100,COLUMN()-3))</f>
        <v/>
      </c>
      <c r="AL1" s="13" t="str">
        <f t="array" ref="AL1">IF(INDEX(HR!$B$2:$B$100,COLUMN()-3)="","",INDEX(HR!$B$2:$B$100,COLUMN()-3))</f>
        <v/>
      </c>
      <c r="AM1" s="13" t="str">
        <f t="array" ref="AM1">IF(INDEX(HR!$B$2:$B$100,COLUMN()-3)="","",INDEX(HR!$B$2:$B$100,COLUMN()-3))</f>
        <v/>
      </c>
      <c r="AN1" s="13" t="str">
        <f t="array" ref="AN1">IF(INDEX(HR!$B$2:$B$100,COLUMN()-3)="","",INDEX(HR!$B$2:$B$100,COLUMN()-3))</f>
        <v/>
      </c>
      <c r="AO1" s="13" t="str">
        <f t="array" ref="AO1">IF(INDEX(HR!$B$2:$B$100,COLUMN()-3)="","",INDEX(HR!$B$2:$B$100,COLUMN()-3))</f>
        <v/>
      </c>
      <c r="AP1" s="13" t="str">
        <f t="array" ref="AP1">IF(INDEX(HR!$B$2:$B$100,COLUMN()-3)="","",INDEX(HR!$B$2:$B$100,COLUMN()-3))</f>
        <v/>
      </c>
      <c r="AQ1" s="13" t="str">
        <f t="array" ref="AQ1">IF(INDEX(HR!$B$2:$B$100,COLUMN()-3)="","",INDEX(HR!$B$2:$B$100,COLUMN()-3))</f>
        <v/>
      </c>
      <c r="AR1" s="13" t="str">
        <f t="array" ref="AR1">IF(INDEX(HR!$B$2:$B$100,COLUMN()-3)="","",INDEX(HR!$B$2:$B$100,COLUMN()-3))</f>
        <v/>
      </c>
      <c r="AS1" s="13" t="str">
        <f t="array" ref="AS1">IF(INDEX(HR!$B$2:$B$100,COLUMN()-3)="","",INDEX(HR!$B$2:$B$100,COLUMN()-3))</f>
        <v/>
      </c>
      <c r="AT1" s="13" t="str">
        <f t="array" ref="AT1">IF(INDEX(HR!$B$2:$B$100,COLUMN()-3)="","",INDEX(HR!$B$2:$B$100,COLUMN()-3))</f>
        <v/>
      </c>
      <c r="AU1" s="13" t="str">
        <f t="array" ref="AU1">IF(INDEX(HR!$B$2:$B$100,COLUMN()-3)="","",INDEX(HR!$B$2:$B$100,COLUMN()-3))</f>
        <v/>
      </c>
      <c r="AV1" s="13" t="str">
        <f t="array" ref="AV1">IF(INDEX(HR!$B$2:$B$100,COLUMN()-3)="","",INDEX(HR!$B$2:$B$100,COLUMN()-3))</f>
        <v/>
      </c>
      <c r="AW1" s="13" t="str">
        <f t="array" ref="AW1">IF(INDEX(HR!$B$2:$B$100,COLUMN()-3)="","",INDEX(HR!$B$2:$B$100,COLUMN()-3))</f>
        <v/>
      </c>
      <c r="AX1" s="13" t="str">
        <f t="array" ref="AX1">IF(INDEX(HR!$B$2:$B$100,COLUMN()-3)="","",INDEX(HR!$B$2:$B$100,COLUMN()-3))</f>
        <v/>
      </c>
      <c r="AY1" s="13" t="str">
        <f t="array" ref="AY1">IF(INDEX(HR!$B$2:$B$100,COLUMN()-3)="","",INDEX(HR!$B$2:$B$100,COLUMN()-3))</f>
        <v/>
      </c>
      <c r="AZ1" s="13" t="str">
        <f t="array" ref="AZ1">IF(INDEX(HR!$B$2:$B$100,COLUMN()-3)="","",INDEX(HR!$B$2:$B$100,COLUMN()-3))</f>
        <v/>
      </c>
      <c r="BA1" s="13" t="str">
        <f t="array" ref="BA1">IF(INDEX(HR!$B$2:$B$100,COLUMN()-3)="","",INDEX(HR!$B$2:$B$100,COLUMN()-3))</f>
        <v/>
      </c>
    </row>
    <row r="2" ht="15.0" customHeight="1">
      <c r="A2" s="3">
        <f>IF(Projects!A2="","",Projects!A2)</f>
        <v>1</v>
      </c>
      <c r="B2" s="1" t="str">
        <f>IF(Projects!B2="","",Projects!B2)</f>
        <v>BATERY00</v>
      </c>
      <c r="C2" s="1" t="str">
        <f>IF(Projects!C2="","",Projects!C2)</f>
        <v>Thiết kế Battery cho Robot</v>
      </c>
      <c r="D2" s="1"/>
      <c r="E2" s="1" t="s">
        <v>54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ht="15.0" customHeight="1">
      <c r="A3" s="3">
        <f>IF(Projects!A3="","",Projects!A3)</f>
        <v>2</v>
      </c>
      <c r="B3" s="1" t="str">
        <f>IF(Projects!B3="","",Projects!B3)</f>
        <v>HOTSW00</v>
      </c>
      <c r="C3" s="1" t="str">
        <f>IF(Projects!C3="","",Projects!C3)</f>
        <v>Thiết kế mạch Hot Swap cho Robot</v>
      </c>
      <c r="D3" s="1"/>
      <c r="E3" s="1" t="s">
        <v>54</v>
      </c>
      <c r="F3" s="1" t="s">
        <v>55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ht="15.0" customHeight="1">
      <c r="A4" s="3">
        <f>IF(Projects!A4="","",Projects!A4)</f>
        <v>3</v>
      </c>
      <c r="B4" s="1" t="str">
        <f>IF(Projects!B4="","",Projects!B4)</f>
        <v>EMBPC00</v>
      </c>
      <c r="C4" s="1" t="str">
        <f>IF(Projects!C4="","",Projects!C4)</f>
        <v>Thiết kế máy tính nhúng của VMO</v>
      </c>
      <c r="D4" s="1" t="s">
        <v>54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ht="15.0" customHeight="1">
      <c r="A5" s="3">
        <f>IF(Projects!A5="","",Projects!A5)</f>
        <v>4</v>
      </c>
      <c r="B5" s="1" t="str">
        <f>IF(Projects!B5="","",Projects!B5)</f>
        <v>PDU00</v>
      </c>
      <c r="C5" s="1" t="str">
        <f>IF(Projects!C5="","",Projects!C5)</f>
        <v>Thiết kế mạch Power Distribution Units cho Robot</v>
      </c>
      <c r="D5" s="1"/>
      <c r="E5" s="1" t="s">
        <v>54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ht="15.0" customHeight="1">
      <c r="A6" s="3">
        <f>IF(Projects!A6="","",Projects!A6)</f>
        <v>5</v>
      </c>
      <c r="B6" s="1" t="str">
        <f>IF(Projects!B6="","",Projects!B6)</f>
        <v>LLB00</v>
      </c>
      <c r="C6" s="1" t="str">
        <f>IF(Projects!C6="","",Projects!C6)</f>
        <v>Thiết kế mạch Low Level Board cho Robot</v>
      </c>
      <c r="D6" s="1"/>
      <c r="E6" s="1" t="s">
        <v>54</v>
      </c>
      <c r="F6" s="1" t="s">
        <v>55</v>
      </c>
      <c r="G6" s="1"/>
      <c r="H6" s="1" t="s">
        <v>54</v>
      </c>
      <c r="I6" s="1" t="s">
        <v>55</v>
      </c>
      <c r="J6" s="1" t="s">
        <v>55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ht="15.0" customHeight="1">
      <c r="A7" s="3">
        <f>IF(Projects!A7="","",Projects!A7)</f>
        <v>6</v>
      </c>
      <c r="B7" s="1" t="str">
        <f>IF(Projects!B7="","",Projects!B7)</f>
        <v>HUB00</v>
      </c>
      <c r="C7" s="1" t="str">
        <f>IF(Projects!C7="","",Projects!C7)</f>
        <v>Thiết kế Mạch Hub Ethernet USB</v>
      </c>
      <c r="D7" s="1" t="s">
        <v>54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ht="15.0" customHeight="1">
      <c r="A8" s="3">
        <f>IF(Projects!A8="","",Projects!A8)</f>
        <v>7</v>
      </c>
      <c r="B8" s="1" t="str">
        <f>IF(Projects!B8="","",Projects!B8)</f>
        <v>WHR00</v>
      </c>
      <c r="C8" s="1" t="str">
        <f>IF(Projects!C8="","",Projects!C8)</f>
        <v>Tìm và làm việc với đối tác sản xuất dây cáp điện cho Robot</v>
      </c>
      <c r="D8" s="1"/>
      <c r="E8" s="1" t="s">
        <v>54</v>
      </c>
      <c r="F8" s="1"/>
      <c r="G8" s="1"/>
      <c r="H8" s="1" t="s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ht="15.0" customHeight="1">
      <c r="A9" s="3">
        <f>IF(Projects!A9="","",Projects!A9)</f>
        <v>8</v>
      </c>
      <c r="B9" s="1" t="str">
        <f>IF(Projects!B9="","",Projects!B9)</f>
        <v>HSCR01</v>
      </c>
      <c r="C9" s="1" t="str">
        <f>IF(Projects!C9="","",Projects!C9)</f>
        <v>Thiết kế và phát triển trạm sạc pin</v>
      </c>
      <c r="D9" s="1"/>
      <c r="E9" s="1" t="s">
        <v>54</v>
      </c>
      <c r="F9" s="1" t="s">
        <v>54</v>
      </c>
      <c r="G9" s="1"/>
      <c r="H9" s="1"/>
      <c r="I9" s="1" t="s">
        <v>55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ht="15.0" customHeight="1">
      <c r="A10" s="3">
        <f>IF(Projects!A10="","",Projects!A10)</f>
        <v>9</v>
      </c>
      <c r="B10" s="1" t="str">
        <f>IF(Projects!B10="","",Projects!B10)</f>
        <v>HBR00</v>
      </c>
      <c r="C10" s="1" t="str">
        <f>IF(Projects!C10="","",Projects!C10)</f>
        <v>Phát triển bàn tay VMO</v>
      </c>
      <c r="D10" s="1"/>
      <c r="E10" s="1"/>
      <c r="F10" s="1"/>
      <c r="G10" s="1" t="s">
        <v>54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ht="15.0" customHeight="1">
      <c r="A11" s="3">
        <f>IF(Projects!A11="","",Projects!A11)</f>
        <v>10</v>
      </c>
      <c r="B11" s="1" t="str">
        <f>IF(Projects!B11="","",Projects!B11)</f>
        <v>HCR00</v>
      </c>
      <c r="C11" s="1" t="str">
        <f>IF(Projects!C11="","",Projects!C11)</f>
        <v>Phát triển tay cầm điều khiển cho Robot</v>
      </c>
      <c r="D11" s="1"/>
      <c r="E11" s="1" t="s">
        <v>54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ht="15.0" customHeight="1">
      <c r="A12" s="3" t="str">
        <f>IF(Projects!A12="","",Projects!A12)</f>
        <v/>
      </c>
      <c r="B12" s="1" t="str">
        <f>IF(Projects!B12="","",Projects!B12)</f>
        <v/>
      </c>
      <c r="C12" s="1" t="str">
        <f>IF(Projects!C12="","",Projects!C12)</f>
        <v/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ht="15.0" customHeight="1">
      <c r="A13" s="3" t="str">
        <f>IF(Projects!A13="","",Projects!A13)</f>
        <v/>
      </c>
      <c r="B13" s="1" t="str">
        <f>IF(Projects!B13="","",Projects!B13)</f>
        <v/>
      </c>
      <c r="C13" s="1" t="str">
        <f>IF(Projects!C13="","",Projects!C13)</f>
        <v/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ht="15.0" customHeight="1">
      <c r="A14" s="3" t="str">
        <f>IF(Projects!A14="","",Projects!A14)</f>
        <v/>
      </c>
      <c r="B14" s="1" t="str">
        <f>IF(Projects!B14="","",Projects!B14)</f>
        <v/>
      </c>
      <c r="C14" s="1" t="str">
        <f>IF(Projects!C14="","",Projects!C14)</f>
        <v/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ht="15.0" customHeight="1">
      <c r="A15" s="3" t="str">
        <f>IF(Projects!A15="","",Projects!A15)</f>
        <v/>
      </c>
      <c r="B15" s="1" t="str">
        <f>IF(Projects!B15="","",Projects!B15)</f>
        <v/>
      </c>
      <c r="C15" s="1" t="str">
        <f>IF(Projects!C15="","",Projects!C15)</f>
        <v/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ht="15.0" customHeight="1">
      <c r="A16" s="3" t="str">
        <f>IF(Projects!A16="","",Projects!A16)</f>
        <v/>
      </c>
      <c r="B16" s="1" t="str">
        <f>IF(Projects!B16="","",Projects!B16)</f>
        <v/>
      </c>
      <c r="C16" s="1" t="str">
        <f>IF(Projects!C16="","",Projects!C16)</f>
        <v/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ht="15.0" customHeight="1">
      <c r="A17" s="3" t="str">
        <f>IF(Projects!A17="","",Projects!A17)</f>
        <v/>
      </c>
      <c r="B17" s="1" t="str">
        <f>IF(Projects!B17="","",Projects!B17)</f>
        <v/>
      </c>
      <c r="C17" s="1" t="str">
        <f>IF(Projects!C17="","",Projects!C17)</f>
        <v/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ht="15.0" customHeight="1">
      <c r="A18" s="3" t="str">
        <f>IF(Projects!A18="","",Projects!A18)</f>
        <v/>
      </c>
      <c r="B18" s="1" t="str">
        <f>IF(Projects!B18="","",Projects!B18)</f>
        <v/>
      </c>
      <c r="C18" s="1" t="str">
        <f>IF(Projects!C18="","",Projects!C18)</f>
        <v/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ht="15.0" customHeight="1">
      <c r="A19" s="3" t="str">
        <f>IF(Projects!A19="","",Projects!A19)</f>
        <v/>
      </c>
      <c r="B19" s="1" t="str">
        <f>IF(Projects!B19="","",Projects!B19)</f>
        <v/>
      </c>
      <c r="C19" s="1" t="str">
        <f>IF(Projects!C19="","",Projects!C19)</f>
        <v/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ht="15.0" customHeight="1">
      <c r="A20" s="3" t="str">
        <f>IF(Projects!A20="","",Projects!A20)</f>
        <v/>
      </c>
      <c r="B20" s="1" t="str">
        <f>IF(Projects!B20="","",Projects!B20)</f>
        <v/>
      </c>
      <c r="C20" s="1" t="str">
        <f>IF(Projects!C20="","",Projects!C20)</f>
        <v/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ht="15.0" customHeight="1">
      <c r="A21" s="3" t="str">
        <f>IF(Projects!A21="","",Projects!A21)</f>
        <v/>
      </c>
      <c r="B21" s="1" t="str">
        <f>IF(Projects!B21="","",Projects!B21)</f>
        <v/>
      </c>
      <c r="C21" s="1" t="str">
        <f>IF(Projects!C21="","",Projects!C21)</f>
        <v/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ht="15.0" customHeight="1">
      <c r="A22" s="3" t="str">
        <f>IF(Projects!A22="","",Projects!A22)</f>
        <v/>
      </c>
      <c r="B22" s="1" t="str">
        <f>IF(Projects!B22="","",Projects!B22)</f>
        <v/>
      </c>
      <c r="C22" s="1" t="str">
        <f>IF(Projects!C22="","",Projects!C22)</f>
        <v/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ht="15.0" customHeight="1">
      <c r="A23" s="3" t="str">
        <f>IF(Projects!A23="","",Projects!A23)</f>
        <v/>
      </c>
      <c r="B23" s="1" t="str">
        <f>IF(Projects!B23="","",Projects!B23)</f>
        <v/>
      </c>
      <c r="C23" s="1" t="str">
        <f>IF(Projects!C23="","",Projects!C23)</f>
        <v/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ht="15.0" customHeight="1">
      <c r="A24" s="3" t="str">
        <f>IF(Projects!A24="","",Projects!A24)</f>
        <v/>
      </c>
      <c r="B24" s="1" t="str">
        <f>IF(Projects!B24="","",Projects!B24)</f>
        <v/>
      </c>
      <c r="C24" s="1" t="str">
        <f>IF(Projects!C24="","",Projects!C24)</f>
        <v/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ht="15.0" customHeight="1">
      <c r="A25" s="3" t="str">
        <f>IF(Projects!A25="","",Projects!A25)</f>
        <v/>
      </c>
      <c r="B25" s="1" t="str">
        <f>IF(Projects!B25="","",Projects!B25)</f>
        <v/>
      </c>
      <c r="C25" s="1" t="str">
        <f>IF(Projects!C25="","",Projects!C25)</f>
        <v/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ht="15.0" customHeight="1">
      <c r="A26" s="3" t="str">
        <f>IF(Projects!A26="","",Projects!A26)</f>
        <v/>
      </c>
      <c r="B26" s="1" t="str">
        <f>IF(Projects!B26="","",Projects!B26)</f>
        <v/>
      </c>
      <c r="C26" s="1" t="str">
        <f>IF(Projects!C26="","",Projects!C26)</f>
        <v/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ht="15.0" customHeight="1">
      <c r="A27" s="3" t="str">
        <f>IF(Projects!A27="","",Projects!A27)</f>
        <v/>
      </c>
      <c r="B27" s="1" t="str">
        <f>IF(Projects!B27="","",Projects!B27)</f>
        <v/>
      </c>
      <c r="C27" s="1" t="str">
        <f>IF(Projects!C27="","",Projects!C27)</f>
        <v/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ht="15.0" customHeight="1">
      <c r="A28" s="3" t="str">
        <f>IF(Projects!A28="","",Projects!A28)</f>
        <v/>
      </c>
      <c r="B28" s="1" t="str">
        <f>IF(Projects!B28="","",Projects!B28)</f>
        <v/>
      </c>
      <c r="C28" s="1" t="str">
        <f>IF(Projects!C28="","",Projects!C28)</f>
        <v/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ht="15.0" customHeight="1">
      <c r="A29" s="3" t="str">
        <f>IF(Projects!A29="","",Projects!A29)</f>
        <v/>
      </c>
      <c r="B29" s="1" t="str">
        <f>IF(Projects!B29="","",Projects!B29)</f>
        <v/>
      </c>
      <c r="C29" s="1" t="str">
        <f>IF(Projects!C29="","",Projects!C29)</f>
        <v/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ht="15.0" customHeight="1">
      <c r="A30" s="3" t="str">
        <f>IF(Projects!A30="","",Projects!A30)</f>
        <v/>
      </c>
      <c r="B30" s="1" t="str">
        <f>IF(Projects!B30="","",Projects!B30)</f>
        <v/>
      </c>
      <c r="C30" s="1" t="str">
        <f>IF(Projects!C30="","",Projects!C30)</f>
        <v/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ht="15.0" customHeight="1">
      <c r="A31" s="3" t="str">
        <f>IF(Projects!A31="","",Projects!A31)</f>
        <v/>
      </c>
      <c r="B31" s="1" t="str">
        <f>IF(Projects!B31="","",Projects!B31)</f>
        <v/>
      </c>
      <c r="C31" s="1" t="str">
        <f>IF(Projects!C31="","",Projects!C31)</f>
        <v/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ht="15.0" customHeight="1">
      <c r="A32" s="3" t="str">
        <f>IF(Projects!A32="","",Projects!A32)</f>
        <v/>
      </c>
      <c r="B32" s="1" t="str">
        <f>IF(Projects!B32="","",Projects!B32)</f>
        <v/>
      </c>
      <c r="C32" s="1" t="str">
        <f>IF(Projects!C32="","",Projects!C32)</f>
        <v/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ht="15.0" customHeight="1">
      <c r="A33" s="3" t="str">
        <f>IF(Projects!A33="","",Projects!A33)</f>
        <v/>
      </c>
      <c r="B33" s="1" t="str">
        <f>IF(Projects!B33="","",Projects!B33)</f>
        <v/>
      </c>
      <c r="C33" s="1" t="str">
        <f>IF(Projects!C33="","",Projects!C33)</f>
        <v/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ht="15.0" customHeight="1">
      <c r="A34" s="3" t="str">
        <f>IF(Projects!A34="","",Projects!A34)</f>
        <v/>
      </c>
      <c r="B34" s="1" t="str">
        <f>IF(Projects!B34="","",Projects!B34)</f>
        <v/>
      </c>
      <c r="C34" s="1" t="str">
        <f>IF(Projects!C34="","",Projects!C34)</f>
        <v/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ht="15.0" customHeight="1">
      <c r="A35" s="3" t="str">
        <f>IF(Projects!A35="","",Projects!A35)</f>
        <v/>
      </c>
      <c r="B35" s="1" t="str">
        <f>IF(Projects!B35="","",Projects!B35)</f>
        <v/>
      </c>
      <c r="C35" s="1" t="str">
        <f>IF(Projects!C35="","",Projects!C35)</f>
        <v/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ht="15.0" customHeight="1">
      <c r="A36" s="3" t="str">
        <f>IF(Projects!A36="","",Projects!A36)</f>
        <v/>
      </c>
      <c r="B36" s="1" t="str">
        <f>IF(Projects!B36="","",Projects!B36)</f>
        <v/>
      </c>
      <c r="C36" s="1" t="str">
        <f>IF(Projects!C36="","",Projects!C36)</f>
        <v/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ht="15.0" customHeight="1">
      <c r="A37" s="3" t="str">
        <f>IF(Projects!A37="","",Projects!A37)</f>
        <v/>
      </c>
      <c r="B37" s="1" t="str">
        <f>IF(Projects!B37="","",Projects!B37)</f>
        <v/>
      </c>
      <c r="C37" s="1" t="str">
        <f>IF(Projects!C37="","",Projects!C37)</f>
        <v/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ht="15.0" customHeight="1">
      <c r="A38" s="3" t="str">
        <f>IF(Projects!A38="","",Projects!A38)</f>
        <v/>
      </c>
      <c r="B38" s="1" t="str">
        <f>IF(Projects!B38="","",Projects!B38)</f>
        <v/>
      </c>
      <c r="C38" s="1" t="str">
        <f>IF(Projects!C38="","",Projects!C38)</f>
        <v/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ht="15.0" customHeight="1">
      <c r="A39" s="3" t="str">
        <f>IF(Projects!A39="","",Projects!A39)</f>
        <v/>
      </c>
      <c r="B39" s="1" t="str">
        <f>IF(Projects!B39="","",Projects!B39)</f>
        <v/>
      </c>
      <c r="C39" s="1" t="str">
        <f>IF(Projects!C39="","",Projects!C39)</f>
        <v/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ht="15.0" customHeight="1">
      <c r="A40" s="3" t="str">
        <f>IF(Projects!A40="","",Projects!A40)</f>
        <v/>
      </c>
      <c r="B40" s="1" t="str">
        <f>IF(Projects!B40="","",Projects!B40)</f>
        <v/>
      </c>
      <c r="C40" s="1" t="str">
        <f>IF(Projects!C40="","",Projects!C40)</f>
        <v/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ht="15.0" customHeight="1">
      <c r="A41" s="3" t="str">
        <f>IF(Projects!A41="","",Projects!A41)</f>
        <v/>
      </c>
      <c r="B41" s="1" t="str">
        <f>IF(Projects!B41="","",Projects!B41)</f>
        <v/>
      </c>
      <c r="C41" s="1" t="str">
        <f>IF(Projects!C41="","",Projects!C41)</f>
        <v/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ht="15.0" customHeight="1">
      <c r="A42" s="3" t="str">
        <f>IF(Projects!A42="","",Projects!A42)</f>
        <v/>
      </c>
      <c r="B42" s="1" t="str">
        <f>IF(Projects!B42="","",Projects!B42)</f>
        <v/>
      </c>
      <c r="C42" s="1" t="str">
        <f>IF(Projects!C42="","",Projects!C42)</f>
        <v/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ht="15.0" customHeight="1">
      <c r="A43" s="3" t="str">
        <f>IF(Projects!A43="","",Projects!A43)</f>
        <v/>
      </c>
      <c r="B43" s="1" t="str">
        <f>IF(Projects!B43="","",Projects!B43)</f>
        <v/>
      </c>
      <c r="C43" s="1" t="str">
        <f>IF(Projects!C43="","",Projects!C43)</f>
        <v/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ht="15.0" customHeight="1">
      <c r="A44" s="3" t="str">
        <f>IF(Projects!A44="","",Projects!A44)</f>
        <v/>
      </c>
      <c r="B44" s="1" t="str">
        <f>IF(Projects!B44="","",Projects!B44)</f>
        <v/>
      </c>
      <c r="C44" s="1" t="str">
        <f>IF(Projects!C44="","",Projects!C44)</f>
        <v/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ht="15.0" customHeight="1">
      <c r="A45" s="3" t="str">
        <f>IF(Projects!A45="","",Projects!A45)</f>
        <v/>
      </c>
      <c r="B45" s="1" t="str">
        <f>IF(Projects!B45="","",Projects!B45)</f>
        <v/>
      </c>
      <c r="C45" s="1" t="str">
        <f>IF(Projects!C45="","",Projects!C45)</f>
        <v/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ht="15.0" customHeight="1">
      <c r="A46" s="3" t="str">
        <f>IF(Projects!A46="","",Projects!A46)</f>
        <v/>
      </c>
      <c r="B46" s="1" t="str">
        <f>IF(Projects!B46="","",Projects!B46)</f>
        <v/>
      </c>
      <c r="C46" s="1" t="str">
        <f>IF(Projects!C46="","",Projects!C46)</f>
        <v/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ht="15.0" customHeight="1">
      <c r="A47" s="3" t="str">
        <f>IF(Projects!A47="","",Projects!A47)</f>
        <v/>
      </c>
      <c r="B47" s="1" t="str">
        <f>IF(Projects!B47="","",Projects!B47)</f>
        <v/>
      </c>
      <c r="C47" s="1" t="str">
        <f>IF(Projects!C47="","",Projects!C47)</f>
        <v/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ht="15.0" customHeight="1">
      <c r="A48" s="3" t="str">
        <f>IF(Projects!A48="","",Projects!A48)</f>
        <v/>
      </c>
      <c r="B48" s="1" t="str">
        <f>IF(Projects!B48="","",Projects!B48)</f>
        <v/>
      </c>
      <c r="C48" s="1" t="str">
        <f>IF(Projects!C48="","",Projects!C48)</f>
        <v/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ht="15.0" customHeight="1">
      <c r="A49" s="3" t="str">
        <f>IF(Projects!A49="","",Projects!A49)</f>
        <v/>
      </c>
      <c r="B49" s="1" t="str">
        <f>IF(Projects!B49="","",Projects!B49)</f>
        <v/>
      </c>
      <c r="C49" s="1" t="str">
        <f>IF(Projects!C49="","",Projects!C49)</f>
        <v/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ht="15.0" customHeight="1">
      <c r="A50" s="3" t="str">
        <f>IF(Projects!A50="","",Projects!A50)</f>
        <v/>
      </c>
      <c r="B50" s="1" t="str">
        <f>IF(Projects!B50="","",Projects!B50)</f>
        <v/>
      </c>
      <c r="C50" s="1" t="str">
        <f>IF(Projects!C50="","",Projects!C50)</f>
        <v/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ht="15.0" customHeight="1">
      <c r="A51" s="3" t="str">
        <f>IF(Projects!A51="","",Projects!A51)</f>
        <v/>
      </c>
      <c r="B51" s="1" t="str">
        <f>IF(Projects!B51="","",Projects!B51)</f>
        <v/>
      </c>
      <c r="C51" s="1" t="str">
        <f>IF(Projects!C51="","",Projects!C51)</f>
        <v/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ht="15.0" customHeight="1">
      <c r="A52" s="3" t="str">
        <f>IF(Projects!A52="","",Projects!A52)</f>
        <v/>
      </c>
      <c r="B52" s="1" t="str">
        <f>IF(Projects!B52="","",Projects!B52)</f>
        <v/>
      </c>
      <c r="C52" s="1" t="str">
        <f>IF(Projects!C52="","",Projects!C52)</f>
        <v/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ht="15.0" customHeight="1">
      <c r="A53" s="3" t="str">
        <f>IF(Projects!A53="","",Projects!A53)</f>
        <v/>
      </c>
      <c r="B53" s="1" t="str">
        <f>IF(Projects!B53="","",Projects!B53)</f>
        <v/>
      </c>
      <c r="C53" s="1" t="str">
        <f>IF(Projects!C53="","",Projects!C53)</f>
        <v/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ht="15.0" customHeight="1">
      <c r="A54" s="3" t="str">
        <f>IF(Projects!A54="","",Projects!A54)</f>
        <v/>
      </c>
      <c r="B54" s="1" t="str">
        <f>IF(Projects!B54="","",Projects!B54)</f>
        <v/>
      </c>
      <c r="C54" s="1" t="str">
        <f>IF(Projects!C54="","",Projects!C54)</f>
        <v/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ht="15.0" customHeight="1">
      <c r="A55" s="3" t="str">
        <f>IF(Projects!A55="","",Projects!A55)</f>
        <v/>
      </c>
      <c r="B55" s="1" t="str">
        <f>IF(Projects!B55="","",Projects!B55)</f>
        <v/>
      </c>
      <c r="C55" s="1" t="str">
        <f>IF(Projects!C55="","",Projects!C55)</f>
        <v/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ht="15.0" customHeight="1">
      <c r="A56" s="3" t="str">
        <f>IF(Projects!A56="","",Projects!A56)</f>
        <v/>
      </c>
      <c r="B56" s="1" t="str">
        <f>IF(Projects!B56="","",Projects!B56)</f>
        <v/>
      </c>
      <c r="C56" s="1" t="str">
        <f>IF(Projects!C56="","",Projects!C56)</f>
        <v/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ht="15.0" customHeight="1">
      <c r="A57" s="3" t="str">
        <f>IF(Projects!A57="","",Projects!A57)</f>
        <v/>
      </c>
      <c r="B57" s="1" t="str">
        <f>IF(Projects!B57="","",Projects!B57)</f>
        <v/>
      </c>
      <c r="C57" s="1" t="str">
        <f>IF(Projects!C57="","",Projects!C57)</f>
        <v/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ht="15.0" customHeight="1">
      <c r="A58" s="3" t="str">
        <f>IF(Projects!A58="","",Projects!A58)</f>
        <v/>
      </c>
      <c r="B58" s="1" t="str">
        <f>IF(Projects!B58="","",Projects!B58)</f>
        <v/>
      </c>
      <c r="C58" s="1" t="str">
        <f>IF(Projects!C58="","",Projects!C58)</f>
        <v/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ht="15.0" customHeight="1">
      <c r="A59" s="3" t="str">
        <f>IF(Projects!A59="","",Projects!A59)</f>
        <v/>
      </c>
      <c r="B59" s="1" t="str">
        <f>IF(Projects!B59="","",Projects!B59)</f>
        <v/>
      </c>
      <c r="C59" s="1" t="str">
        <f>IF(Projects!C59="","",Projects!C59)</f>
        <v/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ht="15.0" customHeight="1">
      <c r="A60" s="3" t="str">
        <f>IF(Projects!A60="","",Projects!A60)</f>
        <v/>
      </c>
      <c r="B60" s="1" t="str">
        <f>IF(Projects!B60="","",Projects!B60)</f>
        <v/>
      </c>
      <c r="C60" s="1" t="str">
        <f>IF(Projects!C60="","",Projects!C60)</f>
        <v/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ht="15.0" customHeight="1">
      <c r="A61" s="3" t="str">
        <f>IF(Projects!A61="","",Projects!A61)</f>
        <v/>
      </c>
      <c r="B61" s="1" t="str">
        <f>IF(Projects!B61="","",Projects!B61)</f>
        <v/>
      </c>
      <c r="C61" s="1" t="str">
        <f>IF(Projects!C61="","",Projects!C61)</f>
        <v/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ht="15.0" customHeight="1">
      <c r="A62" s="3" t="str">
        <f>IF(Projects!A62="","",Projects!A62)</f>
        <v/>
      </c>
      <c r="B62" s="1" t="str">
        <f>IF(Projects!B62="","",Projects!B62)</f>
        <v/>
      </c>
      <c r="C62" s="1" t="str">
        <f>IF(Projects!C62="","",Projects!C62)</f>
        <v/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ht="15.0" customHeight="1">
      <c r="A63" s="3" t="str">
        <f>IF(Projects!A63="","",Projects!A63)</f>
        <v/>
      </c>
      <c r="B63" s="1" t="str">
        <f>IF(Projects!B63="","",Projects!B63)</f>
        <v/>
      </c>
      <c r="C63" s="1" t="str">
        <f>IF(Projects!C63="","",Projects!C63)</f>
        <v/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ht="15.0" customHeight="1">
      <c r="A64" s="3" t="str">
        <f>IF(Projects!A64="","",Projects!A64)</f>
        <v/>
      </c>
      <c r="B64" s="1" t="str">
        <f>IF(Projects!B64="","",Projects!B64)</f>
        <v/>
      </c>
      <c r="C64" s="1" t="str">
        <f>IF(Projects!C64="","",Projects!C64)</f>
        <v/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ht="15.0" customHeight="1">
      <c r="A65" s="3" t="str">
        <f>IF(Projects!A65="","",Projects!A65)</f>
        <v/>
      </c>
      <c r="B65" s="1" t="str">
        <f>IF(Projects!B65="","",Projects!B65)</f>
        <v/>
      </c>
      <c r="C65" s="1" t="str">
        <f>IF(Projects!C65="","",Projects!C65)</f>
        <v/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ht="15.0" customHeight="1">
      <c r="A66" s="3" t="str">
        <f>IF(Projects!A66="","",Projects!A66)</f>
        <v/>
      </c>
      <c r="B66" s="1" t="str">
        <f>IF(Projects!B66="","",Projects!B66)</f>
        <v/>
      </c>
      <c r="C66" s="1" t="str">
        <f>IF(Projects!C66="","",Projects!C66)</f>
        <v/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ht="15.0" customHeight="1">
      <c r="A67" s="3" t="str">
        <f>IF(Projects!A67="","",Projects!A67)</f>
        <v/>
      </c>
      <c r="B67" s="1" t="str">
        <f>IF(Projects!B67="","",Projects!B67)</f>
        <v/>
      </c>
      <c r="C67" s="1" t="str">
        <f>IF(Projects!C67="","",Projects!C67)</f>
        <v/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ht="15.0" customHeight="1">
      <c r="A68" s="3" t="str">
        <f>IF(Projects!A68="","",Projects!A68)</f>
        <v/>
      </c>
      <c r="B68" s="1" t="str">
        <f>IF(Projects!B68="","",Projects!B68)</f>
        <v/>
      </c>
      <c r="C68" s="1" t="str">
        <f>IF(Projects!C68="","",Projects!C68)</f>
        <v/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ht="15.0" customHeight="1">
      <c r="A69" s="3" t="str">
        <f>IF(Projects!A69="","",Projects!A69)</f>
        <v/>
      </c>
      <c r="B69" s="1" t="str">
        <f>IF(Projects!B69="","",Projects!B69)</f>
        <v/>
      </c>
      <c r="C69" s="1" t="str">
        <f>IF(Projects!C69="","",Projects!C69)</f>
        <v/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ht="15.0" customHeight="1">
      <c r="A70" s="3" t="str">
        <f>IF(Projects!A70="","",Projects!A70)</f>
        <v/>
      </c>
      <c r="B70" s="1" t="str">
        <f>IF(Projects!B70="","",Projects!B70)</f>
        <v/>
      </c>
      <c r="C70" s="1" t="str">
        <f>IF(Projects!C70="","",Projects!C70)</f>
        <v/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ht="15.0" customHeight="1">
      <c r="A71" s="3" t="str">
        <f>IF(Projects!A71="","",Projects!A71)</f>
        <v/>
      </c>
      <c r="B71" s="1" t="str">
        <f>IF(Projects!B71="","",Projects!B71)</f>
        <v/>
      </c>
      <c r="C71" s="1" t="str">
        <f>IF(Projects!C71="","",Projects!C71)</f>
        <v/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ht="15.0" customHeight="1">
      <c r="A72" s="3" t="str">
        <f>IF(Projects!A72="","",Projects!A72)</f>
        <v/>
      </c>
      <c r="B72" s="1" t="str">
        <f>IF(Projects!B72="","",Projects!B72)</f>
        <v/>
      </c>
      <c r="C72" s="1" t="str">
        <f>IF(Projects!C72="","",Projects!C72)</f>
        <v/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ht="15.0" customHeight="1">
      <c r="A73" s="3" t="str">
        <f>IF(Projects!A73="","",Projects!A73)</f>
        <v/>
      </c>
      <c r="B73" s="1" t="str">
        <f>IF(Projects!B73="","",Projects!B73)</f>
        <v/>
      </c>
      <c r="C73" s="1" t="str">
        <f>IF(Projects!C73="","",Projects!C73)</f>
        <v/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ht="15.0" customHeight="1">
      <c r="A74" s="3" t="str">
        <f>IF(Projects!A74="","",Projects!A74)</f>
        <v/>
      </c>
      <c r="B74" s="1" t="str">
        <f>IF(Projects!B74="","",Projects!B74)</f>
        <v/>
      </c>
      <c r="C74" s="1" t="str">
        <f>IF(Projects!C74="","",Projects!C74)</f>
        <v/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ht="15.0" customHeight="1">
      <c r="A75" s="3" t="str">
        <f>IF(Projects!A75="","",Projects!A75)</f>
        <v/>
      </c>
      <c r="B75" s="1" t="str">
        <f>IF(Projects!B75="","",Projects!B75)</f>
        <v/>
      </c>
      <c r="C75" s="1" t="str">
        <f>IF(Projects!C75="","",Projects!C75)</f>
        <v/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ht="15.0" customHeight="1">
      <c r="A76" s="3" t="str">
        <f>IF(Projects!A76="","",Projects!A76)</f>
        <v/>
      </c>
      <c r="B76" s="1" t="str">
        <f>IF(Projects!B76="","",Projects!B76)</f>
        <v/>
      </c>
      <c r="C76" s="1" t="str">
        <f>IF(Projects!C76="","",Projects!C76)</f>
        <v/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ht="15.0" customHeight="1">
      <c r="A77" s="3" t="str">
        <f>IF(Projects!A77="","",Projects!A77)</f>
        <v/>
      </c>
      <c r="B77" s="1" t="str">
        <f>IF(Projects!B77="","",Projects!B77)</f>
        <v/>
      </c>
      <c r="C77" s="1" t="str">
        <f>IF(Projects!C77="","",Projects!C77)</f>
        <v/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ht="15.0" customHeight="1">
      <c r="A78" s="3" t="str">
        <f>IF(Projects!A78="","",Projects!A78)</f>
        <v/>
      </c>
      <c r="B78" s="1" t="str">
        <f>IF(Projects!B78="","",Projects!B78)</f>
        <v/>
      </c>
      <c r="C78" s="1" t="str">
        <f>IF(Projects!C78="","",Projects!C78)</f>
        <v/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ht="15.0" customHeight="1">
      <c r="A79" s="3" t="str">
        <f>IF(Projects!A79="","",Projects!A79)</f>
        <v/>
      </c>
      <c r="B79" s="1" t="str">
        <f>IF(Projects!B79="","",Projects!B79)</f>
        <v/>
      </c>
      <c r="C79" s="1" t="str">
        <f>IF(Projects!C79="","",Projects!C79)</f>
        <v/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ht="15.0" customHeight="1">
      <c r="A80" s="3" t="str">
        <f>IF(Projects!A80="","",Projects!A80)</f>
        <v/>
      </c>
      <c r="B80" s="1" t="str">
        <f>IF(Projects!B80="","",Projects!B80)</f>
        <v/>
      </c>
      <c r="C80" s="1" t="str">
        <f>IF(Projects!C80="","",Projects!C80)</f>
        <v/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ht="15.0" customHeight="1">
      <c r="A81" s="3" t="str">
        <f>IF(Projects!A81="","",Projects!A81)</f>
        <v/>
      </c>
      <c r="B81" s="1" t="str">
        <f>IF(Projects!B81="","",Projects!B81)</f>
        <v/>
      </c>
      <c r="C81" s="1" t="str">
        <f>IF(Projects!C81="","",Projects!C81)</f>
        <v/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ht="15.0" customHeight="1">
      <c r="A82" s="3" t="str">
        <f>IF(Projects!A82="","",Projects!A82)</f>
        <v/>
      </c>
      <c r="B82" s="1" t="str">
        <f>IF(Projects!B82="","",Projects!B82)</f>
        <v/>
      </c>
      <c r="C82" s="1" t="str">
        <f>IF(Projects!C82="","",Projects!C82)</f>
        <v/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ht="15.0" customHeight="1">
      <c r="A83" s="3" t="str">
        <f>IF(Projects!A83="","",Projects!A83)</f>
        <v/>
      </c>
      <c r="B83" s="1" t="str">
        <f>IF(Projects!B83="","",Projects!B83)</f>
        <v/>
      </c>
      <c r="C83" s="1" t="str">
        <f>IF(Projects!C83="","",Projects!C83)</f>
        <v/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ht="15.0" customHeight="1">
      <c r="A84" s="3" t="str">
        <f>IF(Projects!A84="","",Projects!A84)</f>
        <v/>
      </c>
      <c r="B84" s="1" t="str">
        <f>IF(Projects!B84="","",Projects!B84)</f>
        <v/>
      </c>
      <c r="C84" s="1" t="str">
        <f>IF(Projects!C84="","",Projects!C84)</f>
        <v/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ht="15.0" customHeight="1">
      <c r="A85" s="3" t="str">
        <f>IF(Projects!A85="","",Projects!A85)</f>
        <v/>
      </c>
      <c r="B85" s="1" t="str">
        <f>IF(Projects!B85="","",Projects!B85)</f>
        <v/>
      </c>
      <c r="C85" s="1" t="str">
        <f>IF(Projects!C85="","",Projects!C85)</f>
        <v/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ht="15.0" customHeight="1">
      <c r="A86" s="3" t="str">
        <f>IF(Projects!A86="","",Projects!A86)</f>
        <v/>
      </c>
      <c r="B86" s="1" t="str">
        <f>IF(Projects!B86="","",Projects!B86)</f>
        <v/>
      </c>
      <c r="C86" s="1" t="str">
        <f>IF(Projects!C86="","",Projects!C86)</f>
        <v/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ht="15.0" customHeight="1">
      <c r="A87" s="3" t="str">
        <f>IF(Projects!A87="","",Projects!A87)</f>
        <v/>
      </c>
      <c r="B87" s="1" t="str">
        <f>IF(Projects!B87="","",Projects!B87)</f>
        <v/>
      </c>
      <c r="C87" s="1" t="str">
        <f>IF(Projects!C87="","",Projects!C87)</f>
        <v/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ht="15.0" customHeight="1">
      <c r="A88" s="3" t="str">
        <f>IF(Projects!A88="","",Projects!A88)</f>
        <v/>
      </c>
      <c r="B88" s="1" t="str">
        <f>IF(Projects!B88="","",Projects!B88)</f>
        <v/>
      </c>
      <c r="C88" s="1" t="str">
        <f>IF(Projects!C88="","",Projects!C88)</f>
        <v/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ht="15.0" customHeight="1">
      <c r="A89" s="3" t="str">
        <f>IF(Projects!A89="","",Projects!A89)</f>
        <v/>
      </c>
      <c r="B89" s="1" t="str">
        <f>IF(Projects!B89="","",Projects!B89)</f>
        <v/>
      </c>
      <c r="C89" s="1" t="str">
        <f>IF(Projects!C89="","",Projects!C89)</f>
        <v/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ht="15.0" customHeight="1">
      <c r="A90" s="3" t="str">
        <f>IF(Projects!A90="","",Projects!A90)</f>
        <v/>
      </c>
      <c r="B90" s="1" t="str">
        <f>IF(Projects!B90="","",Projects!B90)</f>
        <v/>
      </c>
      <c r="C90" s="1" t="str">
        <f>IF(Projects!C90="","",Projects!C90)</f>
        <v/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ht="15.0" customHeight="1">
      <c r="A91" s="3" t="str">
        <f>IF(Projects!A91="","",Projects!A91)</f>
        <v/>
      </c>
      <c r="B91" s="1" t="str">
        <f>IF(Projects!B91="","",Projects!B91)</f>
        <v/>
      </c>
      <c r="C91" s="1" t="str">
        <f>IF(Projects!C91="","",Projects!C91)</f>
        <v/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ht="15.0" customHeight="1">
      <c r="A92" s="3" t="str">
        <f>IF(Projects!A92="","",Projects!A92)</f>
        <v/>
      </c>
      <c r="B92" s="1" t="str">
        <f>IF(Projects!B92="","",Projects!B92)</f>
        <v/>
      </c>
      <c r="C92" s="1" t="str">
        <f>IF(Projects!C92="","",Projects!C92)</f>
        <v/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ht="15.0" customHeight="1">
      <c r="A93" s="3" t="str">
        <f>IF(Projects!A93="","",Projects!A93)</f>
        <v/>
      </c>
      <c r="B93" s="1" t="str">
        <f>IF(Projects!B93="","",Projects!B93)</f>
        <v/>
      </c>
      <c r="C93" s="1" t="str">
        <f>IF(Projects!C93="","",Projects!C93)</f>
        <v/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ht="15.0" customHeight="1">
      <c r="A94" s="3" t="str">
        <f>IF(Projects!A94="","",Projects!A94)</f>
        <v/>
      </c>
      <c r="B94" s="1" t="str">
        <f>IF(Projects!B94="","",Projects!B94)</f>
        <v/>
      </c>
      <c r="C94" s="1" t="str">
        <f>IF(Projects!C94="","",Projects!C94)</f>
        <v/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ht="15.0" customHeight="1">
      <c r="A95" s="3" t="str">
        <f>IF(Projects!A95="","",Projects!A95)</f>
        <v/>
      </c>
      <c r="B95" s="1" t="str">
        <f>IF(Projects!B95="","",Projects!B95)</f>
        <v/>
      </c>
      <c r="C95" s="1" t="str">
        <f>IF(Projects!C95="","",Projects!C95)</f>
        <v/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ht="15.0" customHeight="1">
      <c r="A96" s="3" t="str">
        <f>IF(Projects!A96="","",Projects!A96)</f>
        <v/>
      </c>
      <c r="B96" s="1" t="str">
        <f>IF(Projects!B96="","",Projects!B96)</f>
        <v/>
      </c>
      <c r="C96" s="1" t="str">
        <f>IF(Projects!C96="","",Projects!C96)</f>
        <v/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ht="15.0" customHeight="1">
      <c r="A97" s="3" t="str">
        <f>IF(Projects!A97="","",Projects!A97)</f>
        <v/>
      </c>
      <c r="B97" s="1" t="str">
        <f>IF(Projects!B97="","",Projects!B97)</f>
        <v/>
      </c>
      <c r="C97" s="1" t="str">
        <f>IF(Projects!C97="","",Projects!C97)</f>
        <v/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ht="15.0" customHeight="1">
      <c r="A98" s="3" t="str">
        <f>IF(Projects!A98="","",Projects!A98)</f>
        <v/>
      </c>
      <c r="B98" s="1" t="str">
        <f>IF(Projects!B98="","",Projects!B98)</f>
        <v/>
      </c>
      <c r="C98" s="1" t="str">
        <f>IF(Projects!C98="","",Projects!C98)</f>
        <v/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ht="15.0" customHeight="1">
      <c r="A99" s="3" t="str">
        <f>IF(Projects!A99="","",Projects!A99)</f>
        <v/>
      </c>
      <c r="B99" s="1" t="str">
        <f>IF(Projects!B99="","",Projects!B99)</f>
        <v/>
      </c>
      <c r="C99" s="1" t="str">
        <f>IF(Projects!C99="","",Projects!C99)</f>
        <v/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ht="15.0" customHeight="1">
      <c r="A100" s="3" t="str">
        <f>IF(Projects!A100="","",Projects!A100)</f>
        <v/>
      </c>
      <c r="B100" s="1" t="str">
        <f>IF(Projects!B100="","",Projects!B100)</f>
        <v/>
      </c>
      <c r="C100" s="1" t="str">
        <f>IF(Projects!C100="","",Projects!C100)</f>
        <v/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ht="15.0" customHeight="1">
      <c r="A101" s="3" t="str">
        <f>IF(Projects!A101="","",Projects!A101)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ht="15.0" customHeight="1">
      <c r="A102" s="3" t="str">
        <f>IF(Projects!A102="","",Projects!A102)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ht="15.0" customHeight="1">
      <c r="A103" s="3" t="str">
        <f>IF(Projects!A103="","",Projects!A103)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ht="15.0" customHeight="1">
      <c r="A104" s="3" t="str">
        <f>IF(Projects!A104="","",Projects!A104)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ht="15.0" customHeight="1">
      <c r="A105" s="3" t="str">
        <f>IF(Projects!A105="","",Projects!A105)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ht="15.0" customHeight="1">
      <c r="A106" s="3" t="str">
        <f>IF(Projects!A106="","",Projects!A106)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ht="15.0" customHeight="1">
      <c r="A107" s="3" t="str">
        <f>IF(Projects!A107="","",Projects!A107)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ht="15.75" customHeight="1">
      <c r="A108" s="3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ht="15.75" customHeight="1">
      <c r="A109" s="3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ht="15.75" customHeight="1">
      <c r="A110" s="3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ht="15.75" customHeight="1">
      <c r="A111" s="3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ht="15.75" customHeight="1">
      <c r="A112" s="3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ht="15.75" customHeight="1">
      <c r="A113" s="3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ht="15.75" customHeight="1">
      <c r="A114" s="3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ht="15.75" customHeight="1">
      <c r="A115" s="3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ht="15.75" customHeight="1">
      <c r="A116" s="3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ht="15.75" customHeight="1">
      <c r="A117" s="3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ht="15.75" customHeight="1">
      <c r="A118" s="3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ht="15.75" customHeight="1">
      <c r="A119" s="3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ht="15.75" customHeight="1">
      <c r="A120" s="3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ht="15.75" customHeight="1">
      <c r="A121" s="3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ht="15.75" customHeight="1">
      <c r="A122" s="3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ht="15.75" customHeight="1">
      <c r="A123" s="3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ht="15.75" customHeight="1">
      <c r="A124" s="3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ht="15.75" customHeight="1">
      <c r="A125" s="3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ht="15.75" customHeight="1">
      <c r="A126" s="3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ht="15.75" customHeight="1">
      <c r="A127" s="3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ht="15.75" customHeight="1">
      <c r="A128" s="3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ht="15.75" customHeight="1">
      <c r="A129" s="3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ht="15.75" customHeight="1">
      <c r="A130" s="3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ht="15.75" customHeight="1">
      <c r="A131" s="3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ht="15.75" customHeight="1">
      <c r="A132" s="3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ht="15.75" customHeight="1">
      <c r="A133" s="3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ht="15.75" customHeight="1">
      <c r="A134" s="3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ht="15.75" customHeight="1">
      <c r="A135" s="3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ht="15.75" customHeight="1">
      <c r="A136" s="3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ht="15.75" customHeight="1">
      <c r="A137" s="3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ht="15.75" customHeight="1">
      <c r="A138" s="3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ht="15.75" customHeight="1">
      <c r="A139" s="3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ht="15.75" customHeight="1">
      <c r="A140" s="3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ht="15.75" customHeight="1">
      <c r="A141" s="3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ht="15.75" customHeight="1">
      <c r="A142" s="3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ht="15.75" customHeight="1">
      <c r="A143" s="3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ht="15.75" customHeight="1">
      <c r="A144" s="3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ht="15.75" customHeight="1">
      <c r="A145" s="3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ht="15.75" customHeight="1">
      <c r="A146" s="3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ht="15.75" customHeight="1">
      <c r="A147" s="3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ht="15.75" customHeight="1">
      <c r="A148" s="3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ht="15.75" customHeight="1">
      <c r="A149" s="3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ht="15.75" customHeight="1">
      <c r="A150" s="3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ht="15.75" customHeight="1">
      <c r="A151" s="3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ht="15.75" customHeight="1">
      <c r="A152" s="3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ht="15.75" customHeight="1">
      <c r="A153" s="3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ht="15.75" customHeight="1">
      <c r="A154" s="3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ht="15.75" customHeight="1">
      <c r="A155" s="3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ht="15.75" customHeight="1">
      <c r="A156" s="3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ht="15.75" customHeight="1">
      <c r="A157" s="3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ht="15.75" customHeight="1">
      <c r="A158" s="3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ht="15.75" customHeight="1">
      <c r="A159" s="3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ht="15.75" customHeight="1">
      <c r="A160" s="3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ht="15.75" customHeight="1">
      <c r="A161" s="3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ht="15.75" customHeight="1">
      <c r="A162" s="3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ht="15.75" customHeight="1">
      <c r="A163" s="3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ht="15.75" customHeight="1">
      <c r="A164" s="3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ht="15.75" customHeight="1">
      <c r="A165" s="3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ht="15.75" customHeight="1">
      <c r="A166" s="3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ht="15.75" customHeight="1">
      <c r="A167" s="3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ht="15.75" customHeight="1">
      <c r="A168" s="3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ht="15.75" customHeight="1">
      <c r="A169" s="3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ht="15.75" customHeight="1">
      <c r="A170" s="3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ht="15.75" customHeight="1">
      <c r="A171" s="3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ht="15.75" customHeight="1">
      <c r="A172" s="3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ht="15.75" customHeight="1">
      <c r="A173" s="3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ht="15.75" customHeight="1">
      <c r="A174" s="3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ht="15.75" customHeight="1">
      <c r="A175" s="3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ht="15.75" customHeight="1">
      <c r="A176" s="3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ht="15.75" customHeight="1">
      <c r="A177" s="3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ht="15.75" customHeight="1">
      <c r="A178" s="3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ht="15.75" customHeight="1">
      <c r="A179" s="3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ht="15.75" customHeight="1">
      <c r="A180" s="3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ht="15.75" customHeight="1">
      <c r="A181" s="3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ht="15.75" customHeight="1">
      <c r="A182" s="3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ht="15.75" customHeight="1">
      <c r="A183" s="3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ht="15.75" customHeight="1">
      <c r="A184" s="3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ht="15.75" customHeight="1">
      <c r="A185" s="3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ht="15.75" customHeight="1">
      <c r="A186" s="3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ht="15.75" customHeight="1">
      <c r="A187" s="3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ht="15.75" customHeight="1">
      <c r="A188" s="3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ht="15.75" customHeight="1">
      <c r="A189" s="3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ht="15.75" customHeight="1">
      <c r="A190" s="3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ht="15.75" customHeight="1">
      <c r="A191" s="3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ht="15.75" customHeight="1">
      <c r="A192" s="3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ht="15.75" customHeight="1">
      <c r="A193" s="3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ht="15.75" customHeight="1">
      <c r="A194" s="3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ht="15.75" customHeight="1">
      <c r="A195" s="3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ht="15.75" customHeight="1">
      <c r="A196" s="3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ht="15.75" customHeight="1">
      <c r="A197" s="3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ht="15.75" customHeight="1">
      <c r="A198" s="3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ht="15.75" customHeight="1">
      <c r="A199" s="3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ht="15.75" customHeight="1">
      <c r="A200" s="3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ht="15.75" customHeight="1">
      <c r="A201" s="3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ht="15.75" customHeight="1">
      <c r="A202" s="3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ht="15.75" customHeight="1">
      <c r="A203" s="3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ht="15.75" customHeight="1">
      <c r="A204" s="3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ht="15.75" customHeight="1">
      <c r="A205" s="3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ht="15.75" customHeight="1">
      <c r="A206" s="3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ht="15.75" customHeight="1">
      <c r="A207" s="3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ht="15.75" customHeight="1">
      <c r="A208" s="3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ht="15.75" customHeight="1">
      <c r="A209" s="3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ht="15.75" customHeight="1">
      <c r="A210" s="3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ht="15.75" customHeight="1">
      <c r="A211" s="3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ht="15.75" customHeight="1">
      <c r="A212" s="3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ht="15.75" customHeight="1">
      <c r="A213" s="3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ht="15.75" customHeight="1">
      <c r="A214" s="3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ht="15.75" customHeight="1">
      <c r="A215" s="3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ht="15.75" customHeight="1">
      <c r="A216" s="3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ht="15.75" customHeight="1">
      <c r="A217" s="3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ht="15.75" customHeight="1">
      <c r="A218" s="3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ht="15.75" customHeight="1">
      <c r="A219" s="3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ht="15.75" customHeight="1">
      <c r="A220" s="3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ht="15.75" customHeight="1">
      <c r="A221" s="3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ht="15.75" customHeight="1">
      <c r="A222" s="3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ht="15.75" customHeight="1">
      <c r="A223" s="3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ht="15.75" customHeight="1">
      <c r="A224" s="3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ht="15.75" customHeight="1">
      <c r="A225" s="3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ht="15.75" customHeight="1">
      <c r="A226" s="3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ht="15.75" customHeight="1">
      <c r="A227" s="3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ht="15.75" customHeight="1">
      <c r="A228" s="3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ht="15.75" customHeight="1">
      <c r="A229" s="3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ht="15.75" customHeight="1">
      <c r="A230" s="3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ht="15.75" customHeight="1">
      <c r="A231" s="3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ht="15.75" customHeight="1">
      <c r="A232" s="3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ht="15.75" customHeight="1">
      <c r="A233" s="3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ht="15.75" customHeight="1">
      <c r="A234" s="3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ht="15.75" customHeight="1">
      <c r="A235" s="3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ht="15.75" customHeight="1">
      <c r="A236" s="3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ht="15.75" customHeight="1">
      <c r="A237" s="3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ht="15.75" customHeight="1">
      <c r="A238" s="3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ht="15.75" customHeight="1">
      <c r="A239" s="3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ht="15.75" customHeight="1">
      <c r="A240" s="3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ht="15.75" customHeight="1">
      <c r="A241" s="3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ht="15.75" customHeight="1">
      <c r="A242" s="3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ht="15.75" customHeight="1">
      <c r="A243" s="3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ht="15.75" customHeight="1">
      <c r="A244" s="3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ht="15.75" customHeight="1">
      <c r="A245" s="3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ht="15.75" customHeight="1">
      <c r="A246" s="3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ht="15.75" customHeight="1">
      <c r="A247" s="3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ht="15.75" customHeight="1">
      <c r="A248" s="3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ht="15.75" customHeight="1">
      <c r="A249" s="3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ht="15.75" customHeight="1">
      <c r="A250" s="3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ht="15.75" customHeight="1">
      <c r="A251" s="3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ht="15.75" customHeight="1">
      <c r="A252" s="3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ht="15.75" customHeight="1">
      <c r="A253" s="3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ht="15.75" customHeight="1">
      <c r="A254" s="3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ht="15.75" customHeight="1">
      <c r="A255" s="3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ht="15.75" customHeight="1">
      <c r="A256" s="3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ht="15.75" customHeight="1">
      <c r="A257" s="3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ht="15.75" customHeight="1">
      <c r="A258" s="3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ht="15.75" customHeight="1">
      <c r="A259" s="3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ht="15.75" customHeight="1">
      <c r="A260" s="3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ht="15.75" customHeight="1">
      <c r="A261" s="3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ht="15.75" customHeight="1">
      <c r="A262" s="3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ht="15.75" customHeight="1">
      <c r="A263" s="3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ht="15.75" customHeight="1">
      <c r="A264" s="3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ht="15.75" customHeight="1">
      <c r="A265" s="3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ht="15.75" customHeight="1">
      <c r="A266" s="3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ht="15.75" customHeight="1">
      <c r="A267" s="3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ht="15.75" customHeight="1">
      <c r="A268" s="3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ht="15.75" customHeight="1">
      <c r="A269" s="3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ht="15.75" customHeight="1">
      <c r="A270" s="3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ht="15.75" customHeight="1">
      <c r="A271" s="3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ht="15.75" customHeight="1">
      <c r="A272" s="3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ht="15.75" customHeight="1">
      <c r="A273" s="3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ht="15.75" customHeight="1">
      <c r="A274" s="3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ht="15.75" customHeight="1">
      <c r="A275" s="3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ht="15.75" customHeight="1">
      <c r="A276" s="3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ht="15.75" customHeight="1">
      <c r="A277" s="3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ht="15.75" customHeight="1">
      <c r="A278" s="3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ht="15.75" customHeight="1">
      <c r="A279" s="3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ht="15.75" customHeight="1">
      <c r="A280" s="3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ht="15.75" customHeight="1">
      <c r="A281" s="3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ht="15.75" customHeight="1">
      <c r="A282" s="3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ht="15.75" customHeight="1">
      <c r="A283" s="3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ht="15.75" customHeight="1">
      <c r="A284" s="3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ht="15.75" customHeight="1">
      <c r="A285" s="3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ht="15.75" customHeight="1">
      <c r="A286" s="3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ht="15.75" customHeight="1">
      <c r="A287" s="3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ht="15.75" customHeight="1">
      <c r="A288" s="3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ht="15.75" customHeight="1">
      <c r="A289" s="3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ht="15.75" customHeight="1">
      <c r="A290" s="3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ht="15.75" customHeight="1">
      <c r="A291" s="3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ht="15.75" customHeight="1">
      <c r="A292" s="3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ht="15.75" customHeight="1">
      <c r="A293" s="3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ht="15.75" customHeight="1">
      <c r="A294" s="3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ht="15.75" customHeight="1">
      <c r="A295" s="3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ht="15.75" customHeight="1">
      <c r="A296" s="3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ht="15.75" customHeight="1">
      <c r="A297" s="3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ht="15.75" customHeight="1">
      <c r="A298" s="3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ht="15.75" customHeight="1">
      <c r="A299" s="3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ht="15.75" customHeight="1">
      <c r="A300" s="3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ht="15.75" customHeight="1">
      <c r="A301" s="3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ht="15.75" customHeight="1">
      <c r="A302" s="3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ht="15.75" customHeight="1">
      <c r="A303" s="3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ht="15.75" customHeight="1">
      <c r="A304" s="3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ht="15.75" customHeight="1">
      <c r="A305" s="3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ht="15.75" customHeight="1">
      <c r="A306" s="3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ht="15.75" customHeight="1">
      <c r="A307" s="3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</row>
  </sheetData>
  <conditionalFormatting sqref="D2:BA100">
    <cfRule type="expression" dxfId="0" priority="1">
      <formula>D2="R"</formula>
    </cfRule>
  </conditionalFormatting>
  <conditionalFormatting sqref="D2:BA100">
    <cfRule type="expression" dxfId="1" priority="2">
      <formula>D2="A"</formula>
    </cfRule>
  </conditionalFormatting>
  <conditionalFormatting sqref="D2:BA100">
    <cfRule type="expression" dxfId="2" priority="3">
      <formula>D2="S"</formula>
    </cfRule>
  </conditionalFormatting>
  <conditionalFormatting sqref="D2:BA100">
    <cfRule type="expression" dxfId="3" priority="4">
      <formula>D2="C"</formula>
    </cfRule>
  </conditionalFormatting>
  <conditionalFormatting sqref="D2:BA100">
    <cfRule type="expression" dxfId="4" priority="5">
      <formula>D2="I"</formula>
    </cfRule>
  </conditionalFormatting>
  <dataValidations>
    <dataValidation type="list" allowBlank="1" sqref="D2:BA11">
      <formula1>"R,A,S,C,I"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43"/>
    <col customWidth="1" min="2" max="2" width="22.29"/>
    <col customWidth="1" min="3" max="3" width="12.71"/>
    <col customWidth="1" min="4" max="4" width="23.86"/>
    <col customWidth="1" min="5" max="5" width="22.14"/>
    <col customWidth="1" min="6" max="6" width="29.57"/>
    <col customWidth="1" min="7" max="7" width="21.43"/>
    <col customWidth="1" min="8" max="8" width="21.86"/>
    <col customWidth="1" min="9" max="9" width="25.57"/>
    <col customWidth="1" min="10" max="26" width="9.14"/>
  </cols>
  <sheetData>
    <row r="1" ht="15.0" customHeight="1">
      <c r="A1" s="14" t="s">
        <v>0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61</v>
      </c>
      <c r="H1" s="14" t="s">
        <v>62</v>
      </c>
      <c r="I1" s="14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5.0" customHeight="1">
      <c r="A2" s="16">
        <v>1.0</v>
      </c>
      <c r="B2" s="15" t="s">
        <v>63</v>
      </c>
      <c r="C2" s="15" t="s">
        <v>41</v>
      </c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5.0" customHeight="1">
      <c r="A3" s="16">
        <v>2.0</v>
      </c>
      <c r="B3" s="15" t="s">
        <v>64</v>
      </c>
      <c r="C3" s="15" t="s">
        <v>33</v>
      </c>
      <c r="D3" s="15"/>
      <c r="E3" s="15"/>
      <c r="F3" s="15"/>
      <c r="G3" s="15"/>
      <c r="H3" s="17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5.0" customHeight="1">
      <c r="A4" s="16">
        <v>3.0</v>
      </c>
      <c r="B4" s="15" t="s">
        <v>65</v>
      </c>
      <c r="C4" s="15" t="s">
        <v>38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0" customHeight="1">
      <c r="A5" s="16">
        <v>4.0</v>
      </c>
      <c r="B5" s="15" t="s">
        <v>66</v>
      </c>
      <c r="C5" s="15" t="s">
        <v>67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5.0" customHeight="1">
      <c r="A6" s="16">
        <v>5.0</v>
      </c>
      <c r="B6" s="15" t="s">
        <v>68</v>
      </c>
      <c r="C6" s="15" t="s">
        <v>53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0" customHeight="1">
      <c r="A7" s="16">
        <v>6.0</v>
      </c>
      <c r="B7" s="15" t="s">
        <v>69</v>
      </c>
      <c r="C7" s="15" t="s">
        <v>70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5.0" customHeight="1">
      <c r="A8" s="16">
        <v>7.0</v>
      </c>
      <c r="B8" s="15" t="s">
        <v>71</v>
      </c>
      <c r="C8" s="15" t="s">
        <v>72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5.0" customHeight="1">
      <c r="A9" s="16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5.0" customHeight="1">
      <c r="A10" s="16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5.0" customHeight="1">
      <c r="A11" s="16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5.0" customHeight="1">
      <c r="A12" s="16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0" customHeight="1">
      <c r="A13" s="16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5.0" customHeight="1">
      <c r="A14" s="16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5.0" customHeight="1">
      <c r="A15" s="16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5.0" customHeight="1">
      <c r="A16" s="16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5.0" customHeight="1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5.0" customHeight="1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5.0" customHeight="1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5.0" customHeight="1">
      <c r="A20" s="16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5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5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5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5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5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5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5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5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5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5.75" customHeight="1">
      <c r="A31" s="16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5.75" customHeight="1">
      <c r="A32" s="16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5.75" customHeight="1">
      <c r="A33" s="16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5.75" customHeight="1">
      <c r="A34" s="16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5.75" customHeight="1">
      <c r="A35" s="16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5.75" customHeight="1">
      <c r="A36" s="16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5.75" customHeight="1">
      <c r="A37" s="16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5.75" customHeight="1">
      <c r="A38" s="16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5.75" customHeight="1">
      <c r="A39" s="16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5.75" customHeight="1">
      <c r="A40" s="16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5.75" customHeight="1">
      <c r="A41" s="16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5.75" customHeight="1">
      <c r="A42" s="16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5.75" customHeight="1">
      <c r="A43" s="16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5.75" customHeight="1">
      <c r="A44" s="16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5.75" customHeight="1">
      <c r="A45" s="16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5.75" customHeight="1">
      <c r="A46" s="16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5.75" customHeight="1">
      <c r="A47" s="16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5.75" customHeight="1">
      <c r="A48" s="16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5.75" customHeight="1">
      <c r="A49" s="16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5.75" customHeight="1">
      <c r="A50" s="16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15.75" customHeight="1">
      <c r="A51" s="16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5.75" customHeight="1">
      <c r="A52" s="16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5.75" customHeight="1">
      <c r="A53" s="16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5.75" customHeight="1">
      <c r="A54" s="16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5.75" customHeight="1">
      <c r="A55" s="16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5.75" customHeight="1">
      <c r="A56" s="16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5.75" customHeight="1">
      <c r="A57" s="16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5.75" customHeight="1">
      <c r="A58" s="16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5.75" customHeight="1">
      <c r="A59" s="16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5.75" customHeight="1">
      <c r="A60" s="16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5.75" customHeight="1">
      <c r="A61" s="16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5.75" customHeight="1">
      <c r="A62" s="16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5.75" customHeight="1">
      <c r="A63" s="16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5.75" customHeight="1">
      <c r="A64" s="16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5.75" customHeight="1">
      <c r="A65" s="16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5.75" customHeight="1">
      <c r="A66" s="16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5.75" customHeight="1">
      <c r="A67" s="16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5.75" customHeight="1">
      <c r="A68" s="16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5.75" customHeight="1">
      <c r="A69" s="16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5.75" customHeight="1">
      <c r="A70" s="16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5.75" customHeight="1">
      <c r="A71" s="16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5.75" customHeight="1">
      <c r="A72" s="16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5.75" customHeight="1">
      <c r="A73" s="16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5.75" customHeight="1">
      <c r="A74" s="16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5.75" customHeight="1">
      <c r="A75" s="16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5.75" customHeight="1">
      <c r="A76" s="16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5.75" customHeight="1">
      <c r="A77" s="16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5.75" customHeight="1">
      <c r="A78" s="16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5.75" customHeight="1">
      <c r="A79" s="16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5.75" customHeight="1">
      <c r="A80" s="16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5.75" customHeight="1">
      <c r="A81" s="16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5.75" customHeight="1">
      <c r="A82" s="16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5.75" customHeight="1">
      <c r="A83" s="16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5.75" customHeight="1">
      <c r="A84" s="16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5.75" customHeight="1">
      <c r="A85" s="16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5.75" customHeight="1">
      <c r="A86" s="16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5.75" customHeight="1">
      <c r="A87" s="16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5.75" customHeight="1">
      <c r="A88" s="16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5.75" customHeight="1">
      <c r="A89" s="16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5.75" customHeight="1">
      <c r="A90" s="16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5.75" customHeight="1">
      <c r="A91" s="16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5.75" customHeight="1">
      <c r="A92" s="16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5.75" customHeight="1">
      <c r="A93" s="16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5.75" customHeight="1">
      <c r="A94" s="16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5.75" customHeight="1">
      <c r="A95" s="16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5.75" customHeight="1">
      <c r="A96" s="16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5.75" customHeight="1">
      <c r="A97" s="16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5.75" customHeight="1">
      <c r="A98" s="16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5.75" customHeight="1">
      <c r="A99" s="16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5.75" customHeight="1">
      <c r="A100" s="16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5.75" customHeight="1">
      <c r="A101" s="16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5.75" customHeight="1">
      <c r="A102" s="16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5.75" customHeight="1">
      <c r="A103" s="16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5.75" customHeight="1">
      <c r="A104" s="16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5.75" customHeight="1">
      <c r="A105" s="16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5.75" customHeight="1">
      <c r="A106" s="16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5.75" customHeight="1">
      <c r="A107" s="16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5.75" customHeight="1">
      <c r="A108" s="16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5.75" customHeight="1">
      <c r="A109" s="16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5.75" customHeight="1">
      <c r="A110" s="16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5.7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5.75" customHeight="1">
      <c r="A112" s="16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5.75" customHeight="1">
      <c r="A113" s="16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5.75" customHeight="1">
      <c r="A114" s="16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5.7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5.75" customHeight="1">
      <c r="A116" s="16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5.75" customHeight="1">
      <c r="A117" s="16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5.75" customHeight="1">
      <c r="A118" s="16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5.75" customHeight="1">
      <c r="A119" s="16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5.75" customHeight="1">
      <c r="A120" s="16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5.75" customHeight="1">
      <c r="A121" s="16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5.75" customHeight="1">
      <c r="A122" s="16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5.75" customHeight="1">
      <c r="A123" s="16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5.75" customHeight="1">
      <c r="A124" s="16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5.75" customHeight="1">
      <c r="A125" s="16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5.75" customHeight="1">
      <c r="A126" s="16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5.75" customHeight="1">
      <c r="A127" s="16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5.75" customHeight="1">
      <c r="A128" s="16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5.75" customHeight="1">
      <c r="A129" s="16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5.75" customHeight="1">
      <c r="A130" s="16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5.75" customHeight="1">
      <c r="A131" s="16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5.75" customHeight="1">
      <c r="A132" s="16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5.75" customHeight="1">
      <c r="A133" s="16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5.75" customHeight="1">
      <c r="A134" s="16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5.75" customHeight="1">
      <c r="A135" s="16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5.75" customHeight="1">
      <c r="A136" s="16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5.75" customHeight="1">
      <c r="A137" s="16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5.75" customHeight="1">
      <c r="A138" s="16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5.75" customHeight="1">
      <c r="A139" s="16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5.75" customHeight="1">
      <c r="A140" s="16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5.75" customHeight="1">
      <c r="A141" s="16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5.75" customHeight="1">
      <c r="A142" s="16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5.75" customHeight="1">
      <c r="A143" s="16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5.75" customHeight="1">
      <c r="A144" s="16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5.75" customHeight="1">
      <c r="A145" s="16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5.75" customHeight="1">
      <c r="A146" s="16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5.75" customHeight="1">
      <c r="A147" s="16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5.75" customHeight="1">
      <c r="A148" s="16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5.75" customHeight="1">
      <c r="A149" s="16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5.75" customHeight="1">
      <c r="A150" s="16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5.75" customHeight="1">
      <c r="A151" s="16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5.75" customHeight="1">
      <c r="A152" s="16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5.75" customHeight="1">
      <c r="A153" s="16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5.75" customHeight="1">
      <c r="A154" s="16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5.75" customHeight="1">
      <c r="A155" s="16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5.75" customHeight="1">
      <c r="A156" s="16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5.75" customHeight="1">
      <c r="A157" s="16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5.75" customHeight="1">
      <c r="A158" s="16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5.75" customHeight="1">
      <c r="A159" s="16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5.75" customHeight="1">
      <c r="A160" s="16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5.75" customHeight="1">
      <c r="A161" s="16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5.75" customHeight="1">
      <c r="A162" s="16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5.75" customHeight="1">
      <c r="A163" s="16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5.75" customHeight="1">
      <c r="A164" s="16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5.75" customHeight="1">
      <c r="A165" s="16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5.75" customHeight="1">
      <c r="A166" s="16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5.75" customHeight="1">
      <c r="A167" s="16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5.75" customHeight="1">
      <c r="A168" s="16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5.75" customHeight="1">
      <c r="A169" s="16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5.75" customHeight="1">
      <c r="A170" s="16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5.75" customHeight="1">
      <c r="A171" s="16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5.75" customHeight="1">
      <c r="A172" s="16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5.75" customHeight="1">
      <c r="A173" s="16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5.75" customHeight="1">
      <c r="A174" s="16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5.75" customHeight="1">
      <c r="A175" s="16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5.75" customHeight="1">
      <c r="A176" s="16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5.75" customHeight="1">
      <c r="A177" s="16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5.75" customHeight="1">
      <c r="A178" s="16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5.75" customHeight="1">
      <c r="A179" s="16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5.75" customHeight="1">
      <c r="A180" s="16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5.75" customHeight="1">
      <c r="A181" s="16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5.75" customHeight="1">
      <c r="A182" s="16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5.75" customHeight="1">
      <c r="A183" s="16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5.75" customHeight="1">
      <c r="A184" s="16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5.75" customHeight="1">
      <c r="A185" s="16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5.75" customHeight="1">
      <c r="A186" s="16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5.75" customHeight="1">
      <c r="A187" s="16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5.75" customHeight="1">
      <c r="A188" s="16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5.75" customHeight="1">
      <c r="A189" s="16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5.75" customHeight="1">
      <c r="A190" s="16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5.75" customHeight="1">
      <c r="A191" s="16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5.75" customHeight="1">
      <c r="A192" s="16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5.75" customHeight="1">
      <c r="A193" s="16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5.75" customHeight="1">
      <c r="A194" s="16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5.75" customHeight="1">
      <c r="A195" s="16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5.75" customHeight="1">
      <c r="A196" s="16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5.75" customHeight="1">
      <c r="A197" s="16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5.75" customHeight="1">
      <c r="A198" s="16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5.75" customHeight="1">
      <c r="A199" s="16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5.75" customHeight="1">
      <c r="A200" s="16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5.75" customHeight="1">
      <c r="A201" s="16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5.75" customHeight="1">
      <c r="A202" s="16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5.75" customHeight="1">
      <c r="A203" s="16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5.75" customHeight="1">
      <c r="A204" s="16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5.75" customHeight="1">
      <c r="A205" s="16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5.75" customHeight="1">
      <c r="A206" s="16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5.75" customHeight="1">
      <c r="A207" s="16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5.75" customHeight="1">
      <c r="A208" s="16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5.75" customHeight="1">
      <c r="A209" s="16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5.75" customHeight="1">
      <c r="A210" s="16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5.75" customHeight="1">
      <c r="A211" s="16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5.75" customHeight="1">
      <c r="A212" s="16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5.75" customHeight="1">
      <c r="A213" s="16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5.75" customHeight="1">
      <c r="A214" s="16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5.75" customHeight="1">
      <c r="A215" s="16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5.75" customHeight="1">
      <c r="A216" s="16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5.75" customHeight="1">
      <c r="A217" s="16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5.75" customHeight="1">
      <c r="A218" s="16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5.75" customHeight="1">
      <c r="A219" s="16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5.75" customHeight="1">
      <c r="A220" s="16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2026-01-29T08:46:37Z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0x0101007BC1C2D7F0F8F94F9A3368160BFD365C</vt:lpwstr>
  </property>
  <property fmtid="{D5CDD505-2E9C-101B-9397-08002B2CF9AE}" pid="3" name="MediaServiceImageTags">
    <vt:lpwstr/>
  </property>
</Properties>
</file>